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ls, etc.." sheetId="1" r:id="rId4"/>
    <sheet state="visible" name="Hindi Books" sheetId="2" r:id="rId5"/>
    <sheet state="visible" name="Non-fiction" sheetId="3" r:id="rId6"/>
    <sheet state="visible" name="Magazines" sheetId="4" r:id="rId7"/>
    <sheet state="visible" name="Comics (GNs)" sheetId="5" r:id="rId8"/>
    <sheet state="visible" name="Comics (Issues)" sheetId="6" r:id="rId9"/>
    <sheet state="visible" name="Needed" sheetId="7" r:id="rId10"/>
    <sheet state="hidden" name="Analysis" sheetId="8" r:id="rId11"/>
    <sheet state="hidden" name="Utsav Target 18" sheetId="9" r:id="rId12"/>
    <sheet state="visible" name="Gotham Checklist" sheetId="10" r:id="rId13"/>
    <sheet state="hidden" name="Sheet Dynamics" sheetId="11" r:id="rId14"/>
  </sheets>
  <definedNames>
    <definedName hidden="1" localSheetId="0" name="_xlnm._FilterDatabase">'Novels, etc..'!$A$1:$O$971</definedName>
    <definedName hidden="1" localSheetId="2" name="_xlnm._FilterDatabase">'Non-fiction'!$A$1:$H$80</definedName>
    <definedName hidden="1" localSheetId="3" name="_xlnm._FilterDatabase">Magazines!$A$1:$H$19</definedName>
    <definedName hidden="1" localSheetId="4" name="_xlnm._FilterDatabase">'Comics (GNs)'!$A$1:$P$101</definedName>
    <definedName hidden="1" localSheetId="5" name="_xlnm._FilterDatabase">'Comics (Issues)'!$A$1:$X$1335</definedName>
    <definedName hidden="1" localSheetId="7" name="_xlnm._FilterDatabase">Analysis!$A$44:$B$58</definedName>
    <definedName hidden="1" localSheetId="5" name="Z_5FAE0136_8AC0_4D7B_A499_05A6A5796A7A_.wvu.FilterData">'Comics (Issues)'!$A$1:$X$591</definedName>
  </definedNames>
  <calcPr/>
  <customWorkbookViews>
    <customWorkbookView activeSheetId="0" maximized="1" windowHeight="0" windowWidth="0" guid="{5FAE0136-8AC0-4D7B-A499-05A6A5796A7A}" name="Filter 1"/>
  </customWorkbookViews>
  <extLst>
    <ext uri="GoogleSheetsCustomDataVersion2">
      <go:sheetsCustomData xmlns:go="http://customooxmlschemas.google.com/" r:id="rId15" roundtripDataChecksum="W125WiBA0KK+vdia0Lqn1PElXHXx29QT7Izt/K16JS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8">
      <text>
        <t xml:space="preserve">======
ID#AAABasrBLM8
Utsav Bansal    (2025-01-03 07:06:13)
Lent to Charu by Utkarsh</t>
      </text>
    </comment>
    <comment authorId="0" ref="J62">
      <text>
        <t xml:space="preserve">======
ID#AAABQqUkS1U
Utsav Bansal    (2024-07-03 15:13:06)
Edit Year on GR</t>
      </text>
    </comment>
    <comment authorId="0" ref="J96">
      <text>
        <t xml:space="preserve">======
ID#AAABQqUkS1M
Utsav Bansal    (2024-07-03 14:14:27)
To Connect with: https://www.goodreads.com/book/show/68041.The_Earthsea_Quartet</t>
      </text>
    </comment>
    <comment authorId="0" ref="H41">
      <text>
        <t xml:space="preserve">======
ID#AAABQqUkS1I
Utsav Bansal    (2024-07-03 14:07:04)
Use as a descriptor, not as a disparaging annotation</t>
      </text>
    </comment>
    <comment authorId="0" ref="I97">
      <text>
        <t xml:space="preserve">======
ID#AAAAjPbbpTg
Utkarsh Bansal    (2022-11-06 11:15:16)
Paperback ISBN, repaired book</t>
      </text>
    </comment>
    <comment authorId="0" ref="N215">
      <text>
        <t xml:space="preserve">======
ID#AAAAi7f68sY
Utsav Bansal    (2022-10-28 17:27:51)
BYOB</t>
      </text>
    </comment>
    <comment authorId="0" ref="E6">
      <text>
        <t xml:space="preserve">======
ID#AAAAi7f68rM
Utsav Bansal    (2022-10-28 17:27:51)
The Second Part is part of a Series</t>
      </text>
    </comment>
    <comment authorId="0" ref="N33">
      <text>
        <t xml:space="preserve">======
ID#AAAAi7f68qw
tc={E27D7AB8-4658-4F77-84BE-E6F397B31F40}    (2022-10-28 17:27:51)
[Threaded comment]
Your version of Excel allows you to read this threaded comment; however, any edits to it will get removed if the file is opened in a newer version of Excel. Learn more: https://go.microsoft.com/fwlink/?linkid=870924
Comment:
    BYOB</t>
      </text>
    </comment>
    <comment authorId="0" ref="N85">
      <text>
        <t xml:space="preserve">======
ID#AAAAi7f68qg
Utkarsh Bansal    (2022-10-28 17:27:51)
Anshika Mittal</t>
      </text>
    </comment>
  </commentList>
  <extLst>
    <ext uri="GoogleSheetsCustomDataVersion2">
      <go:sheetsCustomData xmlns:go="http://customooxmlschemas.google.com/" r:id="rId1" roundtripDataSignature="AMtx7mjU40xEwGsGaiaS3HGgQ8hufzKi4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======
ID#AAAAi7f68sk
tc={8047B43B-7D8D-461B-B95D-EF4596DF76A4}    (2022-10-28 17:27:51)
[Threaded comment]
Your version of Excel allows you to read this threaded comment; however, any edits to it will get removed if the file is opened in a newer version of Excel. Learn more: https://go.microsoft.com/fwlink/?linkid=870924
Comment:
    Mummy</t>
      </text>
    </comment>
  </commentList>
  <extLst>
    <ext uri="GoogleSheetsCustomDataVersion2">
      <go:sheetsCustomData xmlns:go="http://customooxmlschemas.google.com/" r:id="rId1" roundtripDataSignature="AMtx7mj5gZjXX6n6g81xxq6cKgPeNOcYp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ID#AAABasrBLNc
Utsav Bansal    (2025-01-03 07:50:30)
Kept on table</t>
      </text>
    </comment>
    <comment authorId="0" ref="A7">
      <text>
        <t xml:space="preserve">======
ID#AAABQyZ81pc
Utsav Bansal    (2024-07-08 14:08:44)
Series: DK Eyewitness. First Published 1985. Utkarsh is only an assistant editor on this</t>
      </text>
    </comment>
    <comment authorId="0" ref="H32">
      <text>
        <t xml:space="preserve">======
ID#AAAAi7f68sg
tc={541FB311-788B-4F11-ACAB-393407CDCCBD}    (2022-10-28 17:27:51)
[Threaded comment]
Your version of Excel allows you to read this threaded comment; however, any edits to it will get removed if the file is opened in a newer version of Excel. Learn more: https://go.microsoft.com/fwlink/?linkid=870924
Comment:
    Maitreyi</t>
      </text>
    </comment>
  </commentList>
  <extLst>
    <ext uri="GoogleSheetsCustomDataVersion2">
      <go:sheetsCustomData xmlns:go="http://customooxmlschemas.google.com/" r:id="rId1" roundtripDataSignature="AMtx7mit57rb/9kKty9JUmsYe8XgqfByv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2">
      <text>
        <t xml:space="preserve">======
ID#AAABzAs_frI
Utsav Bansal    (2026-01-25 08:12:53)
@utkarshbansal1995@gmail.com</t>
      </text>
    </comment>
    <comment authorId="0" ref="P10">
      <text>
        <t xml:space="preserve">======
ID#AAABzAs_frE
Utsav Bansal    (2026-01-25 08:12:22)
@utkarshbansal1995@gmail.com</t>
      </text>
    </comment>
    <comment authorId="0" ref="P28">
      <text>
        <t xml:space="preserve">======
ID#AAAAjX2-reM
Utsav Bansal    (2022-11-05 09:58:25)
To Tanveer</t>
      </text>
    </comment>
    <comment authorId="0" ref="P19">
      <text>
        <t xml:space="preserve">======
ID#AAAAi7f68so
tc={D7F020B4-EF4A-4F93-9980-15008091D4B7}    (2022-10-28 17:27:51)
[Threaded comment]
Your version of Excel allows you to read this threaded comment; however, any edits to it will get removed if the file is opened in a newer version of Excel. Learn more: https://go.microsoft.com/fwlink/?linkid=870924
Comment:
    Volume 1 to Vipul Bhaiya</t>
      </text>
    </comment>
    <comment authorId="0" ref="P18">
      <text>
        <t xml:space="preserve">======
ID#AAAAi7f68sc
tc={D3170B40-10B2-4CA7-9A26-036DDA338D48}    (2022-10-28 17:27:51)
[Threaded comment]
Your version of Excel allows you to read this threaded comment; however, any edits to it will get removed if the file is opened in a newer version of Excel. Learn more: https://go.microsoft.com/fwlink/?linkid=870924
Comment:
    Vipul Bhaiya</t>
      </text>
    </comment>
    <comment authorId="0" ref="P22">
      <text>
        <t xml:space="preserve">======
ID#AAAAi7f68sQ
tc={861069F8-4F8F-4C87-83CD-D09DF6B032A9}    (2022-10-28 17:27:51)
[Threaded comment]
Your version of Excel allows you to read this threaded comment; however, any edits to it will get removed if the file is opened in a newer version of Excel. Learn more: https://go.microsoft.com/fwlink/?linkid=870924
Comment:
    Vipul Bhaiya</t>
      </text>
    </comment>
    <comment authorId="0" ref="P29">
      <text>
        <t xml:space="preserve">======
ID#AAAAi7f68rk
tc={78DC790B-FF81-42E3-86D7-01E10781508F}    (2022-10-28 17:27:51)
[Threaded comment]
Your version of Excel allows you to read this threaded comment; however, any edits to it will get removed if the file is opened in a newer version of Excel. Learn more: https://go.microsoft.com/fwlink/?linkid=870924
Comment:
    Vipul Bhaiya</t>
      </text>
    </comment>
    <comment authorId="0" ref="P39">
      <text>
        <t xml:space="preserve">======
ID#AAAAi7f68rc
tc={B0B057F3-F148-4F40-BF9F-91C7F5F1235D}    (2022-10-28 17:27:51)
[Threaded comment]
Your version of Excel allows you to read this threaded comment; however, any edits to it will get removed if the file is opened in a newer version of Excel. Learn more: https://go.microsoft.com/fwlink/?linkid=870924
Comment:
    Vipul Bhaiya</t>
      </text>
    </comment>
  </commentList>
  <extLst>
    <ext uri="GoogleSheetsCustomDataVersion2">
      <go:sheetsCustomData xmlns:go="http://customooxmlschemas.google.com/" r:id="rId1" roundtripDataSignature="AMtx7mi00U68z1o46KbMfgAamZv70w6Kl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37">
      <text>
        <t xml:space="preserve">======
ID#AAABzCMto64
Utsav Bansal    (2026-01-25 12:06:15)
Facsimile Reprint</t>
      </text>
    </comment>
    <comment authorId="0" ref="A264">
      <text>
        <t xml:space="preserve">======
ID#AAABlip6kN8
Utkarsh Bansal    (2025-06-17 19:25:36)
Second issue details</t>
      </text>
    </comment>
    <comment authorId="0" ref="A241">
      <text>
        <t xml:space="preserve">======
ID#AAABlip6kN4
Utkarsh Bansal    (2025-06-17 18:54:29)
Change size</t>
      </text>
    </comment>
    <comment authorId="0" ref="A158">
      <text>
        <t xml:space="preserve">======
ID#AAABlip6kNw
Utkarsh Bansal    (2025-06-17 17:17:27)
Story seems too long</t>
      </text>
    </comment>
    <comment authorId="0" ref="A154">
      <text>
        <t xml:space="preserve">======
ID#AAABlwNfaHY
Utkarsh Bansal    (2025-06-17 14:39:09)
Add specifics</t>
      </text>
    </comment>
    <comment authorId="0" ref="A99">
      <text>
        <t xml:space="preserve">======
ID#AAABlfvKbdM
Utkarsh Bansal    (2025-06-16 14:08:21)
Definitely single?</t>
      </text>
    </comment>
    <comment authorId="0" ref="A11">
      <text>
        <t xml:space="preserve">======
ID#AAABltOa7J8
Utkarsh Bansal    (2025-06-16 07:51:55)
LoCG entry reqd</t>
      </text>
    </comment>
  </commentList>
  <extLst>
    <ext uri="GoogleSheetsCustomDataVersion2">
      <go:sheetsCustomData xmlns:go="http://customooxmlschemas.google.com/" r:id="rId1" roundtripDataSignature="AMtx7mi+h+Udbobfb35ZnkjoyjyGsJ5s5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======
ID#AAAAi7f68sw
Utsav    (2022-10-28 17:27:51)
Indian Citizenship when writing</t>
      </text>
    </comment>
    <comment authorId="0" ref="L9">
      <text>
        <t xml:space="preserve">======
ID#AAAAi7f68sU
Utsav    (2022-10-28 17:27:51)
Different from the Indian, US and UK styles for eg. But if Indian style is very different from what I know then I might allow it</t>
      </text>
    </comment>
    <comment authorId="0" ref="Q9">
      <text>
        <t xml:space="preserve">======
ID#AAAAi7f68sA
Utsav Bansal    (2022-10-28 17:27:51)
Books Purchased till end of 2017</t>
      </text>
    </comment>
    <comment authorId="0" ref="P9">
      <text>
        <t xml:space="preserve">======
ID#AAAAi7f68rw
Utsav Bansal    (2022-10-28 17:27:51)
Indie - Discretion
New - Released in second half of 2017 or later</t>
      </text>
    </comment>
    <comment authorId="0" ref="F9">
      <text>
        <t xml:space="preserve">======
ID#AAAAi7f68rA
Utsav    (2022-10-28 17:27:51)
1950 or before</t>
      </text>
    </comment>
    <comment authorId="0" ref="N9">
      <text>
        <t xml:space="preserve">======
ID#AAAAi7f68q0
Utsav    (2022-10-28 17:27:51)
Very Subective</t>
      </text>
    </comment>
  </commentList>
  <extLst>
    <ext uri="GoogleSheetsCustomDataVersion2">
      <go:sheetsCustomData xmlns:go="http://customooxmlschemas.google.com/" r:id="rId1" roundtripDataSignature="AMtx7mjflSwQ1BTYP+YZSF4A1MX/FdQCB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ID#AAABewL8EE0
Utkarsh Bansal    (2025-02-26 22:24:43)
36-39 are All-Star Batman</t>
      </text>
    </comment>
    <comment authorId="0" ref="B4">
      <text>
        <t xml:space="preserve">======
ID#AAABewL8EEk
Utkarsh Bansal    (2025-02-26 21:40:34)
Could be 2001</t>
      </text>
    </comment>
  </commentList>
  <extLst>
    <ext uri="GoogleSheetsCustomDataVersion2">
      <go:sheetsCustomData xmlns:go="http://customooxmlschemas.google.com/" r:id="rId1" roundtripDataSignature="AMtx7mjQEyOEbNsqnriKqMXeW05UTvhGGg=="/>
    </ext>
  </extLst>
</comments>
</file>

<file path=xl/sharedStrings.xml><?xml version="1.0" encoding="utf-8"?>
<sst xmlns="http://schemas.openxmlformats.org/spreadsheetml/2006/main" count="11212" uniqueCount="3232">
  <si>
    <t>Title</t>
  </si>
  <si>
    <t>Author</t>
  </si>
  <si>
    <t>Translator</t>
  </si>
  <si>
    <t>Series</t>
  </si>
  <si>
    <t>Series no.</t>
  </si>
  <si>
    <t xml:space="preserve"> Year</t>
  </si>
  <si>
    <t>Main Genre</t>
  </si>
  <si>
    <t>Sous Genre</t>
  </si>
  <si>
    <t>ISBN</t>
  </si>
  <si>
    <t>Goodreads Link</t>
  </si>
  <si>
    <t>Uts*</t>
  </si>
  <si>
    <t>Utk*</t>
  </si>
  <si>
    <t>GR*</t>
  </si>
  <si>
    <t>Status</t>
  </si>
  <si>
    <t>Check</t>
  </si>
  <si>
    <t>Half A King</t>
  </si>
  <si>
    <t>Abercrombie, Joe</t>
  </si>
  <si>
    <t>Shattered Sea</t>
  </si>
  <si>
    <t>SFF</t>
  </si>
  <si>
    <t>YA</t>
  </si>
  <si>
    <t>9780007550227</t>
  </si>
  <si>
    <t>https://www.goodreads.com/book/show/24714927-half-a-king</t>
  </si>
  <si>
    <t>On Shelf</t>
  </si>
  <si>
    <t>Half The World</t>
  </si>
  <si>
    <t>9780007550258</t>
  </si>
  <si>
    <t>https://www.goodreads.com/book/show/25744617-half-the-world</t>
  </si>
  <si>
    <t>Half A War</t>
  </si>
  <si>
    <t>9780007550289</t>
  </si>
  <si>
    <t>https://www.goodreads.com/book/show/28924910-half-a-war</t>
  </si>
  <si>
    <t>Dark Apprentice</t>
  </si>
  <si>
    <t>Anderson, Kevin J.</t>
  </si>
  <si>
    <t>Star Wars: The Jedi Academy</t>
  </si>
  <si>
    <t>Space</t>
  </si>
  <si>
    <t>0553297996</t>
  </si>
  <si>
    <t>https://www.goodreads.com/book/show/760111.Dark_Apprentice</t>
  </si>
  <si>
    <t>Honour Among Thieves/Kane And Abel</t>
  </si>
  <si>
    <t>Archer, Jeffrey</t>
  </si>
  <si>
    <t>Kane and Abel</t>
  </si>
  <si>
    <t>Drama</t>
  </si>
  <si>
    <t>Thriller</t>
  </si>
  <si>
    <t>0330440896</t>
  </si>
  <si>
    <t>https://www.goodreads.com/book/show/157159.Honour_Among_Thieves_Kane_And_Abel</t>
  </si>
  <si>
    <t>A Quiver Full of Arrows</t>
  </si>
  <si>
    <t>0340272724</t>
  </si>
  <si>
    <t>The Fourth Estate</t>
  </si>
  <si>
    <t>0006496458</t>
  </si>
  <si>
    <t>Forward the Foundation</t>
  </si>
  <si>
    <t>Asimov, Isaac</t>
  </si>
  <si>
    <t>Foundation</t>
  </si>
  <si>
    <t>0553565079</t>
  </si>
  <si>
    <t>https://www.goodreads.com/book/show/76679.Forward_the_Foundation</t>
  </si>
  <si>
    <t>9780007270422</t>
  </si>
  <si>
    <t>Foundation &amp; Empire</t>
  </si>
  <si>
    <t>9780007270446</t>
  </si>
  <si>
    <t>https://www.goodreads.com/book/show/40522079-foundation-and-empire</t>
  </si>
  <si>
    <t>Second Foundation</t>
  </si>
  <si>
    <t>0586171355</t>
  </si>
  <si>
    <t>https://www.goodreads.com/book/show/7974862-second-foundation</t>
  </si>
  <si>
    <t>Foundation's Edge</t>
  </si>
  <si>
    <t>0345308980</t>
  </si>
  <si>
    <t>https://www.goodreads.com/book/show/414856.Foundation_s_Edge</t>
  </si>
  <si>
    <t>I, Robot</t>
  </si>
  <si>
    <t>Robot</t>
  </si>
  <si>
    <t>0586025324</t>
  </si>
  <si>
    <t>https://www.goodreads.com/book/show/837144.I_Robot</t>
  </si>
  <si>
    <t>The Rest of The Robots</t>
  </si>
  <si>
    <t>9780007270545</t>
  </si>
  <si>
    <t>https://www.goodreads.com/book/show/27223883-the-rest-of-the-robots</t>
  </si>
  <si>
    <t>The Caves of Steel</t>
  </si>
  <si>
    <t>0553293400</t>
  </si>
  <si>
    <t>https://www.goodreads.com/book/show/76677.The_Caves_of_Steel</t>
  </si>
  <si>
    <t>The Naked Sun</t>
  </si>
  <si>
    <t>0586010165</t>
  </si>
  <si>
    <t>https://www.goodreads.com/book/show/41391458-the-naked-sun</t>
  </si>
  <si>
    <t>The Robots of Dawn</t>
  </si>
  <si>
    <t>0553299492 </t>
  </si>
  <si>
    <t>https://www.goodreads.com/book/show/41810.The_Robots_of_Dawn</t>
  </si>
  <si>
    <t>Gold</t>
  </si>
  <si>
    <t>Asimov, Issac</t>
  </si>
  <si>
    <t>0006482023</t>
  </si>
  <si>
    <t>https://www.goodreads.com/book/show/651965.Gold</t>
  </si>
  <si>
    <t>The New York Trilogy</t>
  </si>
  <si>
    <t>Auster, Paul</t>
  </si>
  <si>
    <t>New York Trilogy</t>
  </si>
  <si>
    <t>1-3</t>
  </si>
  <si>
    <t>Mystery</t>
  </si>
  <si>
    <t>9780571152230</t>
  </si>
  <si>
    <t>https://www.goodreads.com/book/show/486623.The_New_York_Trilogy</t>
  </si>
  <si>
    <t>Above Average</t>
  </si>
  <si>
    <t>Bagchi, Amitabha</t>
  </si>
  <si>
    <t>9788172236533</t>
  </si>
  <si>
    <t>https://www.goodreads.com/book/show/301495.Above_Average</t>
  </si>
  <si>
    <t>Absolute Power</t>
  </si>
  <si>
    <t>Baldacci, David</t>
  </si>
  <si>
    <t>0743408489</t>
  </si>
  <si>
    <t>https://www.goodreads.com/book/show/6434005-absolute-power</t>
  </si>
  <si>
    <t>Corelli's Mandolin</t>
  </si>
  <si>
    <t>Bernières, Louis de</t>
  </si>
  <si>
    <t>Historical</t>
  </si>
  <si>
    <t>Romance</t>
  </si>
  <si>
    <t>0749397543</t>
  </si>
  <si>
    <t>https://www.goodreads.com/book/show/578519.Captain_Corelli_s_Mandolin</t>
  </si>
  <si>
    <t>Tantrics of Old</t>
  </si>
  <si>
    <t>Bhattacharya, Krishnarjun</t>
  </si>
  <si>
    <t>Epic Fantasy</t>
  </si>
  <si>
    <t>9788172345228</t>
  </si>
  <si>
    <t>Harbart</t>
  </si>
  <si>
    <t>Bhattacharya, Nabarun</t>
  </si>
  <si>
    <t>Sinha, Arunava</t>
  </si>
  <si>
    <t>Magical Realism</t>
  </si>
  <si>
    <t>9789380658421</t>
  </si>
  <si>
    <t>Harbart by Nabarun Bhattacharya | Goodreads</t>
  </si>
  <si>
    <t>The Blue Umbrella</t>
  </si>
  <si>
    <t>Bond, Ruskin</t>
  </si>
  <si>
    <t>Shorts</t>
  </si>
  <si>
    <t>Children</t>
  </si>
  <si>
    <t>8185039011</t>
  </si>
  <si>
    <t>https://www.goodreads.com/book/show/36175224-the-blue-umbrella</t>
  </si>
  <si>
    <t>Fictions</t>
  </si>
  <si>
    <t>Borges, Jorge Luis</t>
  </si>
  <si>
    <t>Literary</t>
  </si>
  <si>
    <t>Mind Bending</t>
  </si>
  <si>
    <t>9780141183848</t>
  </si>
  <si>
    <t>https://www.goodreads.com/book/show/20579877-fictions</t>
  </si>
  <si>
    <t>The Love Letter and Other Stories</t>
  </si>
  <si>
    <t>Bose, Buddhadeva</t>
  </si>
  <si>
    <t>9788129134554</t>
  </si>
  <si>
    <t>https://www.goodreads.com/book/show/24581792-the-love-letter-and-other-stories</t>
  </si>
  <si>
    <t>Jane Eyre</t>
  </si>
  <si>
    <t>Brontë, Charlotte</t>
  </si>
  <si>
    <t>Gothic</t>
  </si>
  <si>
    <t>1582791783</t>
  </si>
  <si>
    <t>https://www.goodreads.com/book/show/6971719-jane-eyre</t>
  </si>
  <si>
    <t>Wuthering Heights</t>
  </si>
  <si>
    <t>Brontë, Emily</t>
  </si>
  <si>
    <t>938070335X</t>
  </si>
  <si>
    <t>World War Z</t>
  </si>
  <si>
    <t>Brooks, Max</t>
  </si>
  <si>
    <t>Zombie</t>
  </si>
  <si>
    <t>9780715643099</t>
  </si>
  <si>
    <t>https://www.goodreads.com/book/show/17993060-world-war-z</t>
  </si>
  <si>
    <t>A Clockwork Orange</t>
  </si>
  <si>
    <t>Burgess, Anthony</t>
  </si>
  <si>
    <t>Dystopia</t>
  </si>
  <si>
    <t>9780241951446</t>
  </si>
  <si>
    <t>https://www.goodreads.com/book/show/9598224-a-clockwork-orange?ac=1&amp;from_search=true&amp;qid=NWGjaCY5sd&amp;rank=1</t>
  </si>
  <si>
    <t>Breakfast at Tiffany's</t>
  </si>
  <si>
    <t>Capote, Truman</t>
  </si>
  <si>
    <t>0140274111</t>
  </si>
  <si>
    <t>https://www.goodreads.com/book/show/9888.Breakfast_at_Tiffany_s</t>
  </si>
  <si>
    <t>Sleepers</t>
  </si>
  <si>
    <t>Carcaterra, Lorenzo</t>
  </si>
  <si>
    <t>Crime</t>
  </si>
  <si>
    <t>0099784815</t>
  </si>
  <si>
    <t>https://www.goodreads.com/book/show/2449935.Sleepers</t>
  </si>
  <si>
    <t>Ash Mistry and the Savage Fortress</t>
  </si>
  <si>
    <t>Chadda Sarwat</t>
  </si>
  <si>
    <t>Ash Mistry Chronicles</t>
  </si>
  <si>
    <t>Teen</t>
  </si>
  <si>
    <t>9780007477821</t>
  </si>
  <si>
    <t>https://www.goodreads.com/book/show/22924918-ash-mistry-and-the-savage-fortress</t>
  </si>
  <si>
    <t>The Perks of Being a Wallflower</t>
  </si>
  <si>
    <t>Chbosky, Stephen</t>
  </si>
  <si>
    <t>9781451696196</t>
  </si>
  <si>
    <t>https://www.goodreads.com/book/show/13573503-the-perks-of-being-a-wallflower</t>
  </si>
  <si>
    <t>Killing Floor</t>
  </si>
  <si>
    <t>Child, Lee</t>
  </si>
  <si>
    <t>Jack Reacher</t>
  </si>
  <si>
    <t>9780553826166</t>
  </si>
  <si>
    <t>https://www.goodreads.com/book/show/9421418-killing-floor</t>
  </si>
  <si>
    <t>Never Go Back</t>
  </si>
  <si>
    <t>9780553825541</t>
  </si>
  <si>
    <t>Hercule Poirot's Christmas</t>
  </si>
  <si>
    <t>Christie, Agatha</t>
  </si>
  <si>
    <t>Hercule Poirot</t>
  </si>
  <si>
    <t>9780007120697</t>
  </si>
  <si>
    <t>https://www.goodreads.com/book/show/16349.Hercule_Poirot_s_Christmas</t>
  </si>
  <si>
    <t>And Then There Were None</t>
  </si>
  <si>
    <t>9780312979478</t>
  </si>
  <si>
    <t>The Comeback</t>
  </si>
  <si>
    <t>Chu, Lily</t>
  </si>
  <si>
    <t>Chick Lit</t>
  </si>
  <si>
    <t>9781728277677</t>
  </si>
  <si>
    <t>https://www.goodreads.com/book/show/150737430-the-comeback</t>
  </si>
  <si>
    <t>The Witch of Portobello</t>
  </si>
  <si>
    <t>Coelho, Paulo</t>
  </si>
  <si>
    <t>Spiritual</t>
  </si>
  <si>
    <t>9780007257447</t>
  </si>
  <si>
    <t>https://www.goodreads.com/book/show/1045672.The_Witch_Of_Portobello</t>
  </si>
  <si>
    <t>Disgrace</t>
  </si>
  <si>
    <t>Coetzee, J. M.</t>
  </si>
  <si>
    <t>9780099284826</t>
  </si>
  <si>
    <t>https://www.goodreads.com/book/show/896929.Disgrace</t>
  </si>
  <si>
    <t>Artemis Fowl</t>
  </si>
  <si>
    <t>Colfer, Eoin</t>
  </si>
  <si>
    <t>0141312122</t>
  </si>
  <si>
    <t>https://www.goodreads.com/book/show/18376853-artemis-fowl</t>
  </si>
  <si>
    <t>The Arctic Incident</t>
  </si>
  <si>
    <t>0141312130</t>
  </si>
  <si>
    <t>https://www.goodreads.com/book/show/45448.The_Arctic_Incident</t>
  </si>
  <si>
    <t>The Eternity Code</t>
  </si>
  <si>
    <t>0141315482</t>
  </si>
  <si>
    <t>https://www.goodreads.com/book/show/948460.The_Eternity_Code</t>
  </si>
  <si>
    <t>The Hunger Games</t>
  </si>
  <si>
    <t>Collins, Suzanne</t>
  </si>
  <si>
    <t>9781407109084</t>
  </si>
  <si>
    <t>https://www.goodreads.com/book/show/6053292-the-hunger-games</t>
  </si>
  <si>
    <t>Catching Fire</t>
  </si>
  <si>
    <t>9781407138336</t>
  </si>
  <si>
    <t>https://www.goodreads.com/book/show/21355501-catching-fire</t>
  </si>
  <si>
    <t>Mockingjay</t>
  </si>
  <si>
    <t>9781407109374</t>
  </si>
  <si>
    <t>https://www.goodreads.com/book/show/7710333-mockingjay</t>
  </si>
  <si>
    <t>The Lincoln Lawyer</t>
  </si>
  <si>
    <t>Connely, Michael</t>
  </si>
  <si>
    <t>Mickey Haller</t>
  </si>
  <si>
    <t>Legal</t>
  </si>
  <si>
    <t>9781409120469</t>
  </si>
  <si>
    <t>https://www.goodreads.com/book/show/10428429-the-lincoln-lawyer</t>
  </si>
  <si>
    <t>Selected Short Stories &amp; The Rover</t>
  </si>
  <si>
    <t>Conrad, Joseph</t>
  </si>
  <si>
    <t>9781853261909</t>
  </si>
  <si>
    <t>TA</t>
  </si>
  <si>
    <t>Excalibur</t>
  </si>
  <si>
    <t>Cornwell, Bernard</t>
  </si>
  <si>
    <t>The Arthur Books</t>
  </si>
  <si>
    <t>9781405931410</t>
  </si>
  <si>
    <t>https://www.goodreads.com/book/show/33856127-excalibur</t>
  </si>
  <si>
    <t>Stonehenge</t>
  </si>
  <si>
    <t>Fantasy</t>
  </si>
  <si>
    <t>Historical Fiction</t>
  </si>
  <si>
    <t>9780007550890</t>
  </si>
  <si>
    <t>https://www.goodreads.com/book/show/23018853-stonehenge</t>
  </si>
  <si>
    <t>Jurassic Park</t>
  </si>
  <si>
    <t>Crichton, Michael</t>
  </si>
  <si>
    <t>Horror</t>
  </si>
  <si>
    <t>0712646868</t>
  </si>
  <si>
    <t>https://www.goodreads.com/book/show/37131.Jurassic_Park</t>
  </si>
  <si>
    <t>The Lost World</t>
  </si>
  <si>
    <t>0099240629</t>
  </si>
  <si>
    <t>https://www.goodreads.com/book/show/848000.The_Lost_World</t>
  </si>
  <si>
    <t>Airframe</t>
  </si>
  <si>
    <t>0099556316</t>
  </si>
  <si>
    <t>https://www.goodreads.com/book/show/7667.Airframe</t>
  </si>
  <si>
    <t>Prey</t>
  </si>
  <si>
    <t>0007154534</t>
  </si>
  <si>
    <t>https://www.goodreads.com/book/show/848004.Prey</t>
  </si>
  <si>
    <t>The Andromeda Strain</t>
  </si>
  <si>
    <t>9780099319511</t>
  </si>
  <si>
    <t>https://www.goodreads.com/book/show/848001.The_Andromeda_Strain</t>
  </si>
  <si>
    <t>Trojan Odyssey</t>
  </si>
  <si>
    <t>Cussler, Clive</t>
  </si>
  <si>
    <t>Dirk Pitt</t>
  </si>
  <si>
    <t>Adventure</t>
  </si>
  <si>
    <t>0399150803</t>
  </si>
  <si>
    <t>https://www.goodreads.com/book/show/1000089.Trojan_Odyssey</t>
  </si>
  <si>
    <t>The Sea Hunters II</t>
  </si>
  <si>
    <t>Cussler, Clive; Dirgo, Craig</t>
  </si>
  <si>
    <t>The Sea Hunters</t>
  </si>
  <si>
    <t>0399149252</t>
  </si>
  <si>
    <t>https://www.goodreads.com/book/show/1148508.The_Sea_Hunters_II</t>
  </si>
  <si>
    <t>Polar Shift</t>
  </si>
  <si>
    <t>Cussler, Clive; Kemprecos, Paul</t>
  </si>
  <si>
    <t>NUMA Files</t>
  </si>
  <si>
    <t>0399152717</t>
  </si>
  <si>
    <t>https://www.goodreads.com/book/show/912223.Polar_Shift</t>
  </si>
  <si>
    <t>101 Folktales from India</t>
  </si>
  <si>
    <t>D'Souza, Eunice</t>
  </si>
  <si>
    <t>Fable</t>
  </si>
  <si>
    <t>0670049670</t>
  </si>
  <si>
    <t>https://www.goodreads.com/book/show/971751.One_Hundred_and_One_Folktales_from_India</t>
  </si>
  <si>
    <t>The Anatomy of Murder</t>
  </si>
  <si>
    <t>Detection Club, The</t>
  </si>
  <si>
    <t>9780007569687</t>
  </si>
  <si>
    <t>https://www.goodreads.com/book/show/23018928-the-anatomy-of-murder</t>
  </si>
  <si>
    <t>The Zap Gun</t>
  </si>
  <si>
    <t>Dick, Philip K.</t>
  </si>
  <si>
    <t>9780375719363</t>
  </si>
  <si>
    <t>https://www.goodreads.com/book/show/226477.The_Zap_Gun</t>
  </si>
  <si>
    <t>Hard Times</t>
  </si>
  <si>
    <t>Dickens, Charles</t>
  </si>
  <si>
    <t>9788175812949</t>
  </si>
  <si>
    <t>https://www.goodreads.com/book/show/5344.Hard_Times</t>
  </si>
  <si>
    <t>Nicholas Nickleby</t>
  </si>
  <si>
    <t>1853262641</t>
  </si>
  <si>
    <t>https://www.goodreads.com/book/show/484316.Nicholas_Nickleby</t>
  </si>
  <si>
    <t>3.91</t>
  </si>
  <si>
    <t>The Mystery of the Melted Coins</t>
  </si>
  <si>
    <t>Dixon, Franklin W.</t>
  </si>
  <si>
    <t>The Hardy Boys</t>
  </si>
  <si>
    <t>0006923518</t>
  </si>
  <si>
    <t>https://www.goodreads.com/book/show/278499.The_Mystery_of_the_Melted_Coins</t>
  </si>
  <si>
    <t>House of Cards</t>
  </si>
  <si>
    <t>Dobbs, Michael</t>
  </si>
  <si>
    <t>Political</t>
  </si>
  <si>
    <t>9780006176909</t>
  </si>
  <si>
    <t>https://www.goodreads.com/book/show/1408078.House_of_Cards?ac=1&amp;from_search=1</t>
  </si>
  <si>
    <t>To Play the King</t>
  </si>
  <si>
    <t>9780007385171</t>
  </si>
  <si>
    <t>https://www.goodreads.com/book/show/23018676-to-play-the-king</t>
  </si>
  <si>
    <t>The Final Cut</t>
  </si>
  <si>
    <t>9780007375158</t>
  </si>
  <si>
    <t>https://www.goodreads.com/book/show/23018618-the-final-cut</t>
  </si>
  <si>
    <t>Room</t>
  </si>
  <si>
    <t>Donoghue, Emma</t>
  </si>
  <si>
    <t>9781509803156</t>
  </si>
  <si>
    <t>https://www.goodreads.com/book/show/27258775-room?from_new_nav=true&amp;ac=1&amp;from_search=true</t>
  </si>
  <si>
    <t>Girl in White Cotton</t>
  </si>
  <si>
    <t>Doshi, Avni</t>
  </si>
  <si>
    <t>9789353571382</t>
  </si>
  <si>
    <t>Burnt Sugar by Avni Doshi | Goodreads</t>
  </si>
  <si>
    <t>Notes From Underground</t>
  </si>
  <si>
    <t>Dostoyevsky, Fyodor</t>
  </si>
  <si>
    <t>Philosophy</t>
  </si>
  <si>
    <t>9780451529558</t>
  </si>
  <si>
    <t>https://www.goodreads.com/book/show/17876.Notes_from_Underground_White_Nights_The_Dream_of_a_Ridiculous_Man_and_Selections_from_The_House_of_the_Dead</t>
  </si>
  <si>
    <t>Sherlock Holmes: The Complete Novels and Stories, Volume I</t>
  </si>
  <si>
    <t>Doyle, Sir Arthur Conan</t>
  </si>
  <si>
    <t>Sherlock Holmes</t>
  </si>
  <si>
    <t>1-5</t>
  </si>
  <si>
    <t>0553212419</t>
  </si>
  <si>
    <t>Sherlock Holmes: The Complete Novels and Stories, Volume II</t>
  </si>
  <si>
    <t>6-9</t>
  </si>
  <si>
    <t>0553212427</t>
  </si>
  <si>
    <t>This Is How You Lose the Time War</t>
  </si>
  <si>
    <t>El-Mohtar, Amal; Gladstone Max</t>
  </si>
  <si>
    <t>9781534430990</t>
  </si>
  <si>
    <t>https://www.goodreads.com/book/show/53870787-this-is-how-you-lose-the-time-war</t>
  </si>
  <si>
    <t>Pet</t>
  </si>
  <si>
    <t>Emezi, Akwaeke</t>
  </si>
  <si>
    <t>9780571355112</t>
  </si>
  <si>
    <t>https://www.goodreads.com/book/show/44032417-pet</t>
  </si>
  <si>
    <t>A Wrinkle in Time</t>
  </si>
  <si>
    <t>Engle, Madeleine L'</t>
  </si>
  <si>
    <t>Time Quintet</t>
  </si>
  <si>
    <t>0440998050</t>
  </si>
  <si>
    <t>https://www.goodreads.com/book/show/117980.A_Wrinkle_in_Time</t>
  </si>
  <si>
    <t>Simple Passion</t>
  </si>
  <si>
    <t>Ernaux, Annie</t>
  </si>
  <si>
    <t>French</t>
  </si>
  <si>
    <t>9781644213575</t>
  </si>
  <si>
    <t>Simple Passion by Annie Ernaux | Goodreads</t>
  </si>
  <si>
    <t>Shadow of a Dark Queen</t>
  </si>
  <si>
    <t>Fiest, Raymond E.</t>
  </si>
  <si>
    <t>The Serpentwar Saga</t>
  </si>
  <si>
    <t>9780008120832</t>
  </si>
  <si>
    <t>https://www.goodreads.com/book/show/27239382-shadow-of-a-dark-queen</t>
  </si>
  <si>
    <t>The Great Gatsby</t>
  </si>
  <si>
    <t>Fitzgerald, F. Scott</t>
  </si>
  <si>
    <t>9780007368655</t>
  </si>
  <si>
    <t>https://www.goodreads.com/book/show/8701200-the-great-gatsby</t>
  </si>
  <si>
    <t>The Narrow Road to the Deep North</t>
  </si>
  <si>
    <t>Flanagan, Richard</t>
  </si>
  <si>
    <t>War</t>
  </si>
  <si>
    <t>9780701189051</t>
  </si>
  <si>
    <t>https://www.goodreads.com/book/show/18803672-the-narrow-road-to-the-deep-north</t>
  </si>
  <si>
    <t>Casino Royale</t>
  </si>
  <si>
    <t>Fleming, Ian</t>
  </si>
  <si>
    <t>James Bond</t>
  </si>
  <si>
    <t>Spy</t>
  </si>
  <si>
    <t>9780141028309</t>
  </si>
  <si>
    <t>https://www.goodreads.com/book/show/998453.Casino_Royale</t>
  </si>
  <si>
    <t>From Russia with Love</t>
  </si>
  <si>
    <t>9780099576051</t>
  </si>
  <si>
    <t>Gone Girl</t>
  </si>
  <si>
    <t>Flynn, Gillian</t>
  </si>
  <si>
    <t>Psych</t>
  </si>
  <si>
    <t>9781780221359</t>
  </si>
  <si>
    <t>Lent</t>
  </si>
  <si>
    <t>American Gods</t>
  </si>
  <si>
    <t>Gaiman, Neil</t>
  </si>
  <si>
    <t>Mythological</t>
  </si>
  <si>
    <t>9780747263746</t>
  </si>
  <si>
    <t>https://www.goodreads.com/book/show/4407.American_Gods</t>
  </si>
  <si>
    <t>The Propher</t>
  </si>
  <si>
    <t>Gibran, Kahlil</t>
  </si>
  <si>
    <t>Poetry</t>
  </si>
  <si>
    <t>8185674728</t>
  </si>
  <si>
    <t>https://www.goodreads.com/book/show/20395.The_Prophet</t>
  </si>
  <si>
    <t>Acts of God</t>
  </si>
  <si>
    <t>Gill, Kanan</t>
  </si>
  <si>
    <t>Comedy</t>
  </si>
  <si>
    <t>9789356996823</t>
  </si>
  <si>
    <t>https://www.goodreads.com/book/show/208917762-acts-of-god</t>
  </si>
  <si>
    <t>Memoirs of a Geisha</t>
  </si>
  <si>
    <t>Golden, Arthur</t>
  </si>
  <si>
    <t>9780099771517</t>
  </si>
  <si>
    <t>https://www.goodreads.com/book/show/933.Memoirs_of_a_Geisha</t>
  </si>
  <si>
    <t>The Lost Story</t>
  </si>
  <si>
    <t>Goyal, Amit; Gupta, Sudhanshu</t>
  </si>
  <si>
    <t>9789381841020</t>
  </si>
  <si>
    <t>https://www.goodreads.com/book/show/13499757-the-lost-story</t>
  </si>
  <si>
    <t>Lost Stars</t>
  </si>
  <si>
    <t>Gray, Claudia</t>
  </si>
  <si>
    <t>Space Opera</t>
  </si>
  <si>
    <t>9781405277884</t>
  </si>
  <si>
    <t>https://www.goodreads.com/book/show/25067046-lost-stars</t>
  </si>
  <si>
    <t>Star Wars: Bloodline</t>
  </si>
  <si>
    <t>9780099594284</t>
  </si>
  <si>
    <r>
      <rPr>
        <rFont val="Calibri"/>
        <color rgb="FF1155CC"/>
        <sz val="9.0"/>
        <u/>
      </rPr>
      <t>Bloodline by Claudia Gray - Star Wars</t>
    </r>
    <r>
      <rPr>
        <rFont val="Calibri"/>
        <color theme="1"/>
        <sz val="9.0"/>
      </rPr>
      <t>04-star-wars</t>
    </r>
  </si>
  <si>
    <t>Looking for Alaska</t>
  </si>
  <si>
    <t>Green, John</t>
  </si>
  <si>
    <t>9780007523528</t>
  </si>
  <si>
    <t>https://www.goodreads.com/book/show/17928297-looking-for-alaska</t>
  </si>
  <si>
    <t>The White Queen</t>
  </si>
  <si>
    <t>Gregory, Philippa</t>
  </si>
  <si>
    <t>The Cousin's War</t>
  </si>
  <si>
    <t>9781847394644</t>
  </si>
  <si>
    <t>https://www.goodreads.com/book/show/6784131-the-white-queen</t>
  </si>
  <si>
    <t>A Time to Kill</t>
  </si>
  <si>
    <t>Grisham, John</t>
  </si>
  <si>
    <t>Jake Brigance</t>
  </si>
  <si>
    <t>0099134012</t>
  </si>
  <si>
    <t>https://www.goodreads.com/book/show/32548.A_Time_to_Kill</t>
  </si>
  <si>
    <t>Earthsea: The First Four Books</t>
  </si>
  <si>
    <t>Guin, Ursula K. Le</t>
  </si>
  <si>
    <t>Earthsea Cycle</t>
  </si>
  <si>
    <t>9780241618042</t>
  </si>
  <si>
    <t>https://www.goodreads.com/book/show/61161884-earthsea</t>
  </si>
  <si>
    <t>Moth Smoke</t>
  </si>
  <si>
    <t>Hamid, Mohsin</t>
  </si>
  <si>
    <t>0140297049</t>
  </si>
  <si>
    <t>Moth Smoke by Mohsin Hamid | Goodreads</t>
  </si>
  <si>
    <t>The Reluctant Fundamentalist</t>
  </si>
  <si>
    <t>Social</t>
  </si>
  <si>
    <t>9780143064244</t>
  </si>
  <si>
    <t>https://www.goodreads.com/book/show/17725604-the-reluctant-fundamentalist</t>
  </si>
  <si>
    <t>The Nightingale</t>
  </si>
  <si>
    <t>Hannah, Kristin</t>
  </si>
  <si>
    <t>9781447283072</t>
  </si>
  <si>
    <t>https://www.goodreads.com/book/show/24332503-the-nightingale</t>
  </si>
  <si>
    <t>The Great Novels of Thomas Hardy: Tess of the D'Urbervilles, Far from the Madding Crowd, The Mayor of Casterbridge</t>
  </si>
  <si>
    <t>Hardy, Thomas</t>
  </si>
  <si>
    <t>1854871684</t>
  </si>
  <si>
    <t>https://www.goodreads.com/book/show/9866093-the-great-novels-of-thomas-hardy</t>
  </si>
  <si>
    <t>4.4</t>
  </si>
  <si>
    <t>Chocolat</t>
  </si>
  <si>
    <t>Harris, Joanne</t>
  </si>
  <si>
    <t>0552998486</t>
  </si>
  <si>
    <t>https://www.goodreads.com/book/show/15107.Chocolat</t>
  </si>
  <si>
    <t>Red Dragon</t>
  </si>
  <si>
    <t>Harris, Thomas</t>
  </si>
  <si>
    <t>Hannibal Lecter</t>
  </si>
  <si>
    <t>0099111519</t>
  </si>
  <si>
    <t>https://www.goodreads.com/book/show/1287727.Red_Dragon?ac=1&amp;from_search=1</t>
  </si>
  <si>
    <t>The Silence of the Lambs</t>
  </si>
  <si>
    <t>074930054X</t>
  </si>
  <si>
    <t>https://www.goodreads.com/book/show/1274884.The_Silence_of_the_Lambs</t>
  </si>
  <si>
    <t>Hannibal</t>
  </si>
  <si>
    <t>0099297701</t>
  </si>
  <si>
    <t>https://www.goodreads.com/book/show/32418.Hannibal</t>
  </si>
  <si>
    <t>Weyward</t>
  </si>
  <si>
    <t>Hart, Emelia</t>
  </si>
  <si>
    <t>9780008541071</t>
  </si>
  <si>
    <t>https://www.goodreads.com/book/show/123256448-weyward</t>
  </si>
  <si>
    <t>Catch-22</t>
  </si>
  <si>
    <t>Heller, Joseph</t>
  </si>
  <si>
    <t>9780099536017</t>
  </si>
  <si>
    <t>https://www.goodreads.com/book/show/106609.Catch_22</t>
  </si>
  <si>
    <t>The Great Dune Trilogy</t>
  </si>
  <si>
    <t>Herbert, Frank</t>
  </si>
  <si>
    <t>Dune</t>
  </si>
  <si>
    <t>1,2,3</t>
  </si>
  <si>
    <t>9781473233775</t>
  </si>
  <si>
    <t>https://www.goodreads.com/book/show/58660518-the-great-dune-trilogy</t>
  </si>
  <si>
    <t>Black Panther: Tales of Wakanda</t>
  </si>
  <si>
    <t>Holland, Jesse J. (Editor), Various</t>
  </si>
  <si>
    <t>Superhero</t>
  </si>
  <si>
    <t>9781789095685</t>
  </si>
  <si>
    <t>Black Panther: Tales of Wakanda by Sheree Renée Thomas | Goodreads</t>
  </si>
  <si>
    <t>The Odyssey</t>
  </si>
  <si>
    <t>Homer</t>
  </si>
  <si>
    <t>The Homeric Epics</t>
  </si>
  <si>
    <t>9788175993051</t>
  </si>
  <si>
    <t>https://www.goodreads.com/book/show/31430397-the-odyssey</t>
  </si>
  <si>
    <t>The Kite Runner</t>
  </si>
  <si>
    <t>Hosseini, Khaled</t>
  </si>
  <si>
    <t>9780747566533</t>
  </si>
  <si>
    <t>https://www.goodreads.com/book/show/437129.The_Kite_Runner</t>
  </si>
  <si>
    <t>Natchez Burning</t>
  </si>
  <si>
    <t>Iles, Greg</t>
  </si>
  <si>
    <t>Penn Cage</t>
  </si>
  <si>
    <t>9780007317967</t>
  </si>
  <si>
    <t>https://www.goodreads.com/book/show/9286133-natchez-burning</t>
  </si>
  <si>
    <t>Fighting Fantasy: Fight to the Very End</t>
  </si>
  <si>
    <t>Jackson, Steve; Livingstone, Ian</t>
  </si>
  <si>
    <t>Fighting Fantasy</t>
  </si>
  <si>
    <t>1,2,6,24</t>
  </si>
  <si>
    <t>Gamebook</t>
  </si>
  <si>
    <t>1840464925</t>
  </si>
  <si>
    <t>https://www.goodreads.com/book/show/1260765.The_Warlock_of_Firetop_Mountain_Citadel_of_Chaos_Deathtrap_Dungeon_Creature_of_Havoc</t>
  </si>
  <si>
    <t>Three Men in a Boat</t>
  </si>
  <si>
    <t>Jerome, Jerome K.</t>
  </si>
  <si>
    <t>9780007449439</t>
  </si>
  <si>
    <t>https://www.goodreads.com/book/show/13650424-three-men-in-a-boat</t>
  </si>
  <si>
    <t>The Girl Who Saved the King of Sweden</t>
  </si>
  <si>
    <t>Jonasson, Jonas</t>
  </si>
  <si>
    <t>Humour</t>
  </si>
  <si>
    <t>9780007557905</t>
  </si>
  <si>
    <t>https://www.goodreads.com/book/show/21094993-the-girl-who-saved-the-king-of-sweden</t>
  </si>
  <si>
    <t>The Eye of the World</t>
  </si>
  <si>
    <t>Jordan, Robert</t>
  </si>
  <si>
    <t>The Wheel of Time</t>
  </si>
  <si>
    <t>1857230760 </t>
  </si>
  <si>
    <t>https://www.goodreads.com/book/show/1111608.The_Eye_of_the_World</t>
  </si>
  <si>
    <t>The Great Hunt</t>
  </si>
  <si>
    <t>https://www.goodreads.com/book/show/1231807.The_Great_Hunt</t>
  </si>
  <si>
    <t>The Dragon Reborn</t>
  </si>
  <si>
    <t>1857230655</t>
  </si>
  <si>
    <t>https://www.goodreads.com/book/show/867544.The_Dragon_Reborn</t>
  </si>
  <si>
    <t>The Shadow Rising</t>
  </si>
  <si>
    <t>9780812513738</t>
  </si>
  <si>
    <t>https://www.goodreads.com/book/show/9539.The_Shadow_Rising</t>
  </si>
  <si>
    <t>Ulysses</t>
  </si>
  <si>
    <t>Joyce, James</t>
  </si>
  <si>
    <t>Classic</t>
  </si>
  <si>
    <t>9788175994546</t>
  </si>
  <si>
    <t>https://www.goodreads.com/book/show/40861007-ulysses</t>
  </si>
  <si>
    <t>Sandman Slim</t>
  </si>
  <si>
    <t>Kadrey, Richard</t>
  </si>
  <si>
    <t>9780007445981</t>
  </si>
  <si>
    <t>https://www.goodreads.com/book/show/16481608-sandman-slim</t>
  </si>
  <si>
    <t>Kill the Dead</t>
  </si>
  <si>
    <t>9780007446001</t>
  </si>
  <si>
    <t>https://www.goodreads.com/book/show/16481632-kill-the-dead</t>
  </si>
  <si>
    <t>Aloha From Hell</t>
  </si>
  <si>
    <t>9780007446025</t>
  </si>
  <si>
    <t>https://www.goodreads.com/book/show/16481609-aloha-from-hell</t>
  </si>
  <si>
    <t>Devil Said Bang</t>
  </si>
  <si>
    <t>9780007483716</t>
  </si>
  <si>
    <t>https://www.goodreads.com/book/show/16481615-devil-said-bang</t>
  </si>
  <si>
    <t>Kill City Blues</t>
  </si>
  <si>
    <t>9780007446063</t>
  </si>
  <si>
    <t>https://www.goodreads.com/book/show/23018707-kill-city-blues</t>
  </si>
  <si>
    <t>The Getaway God</t>
  </si>
  <si>
    <t>9780007446087</t>
  </si>
  <si>
    <t>https://www.goodreads.com/book/show/23018708-the-getaway-god</t>
  </si>
  <si>
    <t>Killing Pretty</t>
  </si>
  <si>
    <t>9780008121006</t>
  </si>
  <si>
    <t>https://www.goodreads.com/book/show/25963339-killing-pretty</t>
  </si>
  <si>
    <t>Never Say Die</t>
  </si>
  <si>
    <t>Keene, Carolyn</t>
  </si>
  <si>
    <t>The Nancy Drew Files</t>
  </si>
  <si>
    <t>0671736663</t>
  </si>
  <si>
    <t>https://www.goodreads.com/book/show/1013357.Never_Say_Die</t>
  </si>
  <si>
    <t>The Gunslinger</t>
  </si>
  <si>
    <t>King, Stephen</t>
  </si>
  <si>
    <t>The Dark Tower</t>
  </si>
  <si>
    <t>034070750X</t>
  </si>
  <si>
    <t>https://www.goodreads.com/book/show/884572.The_Gunslinger</t>
  </si>
  <si>
    <t>The Drawing of the Three</t>
  </si>
  <si>
    <t>0340707518</t>
  </si>
  <si>
    <t>https://www.goodreads.com/book/show/995124.The_Drawing_of_the_Three</t>
  </si>
  <si>
    <t>The Waste Lands</t>
  </si>
  <si>
    <t>9780340707524</t>
  </si>
  <si>
    <t>Wizard and Glass</t>
  </si>
  <si>
    <t>0340696621</t>
  </si>
  <si>
    <t>https://www.goodreads.com/book/show/1102582.Wizard_and_Glass</t>
  </si>
  <si>
    <t>Wolves of the Calla</t>
  </si>
  <si>
    <t>0340836156</t>
  </si>
  <si>
    <t>https://www.goodreads.com/book/show/815435.Wolves_of_the_Calla</t>
  </si>
  <si>
    <t>Song of the Susannah</t>
  </si>
  <si>
    <t>0340827181</t>
  </si>
  <si>
    <t>https://www.goodreads.com/book/show/893966.Song_of_Susannah</t>
  </si>
  <si>
    <t>0340827211</t>
  </si>
  <si>
    <t>https://www.goodreads.com/book/show/22549.The_Dark_Tower</t>
  </si>
  <si>
    <t>Different Seasons</t>
  </si>
  <si>
    <t>0751504335</t>
  </si>
  <si>
    <t>https://www.goodreads.com/book/show/13441.Different_Seasons</t>
  </si>
  <si>
    <t>The Green Mile</t>
  </si>
  <si>
    <t>0752821466</t>
  </si>
  <si>
    <t>The Dinner</t>
  </si>
  <si>
    <t>Koch, Herman</t>
  </si>
  <si>
    <t>9780857897206</t>
  </si>
  <si>
    <t>Death and the Penguin</t>
  </si>
  <si>
    <t>Kurkov, Andrey</t>
  </si>
  <si>
    <t>Penguin Series</t>
  </si>
  <si>
    <t>1860469450</t>
  </si>
  <si>
    <t>https://www.goodreads.com/book/show/152893.Death_and_the_Penguin</t>
  </si>
  <si>
    <t>The Namesake</t>
  </si>
  <si>
    <t>Lahiri, Jhumpa</t>
  </si>
  <si>
    <t>9780007258918</t>
  </si>
  <si>
    <t>https://www.goodreads.com/book/show/821872.The_Namesake</t>
  </si>
  <si>
    <t>Skullduggery Pleasant</t>
  </si>
  <si>
    <t>Landy, Derek</t>
  </si>
  <si>
    <t>9780007241620</t>
  </si>
  <si>
    <t>https://www.goodreads.com/book/show/924062.Skulduggery_Pleasant</t>
  </si>
  <si>
    <t>The Girl with the Dragon Tattoo</t>
  </si>
  <si>
    <t>Larsson, Steig</t>
  </si>
  <si>
    <t>Millenium</t>
  </si>
  <si>
    <t>9781847245458</t>
  </si>
  <si>
    <t>https://www.goodreads.com/book/show/44064449-the-girl-with-the-dragon-tattoo</t>
  </si>
  <si>
    <t>The Girl Who Played with Fire</t>
  </si>
  <si>
    <t>9781906694180</t>
  </si>
  <si>
    <t>https://www.goodreads.com/book/show/6087991-the-girl-who-played-with-fire</t>
  </si>
  <si>
    <t>The Girl Who Kicked the Hornet's Nest</t>
  </si>
  <si>
    <t>9781849162746</t>
  </si>
  <si>
    <t>https://www.goodreads.com/book/show/6979651-the-girl-who-kicked-the-hornet-s-nest</t>
  </si>
  <si>
    <t>To Kill a Mockingbird</t>
  </si>
  <si>
    <t>Lee, Harper</t>
  </si>
  <si>
    <t>9780099549482</t>
  </si>
  <si>
    <t>https://www.goodreads.com/book/show/8045416-to-kill-a-mockingbird?ac=1&amp;from_search=1</t>
  </si>
  <si>
    <t>The Chronicles of Narnia</t>
  </si>
  <si>
    <t>Lewis, C. S.</t>
  </si>
  <si>
    <t>9780007286263</t>
  </si>
  <si>
    <t>https://www.goodreads.com/book/show/18498584-the-chronicles-of-narnia</t>
  </si>
  <si>
    <t>The Giver</t>
  </si>
  <si>
    <t>Lowry, Lois</t>
  </si>
  <si>
    <t>9780007263516</t>
  </si>
  <si>
    <t>https://www.goodreads.com/book/show/1450716.The_Giver</t>
  </si>
  <si>
    <t>Son</t>
  </si>
  <si>
    <t>9780007597307</t>
  </si>
  <si>
    <t>https://www.goodreads.com/book/show/23019092-son</t>
  </si>
  <si>
    <t>Number the Stars</t>
  </si>
  <si>
    <t>9780007395200</t>
  </si>
  <si>
    <t>https://www.goodreads.com/book/show/13146527-number-the-stars</t>
  </si>
  <si>
    <t>Star Wars: From the Adventures of Luke Skywalker</t>
  </si>
  <si>
    <t>Lucas, George</t>
  </si>
  <si>
    <t>Star Wars Novelizations</t>
  </si>
  <si>
    <t xml:space="preserve">0722156693 </t>
  </si>
  <si>
    <t>https://www.goodreads.com/book/show/2178342.Star_Wars?ac=1&amp;from_search=1</t>
  </si>
  <si>
    <t>Darth Plagueis</t>
  </si>
  <si>
    <t>Luceno, James</t>
  </si>
  <si>
    <t>9780099542643</t>
  </si>
  <si>
    <t>https://www.goodreads.com/book/show/16163153-darth-plagueis</t>
  </si>
  <si>
    <t>Tarkin</t>
  </si>
  <si>
    <t>9781784750077</t>
  </si>
  <si>
    <t>https://www.goodreads.com/book/show/24493730-tarkin</t>
  </si>
  <si>
    <t>The Bourne Identity</t>
  </si>
  <si>
    <t>Ludlum, Robert</t>
  </si>
  <si>
    <t>Jason Bourne</t>
  </si>
  <si>
    <t>0752858548</t>
  </si>
  <si>
    <t>https://www.goodreads.com/book/show/546927.The_Bourne_Identity</t>
  </si>
  <si>
    <t>The Bourne Supremacy</t>
  </si>
  <si>
    <t>0752858513</t>
  </si>
  <si>
    <t>https://www.goodreads.com/book/show/842574.The_Bourne_Supremacy</t>
  </si>
  <si>
    <t>The Bourne Ultimatum</t>
  </si>
  <si>
    <t>0752858491</t>
  </si>
  <si>
    <t>https://www.goodreads.com/book/show/31259.The_Bourne_Ultimatum</t>
  </si>
  <si>
    <t>The Lies of Locke Lamorra</t>
  </si>
  <si>
    <t>Lynch, Scott</t>
  </si>
  <si>
    <t>Gentlemen Bastards</t>
  </si>
  <si>
    <t>9780575079755</t>
  </si>
  <si>
    <t>https://www.goodreads.com/book/show/865293.The_Lies_of_Locke_Lamora</t>
  </si>
  <si>
    <t>The Boy, The Mole, The Fox and The Horse</t>
  </si>
  <si>
    <t>Mackesy, Charlie</t>
  </si>
  <si>
    <t>Picture</t>
  </si>
  <si>
    <t>9781529105100</t>
  </si>
  <si>
    <t>https://www.goodreads.com/book/show/43708884-the-boy-the-mole-the-fox-and-the-horse</t>
  </si>
  <si>
    <t>Station Eleven</t>
  </si>
  <si>
    <t>Mandel, Emily St. John</t>
  </si>
  <si>
    <t>Dystopian</t>
  </si>
  <si>
    <t>9781447268970</t>
  </si>
  <si>
    <t>https://www.goodreads.com/book/show/23593321-station-eleven</t>
  </si>
  <si>
    <t>Love in the Time of Cholera</t>
  </si>
  <si>
    <t>Márquez, Gabriel García</t>
  </si>
  <si>
    <t>0394561619</t>
  </si>
  <si>
    <t>https://www.goodreads.com/book/show/118039.Love_in_the_Time_of_Cholera</t>
  </si>
  <si>
    <t>One Hundred Years of Solitude</t>
  </si>
  <si>
    <t>9780140157512</t>
  </si>
  <si>
    <t>https://www.goodreads.com/book/show/28086.One_Hundred_Years_of_Solitude</t>
  </si>
  <si>
    <t>Life of Pi</t>
  </si>
  <si>
    <t>Martel, Yann</t>
  </si>
  <si>
    <t>9781841953922</t>
  </si>
  <si>
    <t>https://www.goodreads.com/book/show/477725.Life_of_Pi</t>
  </si>
  <si>
    <t>A Game of Thrones</t>
  </si>
  <si>
    <t>Martin, George R.R.</t>
  </si>
  <si>
    <t>A Song of Ice and Fire</t>
  </si>
  <si>
    <t>9780007448036</t>
  </si>
  <si>
    <t>https://www.goodreads.com/book/show/11788809-a-game-of-thrones</t>
  </si>
  <si>
    <t>A Clash of Kings</t>
  </si>
  <si>
    <t>9780007447831</t>
  </si>
  <si>
    <t>https://www.goodreads.com/book/show/11788811-a-clash-of-kings</t>
  </si>
  <si>
    <t>A Storm of Swords 1: Steel &amp; Snow</t>
  </si>
  <si>
    <t>9780007447848</t>
  </si>
  <si>
    <t>https://www.goodreads.com/book/show/17984529-a-storm-of-swords</t>
  </si>
  <si>
    <t>A Storm of Swords 2: Blood &amp; Gold</t>
  </si>
  <si>
    <t>9780007447855</t>
  </si>
  <si>
    <t>https://www.goodreads.com/book/show/11539233-a-storm-of-swords</t>
  </si>
  <si>
    <t>A Feast for Crows</t>
  </si>
  <si>
    <t>9780007447862</t>
  </si>
  <si>
    <t>https://www.goodreads.com/book/show/11735456-a-feast-for-crows</t>
  </si>
  <si>
    <t>A Dance with Dragons 1: Dreams and Dust</t>
  </si>
  <si>
    <t>9780007466061</t>
  </si>
  <si>
    <t>https://www.goodreads.com/book/show/13337715-a-dance-with-dragons</t>
  </si>
  <si>
    <t>A Dance with Dragons 2: After the Feast</t>
  </si>
  <si>
    <t>9780007466078</t>
  </si>
  <si>
    <t>https://www.goodreads.com/book/show/13337716-a-dance-with-dragons</t>
  </si>
  <si>
    <t>Star Trek Deep Space Nine: The Never-Ending Sacrifice</t>
  </si>
  <si>
    <t>McCormack, Una</t>
  </si>
  <si>
    <t>9781439109618</t>
  </si>
  <si>
    <t>https://www.goodreads.com/book/show/5602679-star-trek</t>
  </si>
  <si>
    <t>Atonement</t>
  </si>
  <si>
    <t>McEwan, Ian</t>
  </si>
  <si>
    <t>9780099507383</t>
  </si>
  <si>
    <t>https://www.goodreads.com/book/show/1457100.Atonement</t>
  </si>
  <si>
    <t>The Crystal Star</t>
  </si>
  <si>
    <t>McIntyre, Vonda N.</t>
  </si>
  <si>
    <t>0553571745</t>
  </si>
  <si>
    <t>https://www.goodreads.com/book/show/263012.The_Crystal_Star</t>
  </si>
  <si>
    <t>One Last Stop</t>
  </si>
  <si>
    <t>Mcquiston, Casey</t>
  </si>
  <si>
    <t>9781529099485</t>
  </si>
  <si>
    <t>https://www.goodreads.com/book/show/60826761-one-last-stop</t>
  </si>
  <si>
    <t>Red, White &amp; Royal Blue</t>
  </si>
  <si>
    <t>9781529099461</t>
  </si>
  <si>
    <t>https://www.goodreads.com/book/show/60812779-red-white-royal-blue</t>
  </si>
  <si>
    <t>Moby-Dick or, The Whale</t>
  </si>
  <si>
    <t>Melville, Herman</t>
  </si>
  <si>
    <t>9788175992771</t>
  </si>
  <si>
    <t>https://www.goodreads.com/book/show/41734114-moby-dick-or-the-whale</t>
  </si>
  <si>
    <t>Circe</t>
  </si>
  <si>
    <t>Miller, Madeline</t>
  </si>
  <si>
    <t>Mythology</t>
  </si>
  <si>
    <t>9781526614674</t>
  </si>
  <si>
    <t>https://www.goodreads.com/book/show/44428616-circe</t>
  </si>
  <si>
    <t>Song of Solomon</t>
  </si>
  <si>
    <t>Morrison, Toni</t>
  </si>
  <si>
    <t>9780099768418</t>
  </si>
  <si>
    <t>Song of Solomon by Toni Morrison | Goodreads</t>
  </si>
  <si>
    <t>A World Without Heroes</t>
  </si>
  <si>
    <t>Mull, Brandon</t>
  </si>
  <si>
    <t>Beyonders</t>
  </si>
  <si>
    <t>9781416997924</t>
  </si>
  <si>
    <t>https://www.goodreads.com/book/show/8306745-a-world-without-heroes</t>
  </si>
  <si>
    <t>Sky Raiders</t>
  </si>
  <si>
    <t>Five Kingdoms</t>
  </si>
  <si>
    <t>9781471121883</t>
  </si>
  <si>
    <t>https://www.goodreads.com/book/show/23159175-sky-raiders</t>
  </si>
  <si>
    <t>Kafka on the Shore</t>
  </si>
  <si>
    <t>Murakami, Haruki</t>
  </si>
  <si>
    <t>Surreal</t>
  </si>
  <si>
    <t>9780099494096</t>
  </si>
  <si>
    <t>https://www.goodreads.com/book/show/52427699-kafka-on-the-shore</t>
  </si>
  <si>
    <t>Norwegian Wood</t>
  </si>
  <si>
    <t>9780099448822</t>
  </si>
  <si>
    <t>Norwegian Wood by Haruki Murakami</t>
  </si>
  <si>
    <t>The Elephant Vanishes</t>
  </si>
  <si>
    <t>9780099448754</t>
  </si>
  <si>
    <t>https://www.goodreads.com/book/show/17181679-the-elephant-vanishes</t>
  </si>
  <si>
    <t>The Guide</t>
  </si>
  <si>
    <t>Narayan, R. K.</t>
  </si>
  <si>
    <t>9788185986074</t>
  </si>
  <si>
    <t>https://www.goodreads.com/book/show/6487744-the-guide</t>
  </si>
  <si>
    <t>Better than Life</t>
  </si>
  <si>
    <t>Naylor, Grant</t>
  </si>
  <si>
    <t>Red Dwarf</t>
  </si>
  <si>
    <t>0140124381</t>
  </si>
  <si>
    <t>https://www.goodreads.com/book/show/1193735.Better_Than_Life</t>
  </si>
  <si>
    <t>Five Children and It</t>
  </si>
  <si>
    <t>Nesbit, E.</t>
  </si>
  <si>
    <t>Five Children</t>
  </si>
  <si>
    <t>Child</t>
  </si>
  <si>
    <t>1853261246</t>
  </si>
  <si>
    <t>https://www.goodreads.com/book/show/1012884.Five_Children_and_It</t>
  </si>
  <si>
    <t>The Time Traveler's Wife</t>
  </si>
  <si>
    <t>Niffenegger, Audrey</t>
  </si>
  <si>
    <t>9780099593843</t>
  </si>
  <si>
    <t>https://www.goodreads.com/book/show/20493673-the-time-traveler-s-wife</t>
  </si>
  <si>
    <t>Empire of Ivory</t>
  </si>
  <si>
    <t>Novik, Naomi</t>
  </si>
  <si>
    <t>Temeraire</t>
  </si>
  <si>
    <t>Historic</t>
  </si>
  <si>
    <t>9780007256747</t>
  </si>
  <si>
    <t>https://www.goodreads.com/book/show/2573876-empire-of-ivory</t>
  </si>
  <si>
    <t>Animal Farm</t>
  </si>
  <si>
    <t>Orwell, George</t>
  </si>
  <si>
    <t>9780143416319</t>
  </si>
  <si>
    <t>https://www.goodreads.com/book/show/14060211-animal-farm</t>
  </si>
  <si>
    <t>Along Came a Spider</t>
  </si>
  <si>
    <t>Patterson, James</t>
  </si>
  <si>
    <t>Alex Cross</t>
  </si>
  <si>
    <t>0006476155</t>
  </si>
  <si>
    <t>https://www.goodreads.com/book/show/20489346-along-came-a-spider</t>
  </si>
  <si>
    <t>Mary Ventura and the Ninth Kingdom</t>
  </si>
  <si>
    <t>Plath, Sylvia</t>
  </si>
  <si>
    <t>Faber Stories</t>
  </si>
  <si>
    <t>9780571351732</t>
  </si>
  <si>
    <t>https://www.goodreads.com/book/show/42614095-mary-ventura-and-the-ninth-kingdom</t>
  </si>
  <si>
    <t>The Bell Jar</t>
  </si>
  <si>
    <t>9788181320346</t>
  </si>
  <si>
    <t>https://www.goodreads.com/book/show/25478183-the-bell-jar</t>
  </si>
  <si>
    <t>The Colour of Magic</t>
  </si>
  <si>
    <t>Pratchett, Terry</t>
  </si>
  <si>
    <t>Discworld</t>
  </si>
  <si>
    <t>9780552124751</t>
  </si>
  <si>
    <t>https://www.goodreads.com/book/show/601238.The_Colour_of_Magic</t>
  </si>
  <si>
    <t>Mort</t>
  </si>
  <si>
    <t>9780552131063</t>
  </si>
  <si>
    <t>https://www.goodreads.com/book/show/828352.Mort</t>
  </si>
  <si>
    <t>Small Gods</t>
  </si>
  <si>
    <t>9780552138901</t>
  </si>
  <si>
    <t>https://www.goodreads.com/book/show/47174166-small-gods</t>
  </si>
  <si>
    <t>Maskerade</t>
  </si>
  <si>
    <t>006105691X</t>
  </si>
  <si>
    <t>https://www.goodreads.com/book/show/64219.Maskerade</t>
  </si>
  <si>
    <t>Feet of Clay</t>
  </si>
  <si>
    <t>9780552142373</t>
  </si>
  <si>
    <t>https://www.goodreads.com/book/show/833426.Feet_of_Clay</t>
  </si>
  <si>
    <t>Night Watch</t>
  </si>
  <si>
    <t>9781804990667</t>
  </si>
  <si>
    <t>https://www.goodreads.com/book/show/63122382-night-watch</t>
  </si>
  <si>
    <t>A Hat Full of Sky</t>
  </si>
  <si>
    <t>9780060586621</t>
  </si>
  <si>
    <t>https://www.goodreads.com/book/show/618145.A_Hat_Full_of_Sky</t>
  </si>
  <si>
    <t>Snuff</t>
  </si>
  <si>
    <t>9780552163361</t>
  </si>
  <si>
    <t>https://www.goodreads.com/book/show/12924371-snuff</t>
  </si>
  <si>
    <t>Dodger</t>
  </si>
  <si>
    <t>9780552563154</t>
  </si>
  <si>
    <t>https://www.goodreads.com/book/show/16127247-dodger</t>
  </si>
  <si>
    <t>Good Omens</t>
  </si>
  <si>
    <t>Pratchett, Terry; Gaiman, Neil</t>
  </si>
  <si>
    <t>9780552137034</t>
  </si>
  <si>
    <t>https://www.goodreads.com/book/show/45893850-good-omens</t>
  </si>
  <si>
    <t>The Subtle Knife</t>
  </si>
  <si>
    <t>Pullman, Phillip</t>
  </si>
  <si>
    <t>His Dark Materials</t>
  </si>
  <si>
    <t>9781407104072</t>
  </si>
  <si>
    <t>https://www.goodreads.com/book/show/832144.The_Subtle_Knife</t>
  </si>
  <si>
    <t>The Revenant</t>
  </si>
  <si>
    <t>Punke, Michael</t>
  </si>
  <si>
    <t>Western</t>
  </si>
  <si>
    <t>9780008124021</t>
  </si>
  <si>
    <t>https://www.goodreads.com/book/show/28492027-the-revenant</t>
  </si>
  <si>
    <t>Stories of Robots</t>
  </si>
  <si>
    <t>Punter, Russel</t>
  </si>
  <si>
    <t>0746060033</t>
  </si>
  <si>
    <t>https://www.goodreads.com/book/show/13005296-stories-of-robots</t>
  </si>
  <si>
    <t>The Godfather</t>
  </si>
  <si>
    <t>Puzo, Mario</t>
  </si>
  <si>
    <t>9780099429289</t>
  </si>
  <si>
    <t>https://www.goodreads.com/book/show/826445.The_Godfather</t>
  </si>
  <si>
    <t>The Sicilian</t>
  </si>
  <si>
    <t>0099414742</t>
  </si>
  <si>
    <t>Snow Like Ashes</t>
  </si>
  <si>
    <t>Raasch, Sara</t>
  </si>
  <si>
    <t>9780062286932</t>
  </si>
  <si>
    <t>https://www.goodreads.com/book/show/24331409-snow-like-ashes</t>
  </si>
  <si>
    <t>The Apu Trilogy</t>
  </si>
  <si>
    <t>Ray, Satyajit</t>
  </si>
  <si>
    <t>Screenplay</t>
  </si>
  <si>
    <t>9780857426437</t>
  </si>
  <si>
    <t>https://www.goodreads.com/book/show/44319036-the-apu-trilogy</t>
  </si>
  <si>
    <t>The Last of the Renshai</t>
  </si>
  <si>
    <t>Reichert, Mickey Zucker</t>
  </si>
  <si>
    <t>Renshai Trilogy</t>
  </si>
  <si>
    <t>9781857981520</t>
  </si>
  <si>
    <t>https://www.goodreads.com/book/show/1362606.The_Last_of_the_Renshai</t>
  </si>
  <si>
    <t>Percy Jackson and the Lightning Thief</t>
  </si>
  <si>
    <t>Riordan, Rick</t>
  </si>
  <si>
    <t>Percy Jackson and the Olympians</t>
  </si>
  <si>
    <t>978014132994</t>
  </si>
  <si>
    <t>https://www.goodreads.com/book/show/6692896-the-lightning-thief</t>
  </si>
  <si>
    <t>Shantaram</t>
  </si>
  <si>
    <t>Roberts, Gregory David</t>
  </si>
  <si>
    <t>9780349117546</t>
  </si>
  <si>
    <t>https://www.goodreads.com/book/show/816552.Shantaram</t>
  </si>
  <si>
    <t>Normal People</t>
  </si>
  <si>
    <t>Rooney, Sally</t>
  </si>
  <si>
    <t>9780571334650</t>
  </si>
  <si>
    <t>https://www.goodreads.com/book/show/215585837-normal-people</t>
  </si>
  <si>
    <t>Tell Me I'm Worthless</t>
  </si>
  <si>
    <t>Rumfitt, Alison</t>
  </si>
  <si>
    <t>Satire</t>
  </si>
  <si>
    <t>9781838390020</t>
  </si>
  <si>
    <t>Tell Me I’m Worthless by Alison Rumfitt | Goodreads</t>
  </si>
  <si>
    <t>Midnight's Children</t>
  </si>
  <si>
    <t>Rushdie, Salman</t>
  </si>
  <si>
    <t>9780099582076</t>
  </si>
  <si>
    <t>https://www.goodreads.com/book/show/16685141-midnight-s-children</t>
  </si>
  <si>
    <t>Magyk</t>
  </si>
  <si>
    <t>Sage, Angie</t>
  </si>
  <si>
    <t>Septimus Heap</t>
  </si>
  <si>
    <t>9780747579267</t>
  </si>
  <si>
    <t>https://www.goodreads.com/book/show/839041.Magyk</t>
  </si>
  <si>
    <t>The Catcher in the Rye</t>
  </si>
  <si>
    <t>Salinger, J.D.</t>
  </si>
  <si>
    <t>Bildungsroman</t>
  </si>
  <si>
    <t>0316769487</t>
  </si>
  <si>
    <t>The Catcher in the Rye by J.D. Salinger</t>
  </si>
  <si>
    <t>The Rithmatist</t>
  </si>
  <si>
    <t>Sanderson, Brandon</t>
  </si>
  <si>
    <t>9781447266150</t>
  </si>
  <si>
    <t>https://www.goodreads.com/book/show/23602778-the-rithmatist?from_new_nav=true&amp;ac=1&amp;from_search=true</t>
  </si>
  <si>
    <t>The Way of Kings</t>
  </si>
  <si>
    <t>The Stormlight Archive</t>
  </si>
  <si>
    <t>9780765365279</t>
  </si>
  <si>
    <t>https://www.goodreads.com/book/show/9647295-the-way-of-kings?from_new_nav=true&amp;ac=1&amp;from_search=true</t>
  </si>
  <si>
    <t>Words of Radiance</t>
  </si>
  <si>
    <t>9780765365286</t>
  </si>
  <si>
    <t>https://www.goodreads.com/book/show/22313627-words-of-radiance?from_new_nav=true&amp;ac=1&amp;from_search=true</t>
  </si>
  <si>
    <t>Oathbringer</t>
  </si>
  <si>
    <t>9780765326379</t>
  </si>
  <si>
    <t>https://www.goodreads.com/book/show/34002132-oathbringer</t>
  </si>
  <si>
    <t>Rhythm of War</t>
  </si>
  <si>
    <t>9780765326386</t>
  </si>
  <si>
    <t>https://www.goodreads.com/book/show/49021976-rhythm-of-war</t>
  </si>
  <si>
    <t>Wind and Truth</t>
  </si>
  <si>
    <t>9781250385277</t>
  </si>
  <si>
    <t>https://www.goodreads.com/book/show/223214746-wind-and-truth</t>
  </si>
  <si>
    <t>Dissolution</t>
  </si>
  <si>
    <t>Sansom, C.J.</t>
  </si>
  <si>
    <t>Matthew Shardlake</t>
  </si>
  <si>
    <t>9780330450799</t>
  </si>
  <si>
    <t>https://www.goodreads.com/book/show/1205952.Dissolution</t>
  </si>
  <si>
    <t>The Reader</t>
  </si>
  <si>
    <t>Schlink, Bernhard</t>
  </si>
  <si>
    <t>9780753823293</t>
  </si>
  <si>
    <t>https://www.goodreads.com/book/show/2640673-the-reader</t>
  </si>
  <si>
    <t>After Sappho</t>
  </si>
  <si>
    <t>Schwartz, Selby Wynn</t>
  </si>
  <si>
    <t>9789390742226</t>
  </si>
  <si>
    <t>After Sappho by Selby Wynn Schwartz | Goodreads</t>
  </si>
  <si>
    <t>Other Worlds</t>
  </si>
  <si>
    <t>Scieszka, Jon</t>
  </si>
  <si>
    <t>9780007535026</t>
  </si>
  <si>
    <t>https://www.goodreads.com/book/show/18171953-other-worlds?ac=1&amp;from_search=true</t>
  </si>
  <si>
    <t>The Lovely Bones</t>
  </si>
  <si>
    <t>Sebold, Alice</t>
  </si>
  <si>
    <t>9780330457729</t>
  </si>
  <si>
    <t>https://www.goodreads.com/book/show/5163858-the-lovely-bones</t>
  </si>
  <si>
    <t>A Suitable Boy</t>
  </si>
  <si>
    <t>Seth, Vikram</t>
  </si>
  <si>
    <t>Suitables</t>
  </si>
  <si>
    <t>9781857990881</t>
  </si>
  <si>
    <t>https://www.goodreads.com/book/show/789684.A_Suitable_Boy</t>
  </si>
  <si>
    <t>Hamlet</t>
  </si>
  <si>
    <t>Shakespeare, William</t>
  </si>
  <si>
    <t>Tragedy</t>
  </si>
  <si>
    <t>Play</t>
  </si>
  <si>
    <t>9780743477123</t>
  </si>
  <si>
    <t>Hamlet by William Shakespeare | Goodreads</t>
  </si>
  <si>
    <t>Henry V</t>
  </si>
  <si>
    <t>9780007902323</t>
  </si>
  <si>
    <t>https://www.goodreads.com/book/show/13650565-henry-v</t>
  </si>
  <si>
    <t>Othello</t>
  </si>
  <si>
    <t>9780743477550</t>
  </si>
  <si>
    <t>https://www.goodreads.com/book/show/75485015-othello</t>
  </si>
  <si>
    <t>Vampire Blood Trilogy</t>
  </si>
  <si>
    <t>Shan, Darren</t>
  </si>
  <si>
    <t>The Saga of Darren Shan</t>
  </si>
  <si>
    <t>0007143745</t>
  </si>
  <si>
    <t>https://www.goodreads.com/book/show/164726.Vampire_Blood_Trilogy</t>
  </si>
  <si>
    <t>Ghachar Ghochar</t>
  </si>
  <si>
    <t>Shanbhag, Vivek</t>
  </si>
  <si>
    <t>9789352642373</t>
  </si>
  <si>
    <t>https://www.goodreads.com/book/show/33809968-ghachar-ghochar</t>
  </si>
  <si>
    <t>We Need To Talk About Kevin</t>
  </si>
  <si>
    <t>Shriver, Lionel</t>
  </si>
  <si>
    <t>Psychological</t>
  </si>
  <si>
    <t>1852424672</t>
  </si>
  <si>
    <t>https://www.goodreads.com/book/show/870775.We_Need_to_Talk_About_Kevin</t>
  </si>
  <si>
    <t>Lost in My Labyrinth</t>
  </si>
  <si>
    <t>Shukla, Gauri</t>
  </si>
  <si>
    <t>9798885695589</t>
  </si>
  <si>
    <t>https://www.goodreads.com/book/show/111210853-lost-in-my-labyrinth</t>
  </si>
  <si>
    <t>-</t>
  </si>
  <si>
    <t>The Crown's Game</t>
  </si>
  <si>
    <t>Skye, Evelyn</t>
  </si>
  <si>
    <t>9780062422590</t>
  </si>
  <si>
    <t>https://www.goodreads.com/book/show/30653914-the-crown-s-game</t>
  </si>
  <si>
    <t>Blue Shoes and Happiness</t>
  </si>
  <si>
    <t>Smith, Alexander McCall</t>
  </si>
  <si>
    <t>The No. 1 Ladies' Detective Agency</t>
  </si>
  <si>
    <t>Detective</t>
  </si>
  <si>
    <t>9780349117720</t>
  </si>
  <si>
    <t>https://www.goodreads.com/book/show/20575869-blue-shoes-and-happiness</t>
  </si>
  <si>
    <t>Child 44</t>
  </si>
  <si>
    <t>Smith, Tom Rob</t>
  </si>
  <si>
    <t>Leo Demidov</t>
  </si>
  <si>
    <t>9781847391599</t>
  </si>
  <si>
    <t>https://www.goodreads.com/book/show/4040988-child-44</t>
  </si>
  <si>
    <t>River God</t>
  </si>
  <si>
    <t>Smith, Wilbur</t>
  </si>
  <si>
    <t>Ancient Egypt</t>
  </si>
  <si>
    <t>Adevnture</t>
  </si>
  <si>
    <t>0330331973</t>
  </si>
  <si>
    <t>https://www.goodreads.com/book/show/884445.River_God</t>
  </si>
  <si>
    <t>Treasure Island</t>
  </si>
  <si>
    <t>Stevenson, Robert Louis</t>
  </si>
  <si>
    <t>9781853261039</t>
  </si>
  <si>
    <t>https://www.goodreads.com/book/show/820598.Treasure_Island</t>
  </si>
  <si>
    <t>Escape from the Carnival of Horrors</t>
  </si>
  <si>
    <t>Stine, R.L.</t>
  </si>
  <si>
    <t>Give Yourself Goosebumps</t>
  </si>
  <si>
    <t>0590553232</t>
  </si>
  <si>
    <t>https://www.goodreads.com/book/show/125571.Escape_from_the_Carnival_of_Horrors?ac=1&amp;from_search=true&amp;qid=gZeZ5mp15C&amp;rank=1</t>
  </si>
  <si>
    <t>Welcome to the Wicked Wax Museum</t>
  </si>
  <si>
    <t>0590847724</t>
  </si>
  <si>
    <t>https://www.goodreads.com/book/show/125609.Welcome_to_the_Wicked_Wax_Museum?ac=1&amp;from_search=true&amp;qid=6CtlggtDVS&amp;rank=1</t>
  </si>
  <si>
    <t>Hocus-Pocus Horror</t>
  </si>
  <si>
    <t>0590516736</t>
  </si>
  <si>
    <t>Hocus-Pocus Horror (Give Yourself Goosebumps, #35) by R.L. Stine</t>
  </si>
  <si>
    <t>Scary Birthday to You!</t>
  </si>
  <si>
    <t>0590993909</t>
  </si>
  <si>
    <t>https://www.goodreads.com/book/show/125649.Scary_Birthday_to_You_</t>
  </si>
  <si>
    <t>Silent Night 2</t>
  </si>
  <si>
    <t>Silent Night</t>
  </si>
  <si>
    <t>0671786199</t>
  </si>
  <si>
    <t>https://www.goodreads.com/book/show/628722.Silent_Night_2</t>
  </si>
  <si>
    <t>Even More Tales to Give You Goosebumps: Ten Spooky Stories</t>
  </si>
  <si>
    <t>Tales to Give You Goosebumps</t>
  </si>
  <si>
    <t>0590739093</t>
  </si>
  <si>
    <t>https://www.goodreads.com/book/show/460489.Even_More_Tales_to_Give_You_Goosebumps</t>
  </si>
  <si>
    <t>No Survivors</t>
  </si>
  <si>
    <t>The Nightmare Room Thrillogy</t>
  </si>
  <si>
    <t>9780007251469</t>
  </si>
  <si>
    <t>https://www.goodreads.com/book/show/216074.No_Survivors</t>
  </si>
  <si>
    <t>The Help</t>
  </si>
  <si>
    <t>Stockett, Kathryn</t>
  </si>
  <si>
    <t>9780241956533</t>
  </si>
  <si>
    <t>https://www.goodreads.com/book/show/11974605-the-help</t>
  </si>
  <si>
    <t>Dracula</t>
  </si>
  <si>
    <t>Stoker, Bram</t>
  </si>
  <si>
    <t>185326086X</t>
  </si>
  <si>
    <t>https://www.goodreads.com/book/show/50070937-dracula</t>
  </si>
  <si>
    <t>The Ring of Solomon</t>
  </si>
  <si>
    <t>Stroud, Jonathan</t>
  </si>
  <si>
    <t>Bartimaeus Sequence</t>
  </si>
  <si>
    <t>9780552562959</t>
  </si>
  <si>
    <t>https://www.goodreads.com/book/show/11775355-the-ring-of-solomon</t>
  </si>
  <si>
    <t>The Amulet of Samarkand</t>
  </si>
  <si>
    <t>9780552562799</t>
  </si>
  <si>
    <t>https://www.goodreads.com/book/show/9813788-the-amulet-of-samarkand</t>
  </si>
  <si>
    <t>The Golem's Eye</t>
  </si>
  <si>
    <t>9780552552738</t>
  </si>
  <si>
    <t>https://www.goodreads.com/book/show/1190953.The_Golem_s_Eye</t>
  </si>
  <si>
    <t>Ptolmey's Gate</t>
  </si>
  <si>
    <t>9780552558723</t>
  </si>
  <si>
    <t>https://www.goodreads.com/review/new/36580431-ptolemy-s-gate</t>
  </si>
  <si>
    <t>Q and A</t>
  </si>
  <si>
    <t>Swarup, Vikas</t>
  </si>
  <si>
    <t>0385608144</t>
  </si>
  <si>
    <t>https://www.goodreads.com/book/show/870994.Q_and_A</t>
  </si>
  <si>
    <t>Six Suspects</t>
  </si>
  <si>
    <t>9780552772518</t>
  </si>
  <si>
    <t>https://www.goodreads.com/book/show/6100183-six-suspects</t>
  </si>
  <si>
    <t>An Ember in the Ashes</t>
  </si>
  <si>
    <t>Tahir Sabaa</t>
  </si>
  <si>
    <t>9780008154479</t>
  </si>
  <si>
    <t>https://www.goodreads.com/book/show/26191546-an-ember-in-the-ashes</t>
  </si>
  <si>
    <t>Cult of Chaos</t>
  </si>
  <si>
    <t>Taneja, Shweta</t>
  </si>
  <si>
    <t>Anantya Tantrist</t>
  </si>
  <si>
    <t>9789351364443</t>
  </si>
  <si>
    <t>https://www.goodreads.com/book/show/24362983-cult-of-chaos</t>
  </si>
  <si>
    <t>Beowulf: A Translation and Commentary, together with Sellic Spell</t>
  </si>
  <si>
    <t>Tolkein, J.R.R.; Unknown</t>
  </si>
  <si>
    <t>9780007590094</t>
  </si>
  <si>
    <t>https://www.goodreads.com/book/show/22383535-beowulf</t>
  </si>
  <si>
    <t>The Lord of the Rings</t>
  </si>
  <si>
    <t>Tolkien, J.R.R.</t>
  </si>
  <si>
    <t>Middle-Earth</t>
  </si>
  <si>
    <t>9780008471286</t>
  </si>
  <si>
    <t>https://www.goodreads.com/book/show/57561341-the-lord-of-the-rings-illustrated-edition</t>
  </si>
  <si>
    <t>The Fall of Arthur</t>
  </si>
  <si>
    <t>9780007557301</t>
  </si>
  <si>
    <t>https://www.goodreads.com/book/show/26134837-the-fall-of-arthur</t>
  </si>
  <si>
    <t>The Hobbit</t>
  </si>
  <si>
    <t>0261102214</t>
  </si>
  <si>
    <t>https://www.goodreads.com/book/show/20927204-the-hobbit</t>
  </si>
  <si>
    <t>A Fraction of the Whole</t>
  </si>
  <si>
    <t>Toltz, Steve</t>
  </si>
  <si>
    <t>9780141041797</t>
  </si>
  <si>
    <t>A Fraction of the Whole by Steve Toltz</t>
  </si>
  <si>
    <t>Dark Things</t>
  </si>
  <si>
    <t>Venkatraghavan, Sukanya</t>
  </si>
  <si>
    <t>Myhtological</t>
  </si>
  <si>
    <t>9789350099223</t>
  </si>
  <si>
    <t>https://www.goodreads.com/book/show/28687748-dark-things</t>
  </si>
  <si>
    <t>Slapstick or Lonesome No More</t>
  </si>
  <si>
    <t>Vonnegut, Kurt</t>
  </si>
  <si>
    <t>9780099842705</t>
  </si>
  <si>
    <t>https://www.goodreads.com/book/show/829859.Slapstick_or_Lonesome_No_More</t>
  </si>
  <si>
    <t>Fingersmith</t>
  </si>
  <si>
    <t>Waters, Sarah</t>
  </si>
  <si>
    <t>9780349012988</t>
  </si>
  <si>
    <t>https://www.goodreads.com/book/show/46015692-fingersmith</t>
  </si>
  <si>
    <t>The Thickety: A Path Begins</t>
  </si>
  <si>
    <t>White, J.A.</t>
  </si>
  <si>
    <t>The Thickety</t>
  </si>
  <si>
    <t>9780062257239</t>
  </si>
  <si>
    <t>https://www.goodreads.com/book/show/22583007-the-thickety</t>
  </si>
  <si>
    <t>Jeeves Takes Charge</t>
  </si>
  <si>
    <t>Wodehouse, P.G.</t>
  </si>
  <si>
    <t>Jeeves</t>
  </si>
  <si>
    <t>0099777606</t>
  </si>
  <si>
    <t>https://www.goodreads.com/book/show/6403377-jeeves-takes-charge-and-other-stories</t>
  </si>
  <si>
    <t>The Book Thief</t>
  </si>
  <si>
    <t>Zusak, Markus</t>
  </si>
  <si>
    <t>9781862302914</t>
  </si>
  <si>
    <t>https://www.goodreads.com/book/show/1039461.The_Book_Thief</t>
  </si>
  <si>
    <t>Cain's Jawbone</t>
  </si>
  <si>
    <t>Torquemada</t>
  </si>
  <si>
    <t>Puzzle</t>
  </si>
  <si>
    <t>9781800180796</t>
  </si>
  <si>
    <t>https://www.goodreads.com/book/show/57057750-cain-s-jawbone</t>
  </si>
  <si>
    <t>Japanese Short Stories for Beginners</t>
  </si>
  <si>
    <t>Lingo Mastery</t>
  </si>
  <si>
    <t>Japanese</t>
  </si>
  <si>
    <t>9781951949228</t>
  </si>
  <si>
    <t>https://www.goodreads.com/book/show/55134162-japanese-short-stories-for-beginners</t>
  </si>
  <si>
    <t>The Blaft Book of Anti-Caste SF</t>
  </si>
  <si>
    <t>Samuel, R.T.;K., Rakesh; R.D. Rashmi</t>
  </si>
  <si>
    <t>9789380636733</t>
  </si>
  <si>
    <t>https://www.goodreads.com/book/show/222806857-the-blaft-book-of-anti-caste-sf</t>
  </si>
  <si>
    <t>Frankenstein</t>
  </si>
  <si>
    <t>Shelley, Mary</t>
  </si>
  <si>
    <t>9789815162943</t>
  </si>
  <si>
    <t>https://www.goodreads.com/book/show/220137071-frankenstein-hb</t>
  </si>
  <si>
    <t>Āo, ham̐se eka sātha</t>
  </si>
  <si>
    <t>Rao, Mohini</t>
  </si>
  <si>
    <t>8123720122</t>
  </si>
  <si>
    <t>Raag Darbaari</t>
  </si>
  <si>
    <t>Shukla, Shrilal</t>
  </si>
  <si>
    <t>9788126713967</t>
  </si>
  <si>
    <t>https://www.goodreads.com/book/show/2164749</t>
  </si>
  <si>
    <t>Satya ke prayog</t>
  </si>
  <si>
    <t>Gandhi, M.K.</t>
  </si>
  <si>
    <t>9788173092725</t>
  </si>
  <si>
    <t>Paper Chor</t>
  </si>
  <si>
    <t>Grover, Varun</t>
  </si>
  <si>
    <t>9789384375416</t>
  </si>
  <si>
    <t>https://www.goodreads.com/book/show/45834036-paper-chor</t>
  </si>
  <si>
    <t>Bhagat Singh se Dosti</t>
  </si>
  <si>
    <t>Singh, Bhagat</t>
  </si>
  <si>
    <t>Story</t>
  </si>
  <si>
    <t>Coffee Table</t>
  </si>
  <si>
    <t>Building Strong Brands</t>
  </si>
  <si>
    <t>Aaker, David A.</t>
  </si>
  <si>
    <t>9781849830409</t>
  </si>
  <si>
    <t>https://www.goodreads.com/book/show/10834742-building-strong-brands</t>
  </si>
  <si>
    <t>No</t>
  </si>
  <si>
    <t>Philosophy of Hinduism</t>
  </si>
  <si>
    <t>Ambedkar, B.R.</t>
  </si>
  <si>
    <t>9788189524593</t>
  </si>
  <si>
    <t>https://www.goodreads.com/book/show/216223893-philosophy-of-hinduism</t>
  </si>
  <si>
    <t>Glimpses on the History of Tibet</t>
  </si>
  <si>
    <t>Arpi, Clause</t>
  </si>
  <si>
    <t>9789380091365</t>
  </si>
  <si>
    <t>Yes</t>
  </si>
  <si>
    <t>The Mini Rough Guide to Contemporary Film Classics</t>
  </si>
  <si>
    <t>Ballinger, Alexander et al</t>
  </si>
  <si>
    <t>9781848361638</t>
  </si>
  <si>
    <t>https://www.goodreads.com/book/show/216224290-the-mini-rough-guide-to-contemporary-film-classics</t>
  </si>
  <si>
    <t>Poor Economics</t>
  </si>
  <si>
    <t>Baneree, Abhiit V.; Duflo, Esther</t>
  </si>
  <si>
    <t>9788184002805</t>
  </si>
  <si>
    <t>https://www.goodreads.com/book/show/22466007-poor-economics</t>
  </si>
  <si>
    <t>France</t>
  </si>
  <si>
    <t>Bansal, Utkarsh: et al</t>
  </si>
  <si>
    <t>9780241619704</t>
  </si>
  <si>
    <t>https://www.goodreads.com/book/show/64633531-dk-eyewitness-france</t>
  </si>
  <si>
    <t>Games People Play</t>
  </si>
  <si>
    <t>Berne, Eric M.D.</t>
  </si>
  <si>
    <t>9780141040271</t>
  </si>
  <si>
    <t>https://www.goodreads.com/book/show/4017719-games-people-play</t>
  </si>
  <si>
    <t>A Second Wind</t>
  </si>
  <si>
    <t>Borgo, Philippe Pozzo di</t>
  </si>
  <si>
    <t>9781471111204</t>
  </si>
  <si>
    <t>https://www.goodreads.com/book/show/15950477-a-second-wind</t>
  </si>
  <si>
    <t>A Short History of Nearly Everything</t>
  </si>
  <si>
    <t>Bryson, Bill</t>
  </si>
  <si>
    <t>0552997048</t>
  </si>
  <si>
    <t>https://www.goodreads.com/book/show/437143.A_Short_History_of_Nearly_Everything</t>
  </si>
  <si>
    <t>The Teaching of Buddha</t>
  </si>
  <si>
    <t>Yamabe, Shūgaku; Akanuma, Chizen</t>
  </si>
  <si>
    <t>https://www.goodreads.com/book/show/846937.The_Teachings_Of_Buddha</t>
  </si>
  <si>
    <t>The Hero with a Thousand Faces</t>
  </si>
  <si>
    <t>Campbell, Joseph</t>
  </si>
  <si>
    <t>9781577315933</t>
  </si>
  <si>
    <t>https://www.goodreads.com/book/show/2617434-the-hero-with-a-thousand-faces</t>
  </si>
  <si>
    <t>Bolly Geek: The Crazy Trivia Guide to Bollywood</t>
  </si>
  <si>
    <t>Chaudhury Diptakirti</t>
  </si>
  <si>
    <t>9789389253450</t>
  </si>
  <si>
    <t>https://www.goodreads.com/book/show/57194560-bollygeek</t>
  </si>
  <si>
    <t>An Autobiography</t>
  </si>
  <si>
    <t>9780007293384</t>
  </si>
  <si>
    <t>https://www.goodreads.com/book/show/13551735-an-autobiography</t>
  </si>
  <si>
    <t>The Man-Eating Leopard of Rudraprayag</t>
  </si>
  <si>
    <t>Corbett, Jim</t>
  </si>
  <si>
    <t>0195622561</t>
  </si>
  <si>
    <t>https://www.goodreads.com/book/show/475257.The_Man_Eating_Leopard_of_Rudraprayag</t>
  </si>
  <si>
    <t>Pocket Superflirt</t>
  </si>
  <si>
    <t>Cox, Tracey</t>
  </si>
  <si>
    <t>9781405342919</t>
  </si>
  <si>
    <t>I am C-3PO: The Inside Story</t>
  </si>
  <si>
    <t>Daniels, Anthony</t>
  </si>
  <si>
    <t>9780241420737</t>
  </si>
  <si>
    <t>https://www.goodreads.com/book/show/49858537-i-am-c-3po</t>
  </si>
  <si>
    <t>India Unbound</t>
  </si>
  <si>
    <t>Das, Gurcharan</t>
  </si>
  <si>
    <t>9780143419259</t>
  </si>
  <si>
    <t>Marvel Encyclopedia: New Edition 2019</t>
  </si>
  <si>
    <t>DeFalco, Tom</t>
  </si>
  <si>
    <t>9780241357552</t>
  </si>
  <si>
    <t>Management Cases</t>
  </si>
  <si>
    <t>Drucker, Peter F.</t>
  </si>
  <si>
    <t>9780062365767</t>
  </si>
  <si>
    <t>https://www.goodreads.com/book/show/6051697-management-cases-revised-edition</t>
  </si>
  <si>
    <t>Management Challenges for the 21st Century</t>
  </si>
  <si>
    <t>9780062365774</t>
  </si>
  <si>
    <t>https://www.goodreads.com/book/show/859414.Management_Challenges_for_the_21st_Century</t>
  </si>
  <si>
    <t xml:space="preserve">Managing in Turbulent Times </t>
  </si>
  <si>
    <t>9780062399885</t>
  </si>
  <si>
    <t>https://www.goodreads.com/book/show/30838752-managing-in-turbulent-times</t>
  </si>
  <si>
    <t>Surely, You're Joking, Mr. Feynman!</t>
  </si>
  <si>
    <t>Feynman, Richard P.</t>
  </si>
  <si>
    <t>9780099173311</t>
  </si>
  <si>
    <t>https://www.goodreads.com/book/show/17364.Surely_You_re_Joking_Mr_Feynman</t>
  </si>
  <si>
    <t>The Etymologicon</t>
  </si>
  <si>
    <t>Forsyth, Mark</t>
  </si>
  <si>
    <t>9781785781704</t>
  </si>
  <si>
    <t>https://www.goodreads.com/book/show/55517946-the-etymologicon</t>
  </si>
  <si>
    <t>Man's Search for Meaning</t>
  </si>
  <si>
    <t>Frankl, Viktor E.</t>
  </si>
  <si>
    <t>067166736X</t>
  </si>
  <si>
    <t>https://www.goodreads.com/book/show/1044863.Man_s_Search_for_Meaning</t>
  </si>
  <si>
    <t>Art Matters</t>
  </si>
  <si>
    <t>9781472260086</t>
  </si>
  <si>
    <t>https://www.goodreads.com/book/show/40662488-art-matters</t>
  </si>
  <si>
    <t>Make Good Art</t>
  </si>
  <si>
    <t>9780062266767</t>
  </si>
  <si>
    <t>https://www.goodreads.com/book/show/16240792-make-good-art</t>
  </si>
  <si>
    <t>Blink</t>
  </si>
  <si>
    <t>Gladwell, Malcom</t>
  </si>
  <si>
    <t>071399844X</t>
  </si>
  <si>
    <t>https://www.goodreads.com/book/show/1192878.Blink</t>
  </si>
  <si>
    <t>Outliers</t>
  </si>
  <si>
    <t>9780141036250</t>
  </si>
  <si>
    <t>https://www.goodreads.com/book/show/6114128-outliers</t>
  </si>
  <si>
    <t>The Tipping Point</t>
  </si>
  <si>
    <t>9780349113463</t>
  </si>
  <si>
    <t>https://www.goodreads.com/book/show/9356.The_Tipping_Point</t>
  </si>
  <si>
    <t>Scientists and their Mind-blowing Experiments</t>
  </si>
  <si>
    <t>Goldsmith, Mike</t>
  </si>
  <si>
    <t>0439982286</t>
  </si>
  <si>
    <t>https://www.goodreads.com/book/show/70007.Scientists_And_Their_Mind_Blowing_Experiments</t>
  </si>
  <si>
    <t>The Anthropocene Reviewed</t>
  </si>
  <si>
    <t>9781529109887</t>
  </si>
  <si>
    <t>https://www.goodreads.com/book/show/55922803-the-anthropocene-reviewed</t>
  </si>
  <si>
    <t>Sapiens</t>
  </si>
  <si>
    <t>Harari, Yuval Noah</t>
  </si>
  <si>
    <t>9780099590088</t>
  </si>
  <si>
    <t>https://www.goodreads.com/book/show/23346740-sapiens</t>
  </si>
  <si>
    <t>A Brief History of Time: From Big Bang to Black Holes</t>
  </si>
  <si>
    <t>Hawking, Stephen</t>
  </si>
  <si>
    <t>9780553175219</t>
  </si>
  <si>
    <t>https://www.goodreads.com/book/show/818560.A_Brief_History_Of_Time</t>
  </si>
  <si>
    <t>The Seven Cities of Delhi</t>
  </si>
  <si>
    <t>Hearn, Gordon Risley</t>
  </si>
  <si>
    <t>818570807X</t>
  </si>
  <si>
    <t>https://www.goodreads.com/book/show/40405437-the-seven-cities-of-delhi</t>
  </si>
  <si>
    <t>Manufacturing Consent</t>
  </si>
  <si>
    <t>Herman, Edward S.; Chomsky, Noam</t>
  </si>
  <si>
    <t>9780099533115</t>
  </si>
  <si>
    <t>https://www.goodreads.com/book/show/863474.Manufacturing_Consent</t>
  </si>
  <si>
    <t>Unbroken</t>
  </si>
  <si>
    <t>Hillenbrand, Laura</t>
  </si>
  <si>
    <t>9780007580576</t>
  </si>
  <si>
    <t>https://www.goodreads.com/book/show/24310994-unbroken</t>
  </si>
  <si>
    <t>Godel, Escher, Bach: an Eternal Golden Braid</t>
  </si>
  <si>
    <t>Hofstadter, Douglas R.</t>
  </si>
  <si>
    <t>0465026567</t>
  </si>
  <si>
    <t>https://www.goodreads.com/book/show/24113.G_del_Escher_Bach</t>
  </si>
  <si>
    <t>Taskmaster: 220 Extraordinary Tasks for Ordinary People</t>
  </si>
  <si>
    <t>Horne, Alex</t>
  </si>
  <si>
    <t>9781785944680</t>
  </si>
  <si>
    <t>Taskmaster: 220 Extraordinary Tasks for Ordinary People by Alex Horne | Goodreads</t>
  </si>
  <si>
    <t>The Clash of Civilizations and the Remaking of World Order</t>
  </si>
  <si>
    <t>Huntington, Samuel P.</t>
  </si>
  <si>
    <t>014026731X</t>
  </si>
  <si>
    <t>https://www.goodreads.com/book/show/19646809-the-clash-of-civilisations-and-the-remaking-of-world-order</t>
  </si>
  <si>
    <t>Psychedlics</t>
  </si>
  <si>
    <t>Huxley, Aldous</t>
  </si>
  <si>
    <t>9781784872748</t>
  </si>
  <si>
    <t>https://www.goodreads.com/book/show/33876554-psychedelics</t>
  </si>
  <si>
    <t>Periodic Table: Facts at your Fingertips</t>
  </si>
  <si>
    <t>Jackson, Tom</t>
  </si>
  <si>
    <t>9780241413029</t>
  </si>
  <si>
    <t>https://www.goodreads.com/book/show/51161266-periodic-table</t>
  </si>
  <si>
    <t>Midnight Musings</t>
  </si>
  <si>
    <t>Jain, Soumya</t>
  </si>
  <si>
    <t>9789390925490</t>
  </si>
  <si>
    <t>https://www.goodreads.com/book/show/59721028-midnight-musings</t>
  </si>
  <si>
    <t>Indira Gandhi: A Biography</t>
  </si>
  <si>
    <t>Jayakar, Pupul</t>
  </si>
  <si>
    <t>9780140114621</t>
  </si>
  <si>
    <t>Indira Gandhi: A Biography by Pupul Jayakar</t>
  </si>
  <si>
    <t>Writing Badly is Easy</t>
  </si>
  <si>
    <t>Kumar, Amitava</t>
  </si>
  <si>
    <t>9789388292511</t>
  </si>
  <si>
    <t>https://www.goodreads.com/book/show/45312505-writing-badly-is-easy</t>
  </si>
  <si>
    <t>American Sniper</t>
  </si>
  <si>
    <t>Kyle, Chris</t>
  </si>
  <si>
    <t>9780062376572</t>
  </si>
  <si>
    <t>https://www.goodreads.com/book/show/22535532-american-sniper</t>
  </si>
  <si>
    <t>Stephen Hawking: A Biography</t>
  </si>
  <si>
    <t>Larsen, Kristine</t>
  </si>
  <si>
    <t>9788179927526</t>
  </si>
  <si>
    <t>https://www.goodreads.com/book/show/83698.Stephen_Hawking</t>
  </si>
  <si>
    <t>Super Freakonomics</t>
  </si>
  <si>
    <t>Levitt, Steven D.; Dubner, Stephen J.</t>
  </si>
  <si>
    <t>9780060889579</t>
  </si>
  <si>
    <t>https://www.goodreads.com/book/show/6402364-superfreakonomics</t>
  </si>
  <si>
    <t>Buyology</t>
  </si>
  <si>
    <t>Lindstrom, Martin</t>
  </si>
  <si>
    <t>9781847940131</t>
  </si>
  <si>
    <t>https://www.goodreads.com/book/show/6535734-buyology</t>
  </si>
  <si>
    <t>Seeing Like a Feminist</t>
  </si>
  <si>
    <t>Menon, Nivedita</t>
  </si>
  <si>
    <t>9780143067429</t>
  </si>
  <si>
    <t>https://www.goodreads.com/book/show/20414958-seeing-like-a-feminist</t>
  </si>
  <si>
    <t>12 Years a Slave: A True Story</t>
  </si>
  <si>
    <t>Northup, Solomon</t>
  </si>
  <si>
    <t>9780007580422</t>
  </si>
  <si>
    <t>https://www.goodreads.com/book/show/20814879-12-years-a-slave</t>
  </si>
  <si>
    <t>Dreams from My Father</t>
  </si>
  <si>
    <t>Obama, Barack</t>
  </si>
  <si>
    <t>9781847670946</t>
  </si>
  <si>
    <t>https://www.goodreads.com/book/show/2719592-dreams-from-my-father</t>
  </si>
  <si>
    <t>The Audacity of Hope: Thoughts on Reclaiming the American Dream</t>
  </si>
  <si>
    <t>9781847670830</t>
  </si>
  <si>
    <t>In the Heart of the Sea</t>
  </si>
  <si>
    <t>Philbrick, Nathaniel</t>
  </si>
  <si>
    <t>9780008126834</t>
  </si>
  <si>
    <t>https://www.goodreads.com/book/show/28346280-in-the-heart-of-the-sea</t>
  </si>
  <si>
    <t>Einstein for Everyone</t>
  </si>
  <si>
    <t>Piccioni, Robert L.</t>
  </si>
  <si>
    <t>9788184950694</t>
  </si>
  <si>
    <t>https://www.goodreads.com/book/show/15743238-einstein-for-everyone</t>
  </si>
  <si>
    <t>Republic</t>
  </si>
  <si>
    <t>Plato</t>
  </si>
  <si>
    <t>9780141442433</t>
  </si>
  <si>
    <t>https://www.goodreads.com/book/show/15808555-the-republic</t>
  </si>
  <si>
    <t>Codes: How to Make Them and Break Them</t>
  </si>
  <si>
    <t>Poskitt, Kjartan</t>
  </si>
  <si>
    <t>9780439943284</t>
  </si>
  <si>
    <t>https://www.goodreads.com/book/show/1002764.Codes</t>
  </si>
  <si>
    <t>Alexander the Great and his Claim to Fame</t>
  </si>
  <si>
    <t>Robins, Phil</t>
  </si>
  <si>
    <t>9780439963497</t>
  </si>
  <si>
    <t>https://www.goodreads.com/book/show/70009.Alexander_the_Great_and_His_Claim_to_Fame</t>
  </si>
  <si>
    <t>Everybody Loves a Good Drought: Stories from India's Poorest Districts</t>
  </si>
  <si>
    <t>Sainath, Palagummi</t>
  </si>
  <si>
    <t>9780140259841</t>
  </si>
  <si>
    <t>Everybody Loves a Good Drought by Palagummi Sainath</t>
  </si>
  <si>
    <t>Duel Masters: Kaijudo Master's Guide</t>
  </si>
  <si>
    <t>Searle, Michael</t>
  </si>
  <si>
    <t>0439691133</t>
  </si>
  <si>
    <t>The World of Hrishikesh Mukherjee</t>
  </si>
  <si>
    <t>Singh, Jai Arun</t>
  </si>
  <si>
    <t>9780670087082</t>
  </si>
  <si>
    <t>https://www.goodreads.com/book/show/26361184-the-world-of-hrishikesh-mukherjee</t>
  </si>
  <si>
    <t>Big Bang</t>
  </si>
  <si>
    <t>Singh, Simon</t>
  </si>
  <si>
    <t>9780007152520</t>
  </si>
  <si>
    <t>https://www.goodreads.com/book/show/1043374.Big_Bang</t>
  </si>
  <si>
    <t>Fermat's Last Theorem</t>
  </si>
  <si>
    <t>9781841157917</t>
  </si>
  <si>
    <t>https://www.goodreads.com/book/show/131305.Fermat_s_Last_Theorem</t>
  </si>
  <si>
    <t>The Code Book</t>
  </si>
  <si>
    <t>1857028899</t>
  </si>
  <si>
    <t>https://www.goodreads.com/book/show/56852.The_Code_Book</t>
  </si>
  <si>
    <t>Modernization of Indian Tradition</t>
  </si>
  <si>
    <t>Singh, Yogendra</t>
  </si>
  <si>
    <t>8170330130</t>
  </si>
  <si>
    <t>Harry Styles: The Making of a Modern Man</t>
  </si>
  <si>
    <t>Smith, Sean</t>
  </si>
  <si>
    <t>9780008359560</t>
  </si>
  <si>
    <t>Gitanjali</t>
  </si>
  <si>
    <t>Tagore, Rabindranath</t>
  </si>
  <si>
    <t>9789386538307</t>
  </si>
  <si>
    <t>https://www.goodreads.com/book/show/40089971-gitanjali</t>
  </si>
  <si>
    <t>Indian Cultures as Heritage: Contemporary Pasts</t>
  </si>
  <si>
    <t>Thapar, Romila</t>
  </si>
  <si>
    <t>9789384067359</t>
  </si>
  <si>
    <t>Indian Cultures as Heritage by Romila Thapar | Goodreads</t>
  </si>
  <si>
    <t>The Penguin History of Early India</t>
  </si>
  <si>
    <t>9780143029892</t>
  </si>
  <si>
    <t>History of Early India: From the Origins to AD 1300 by Romila Thapar</t>
  </si>
  <si>
    <t>The Anatomy of Story</t>
  </si>
  <si>
    <t>Truby, John</t>
  </si>
  <si>
    <t>9780865479937</t>
  </si>
  <si>
    <t>The Anatomy of Story: 22 Steps to Becoming a Master Storyteller by John Truby</t>
  </si>
  <si>
    <t>Bollywood Dreams</t>
  </si>
  <si>
    <t>Torgovnik, Johnathan</t>
  </si>
  <si>
    <t>9780714843070</t>
  </si>
  <si>
    <t>Bollywood Dreams: An Exploration of the Motion Picture Industry and its Culture in India by Jonathan Torgovnik | Goodreads</t>
  </si>
  <si>
    <t>People-Centric Nationalism</t>
  </si>
  <si>
    <t>Tripathi, V. K.</t>
  </si>
  <si>
    <t>Satyagraha Against Imperialism</t>
  </si>
  <si>
    <t>Slugfest: Inside the Epic, 50-Year Battle Between Marvel and DC</t>
  </si>
  <si>
    <t>Tucker, Reed</t>
  </si>
  <si>
    <t>9780751568974</t>
  </si>
  <si>
    <t>Slugfest: Inside the Epic, 50-year Battle between Marvel and DC by Reed Tucker | Goodreads</t>
  </si>
  <si>
    <t>Between Debt and the Devil</t>
  </si>
  <si>
    <t>Turner, Adair</t>
  </si>
  <si>
    <t>9780691175980</t>
  </si>
  <si>
    <t>https://www.goodreads.com/book/show/31951539-between-debt-and-the-devil</t>
  </si>
  <si>
    <t>Ultimate Family Visual Dictionary</t>
  </si>
  <si>
    <t>Various</t>
  </si>
  <si>
    <t>9780143419549</t>
  </si>
  <si>
    <t>Ultimate Family Visual Dictionary by D.K. Publishing | Goodreads</t>
  </si>
  <si>
    <t>Vöest Illustrated</t>
  </si>
  <si>
    <t>Vöest</t>
  </si>
  <si>
    <t>VÖEST ILLUSTRATED.</t>
  </si>
  <si>
    <t>Never Split The Difference</t>
  </si>
  <si>
    <t>Voss, Chris</t>
  </si>
  <si>
    <t>9781847941497</t>
  </si>
  <si>
    <t>Never Split the Difference: Negotiating As If Your Life Depended On It by Chris Voss | Goodreads</t>
  </si>
  <si>
    <t>The Commanding Heights</t>
  </si>
  <si>
    <t>Yergin, Daniel; Stanislaw, Joseph</t>
  </si>
  <si>
    <t>9780684835693</t>
  </si>
  <si>
    <t>The Many Lives of Syeda X</t>
  </si>
  <si>
    <t>Dixit, Neha</t>
  </si>
  <si>
    <t>9789353453541</t>
  </si>
  <si>
    <t>https://www.goodreads.com/book/show/216733966-the-many-lives-of-syeda-x</t>
  </si>
  <si>
    <t>Masala Lab: The Science of Indian Cooking</t>
  </si>
  <si>
    <t>Ahok, Krish</t>
  </si>
  <si>
    <t>9780143451372</t>
  </si>
  <si>
    <t>https://www.goodreads.com/book/show/54968807-masala-lab</t>
  </si>
  <si>
    <t>India and Communism</t>
  </si>
  <si>
    <t>9789380118451</t>
  </si>
  <si>
    <t>https://www.goodreads.com/book/show/35501528-india-and-communism?ref=nav_sb_ss_1_13</t>
  </si>
  <si>
    <t>Imperialism, The Highest Stage of Capitalism</t>
  </si>
  <si>
    <t>Lenin, V.I.</t>
  </si>
  <si>
    <t>9789380303024</t>
  </si>
  <si>
    <t>https://www.goodreads.com/book/show/42721114-imperialism-the-highest-stage-of-capitalism?ref=nav_sb_ss_1_13</t>
  </si>
  <si>
    <t>Manifesto of the Communist Party</t>
  </si>
  <si>
    <t>Marx, Karl; Engels, Friedrich</t>
  </si>
  <si>
    <t>9788187728825</t>
  </si>
  <si>
    <t>Philosophy is no Mystery</t>
  </si>
  <si>
    <t>Chinchien Production Brigade</t>
  </si>
  <si>
    <t>9789380303192</t>
  </si>
  <si>
    <t>S. no</t>
  </si>
  <si>
    <t>Magazine</t>
  </si>
  <si>
    <t>Publisher</t>
  </si>
  <si>
    <t>Volume</t>
  </si>
  <si>
    <t>Number</t>
  </si>
  <si>
    <t>Date</t>
  </si>
  <si>
    <t>MG001</t>
  </si>
  <si>
    <t>The Caravan</t>
  </si>
  <si>
    <t>Delhi Press</t>
  </si>
  <si>
    <t>Nirmala Sitharaman</t>
  </si>
  <si>
    <t>MG002</t>
  </si>
  <si>
    <t>Warrior Queen</t>
  </si>
  <si>
    <t>MG003</t>
  </si>
  <si>
    <t>The Rise and Fall of the NIA</t>
  </si>
  <si>
    <t>MG004</t>
  </si>
  <si>
    <t>Indian Literature</t>
  </si>
  <si>
    <t>Sahitya Akademi</t>
  </si>
  <si>
    <t>MG005</t>
  </si>
  <si>
    <t>Harvard Business Review</t>
  </si>
  <si>
    <t>Reinventing Performance Rankings</t>
  </si>
  <si>
    <t>MG006</t>
  </si>
  <si>
    <t>How to Manage Up</t>
  </si>
  <si>
    <t>MG007</t>
  </si>
  <si>
    <t>How to Win and Keep Customers</t>
  </si>
  <si>
    <t>MG008</t>
  </si>
  <si>
    <t>The Economist</t>
  </si>
  <si>
    <t>The Economist Group</t>
  </si>
  <si>
    <t>France's Centre Cannot Hold</t>
  </si>
  <si>
    <t>MG015</t>
  </si>
  <si>
    <t>Comic Jump</t>
  </si>
  <si>
    <t>Level 10 Comics</t>
  </si>
  <si>
    <t>The Rabhas Incident</t>
  </si>
  <si>
    <t>MG016</t>
  </si>
  <si>
    <t>Accesorize Your Super Power!</t>
  </si>
  <si>
    <t>MG017</t>
  </si>
  <si>
    <t>MG011</t>
  </si>
  <si>
    <t>MG013</t>
  </si>
  <si>
    <t>Comic Jump (Hindi)</t>
  </si>
  <si>
    <t>Yumi</t>
  </si>
  <si>
    <t>MG014</t>
  </si>
  <si>
    <t>Tinkle</t>
  </si>
  <si>
    <t>ACK</t>
  </si>
  <si>
    <t>MG018</t>
  </si>
  <si>
    <t>Season Finale!</t>
  </si>
  <si>
    <t>MG012</t>
  </si>
  <si>
    <t>Season 2 Begins</t>
  </si>
  <si>
    <t>MG010</t>
  </si>
  <si>
    <t>Batu vs Rou</t>
  </si>
  <si>
    <t>MG009</t>
  </si>
  <si>
    <t>Bye Bye Bangalore!</t>
  </si>
  <si>
    <t>#</t>
  </si>
  <si>
    <t>Series Name</t>
  </si>
  <si>
    <t>Reprint</t>
  </si>
  <si>
    <t>Original Volume</t>
  </si>
  <si>
    <t>O#</t>
  </si>
  <si>
    <t>Original Publisher</t>
  </si>
  <si>
    <t>Original Year</t>
  </si>
  <si>
    <t>Writer</t>
  </si>
  <si>
    <t>Artist</t>
  </si>
  <si>
    <t>Collects</t>
  </si>
  <si>
    <t>Link</t>
  </si>
  <si>
    <t>ComicVine Link</t>
  </si>
  <si>
    <t>The Essential Angry Maushi</t>
  </si>
  <si>
    <t>Abhijeet Kini Studios</t>
  </si>
  <si>
    <t>Kini, Abhijeet</t>
  </si>
  <si>
    <t>Angry Maushi #1-3</t>
  </si>
  <si>
    <t>9789334005158</t>
  </si>
  <si>
    <t>Tulsidas' Ramayana</t>
  </si>
  <si>
    <t>ACK Media</t>
  </si>
  <si>
    <t>Sastry, Margie; Tulsidas</t>
  </si>
  <si>
    <t>Kadam, Dilip</t>
  </si>
  <si>
    <t>DNF</t>
  </si>
  <si>
    <t>Not on Goodreads</t>
  </si>
  <si>
    <t>9789385874727</t>
  </si>
  <si>
    <t>Archie: The New Riverdale</t>
  </si>
  <si>
    <t>Archie Comics</t>
  </si>
  <si>
    <t>Waid, Mark</t>
  </si>
  <si>
    <t>Staples, Fiona; Wu, Annie; Fish, Veronica</t>
  </si>
  <si>
    <t>Archie (2015) #1-6</t>
  </si>
  <si>
    <t>https://www.goodreads.com/book/show/25852959-archie-vol-1?ref=nav_sb_ss_1_13</t>
  </si>
  <si>
    <t>9781627388672</t>
  </si>
  <si>
    <t>Lumberjanes: Beware the Kitten Holy</t>
  </si>
  <si>
    <t>Boom!</t>
  </si>
  <si>
    <t>Stevenson, Noelle</t>
  </si>
  <si>
    <t>Lumberjanes #1-4</t>
  </si>
  <si>
    <t>Lumberjanes, Vol. 1: Beware the Kitten Holy by N.D. Stevenson | Goodreads</t>
  </si>
  <si>
    <t>9781608866878</t>
  </si>
  <si>
    <t>Hellboy in Hell: The Descent</t>
  </si>
  <si>
    <t>Dark Horse Comics</t>
  </si>
  <si>
    <t>Mignola, Mike</t>
  </si>
  <si>
    <t>Stewart, Dave</t>
  </si>
  <si>
    <t>Hellboy in Hell: The Descent #1-5</t>
  </si>
  <si>
    <t>Hellboy in Hell, Vol. 1: The Descent by Mike Mignola | Goodreads</t>
  </si>
  <si>
    <t>9781616554446</t>
  </si>
  <si>
    <t>All-Star Superman (Compact)</t>
  </si>
  <si>
    <t>DC Comics</t>
  </si>
  <si>
    <t>Morisson, Grant</t>
  </si>
  <si>
    <t>Quitely, Frank</t>
  </si>
  <si>
    <t>All-Star Superman #1-12</t>
  </si>
  <si>
    <t>https://www.goodreads.com/book/show/201306687-all-star-superman?ac=1&amp;from_search=true&amp;qid=iSxZvsCBO6&amp;rank=1</t>
  </si>
  <si>
    <t>9781779527257</t>
  </si>
  <si>
    <t>American Vampire (Compact)</t>
  </si>
  <si>
    <t>Snyder, Scott; King, Stephen</t>
  </si>
  <si>
    <t>Albuquerque; Raphael</t>
  </si>
  <si>
    <t>American Vampire #1-11</t>
  </si>
  <si>
    <t>https://www.goodreads.com/book/show/204642479-american-vampire?ref=nav_sb_ss_1_13</t>
  </si>
  <si>
    <t>9781779527349</t>
  </si>
  <si>
    <t>Batgirl: The Darkest Reflection</t>
  </si>
  <si>
    <t>Simone, Gail</t>
  </si>
  <si>
    <t>Syaf, Ardian</t>
  </si>
  <si>
    <t>Batgirl New 52 #1-#6</t>
  </si>
  <si>
    <t>Batgirl, Volume 1: The Darkest Reflection by Gail Simone | Goodreads</t>
  </si>
  <si>
    <t>9781401234751</t>
  </si>
  <si>
    <t>Batman: Arkham Asylum</t>
  </si>
  <si>
    <t>McKean, Dave</t>
  </si>
  <si>
    <t>https://www.goodreads.com/book/show/58921752-batman?ref=nav_sb_ss_1_13</t>
  </si>
  <si>
    <t>9781779504333</t>
  </si>
  <si>
    <t>Batman: Haunted Knight</t>
  </si>
  <si>
    <t>Loeb, Jeph</t>
  </si>
  <si>
    <t>Sale, Tim</t>
  </si>
  <si>
    <t>Legends of the Dark Knight Halloween Specials 1993-95</t>
  </si>
  <si>
    <t>Batman: Haunted Knight by Jeph Loeb | Goodreads</t>
  </si>
  <si>
    <t>9781563892738</t>
  </si>
  <si>
    <t>http://www.comicvine.com/batman-haunted-knight-1-tpb/4000-199256/</t>
  </si>
  <si>
    <t>Batman: The Dark Knight Returns</t>
  </si>
  <si>
    <t>Miller, Frank</t>
  </si>
  <si>
    <t>Batman: The Dark Knight #1-4</t>
  </si>
  <si>
    <t>Batman: The Dark Knight Returns by Frank Miller</t>
  </si>
  <si>
    <t>9781401263119</t>
  </si>
  <si>
    <t>Batman/Superman: World's Finest - The Devil Nezha</t>
  </si>
  <si>
    <t>Mora, Dan</t>
  </si>
  <si>
    <t>Batman/Superman: World's Finest #1-5</t>
  </si>
  <si>
    <t>9781779518408</t>
  </si>
  <si>
    <t>Daytripper</t>
  </si>
  <si>
    <t>Moon, Fábio</t>
  </si>
  <si>
    <t>Bá, Gabriel</t>
  </si>
  <si>
    <t>Daytripper #1-10</t>
  </si>
  <si>
    <t>Daytripper by Fábio Moon | Goodreads</t>
  </si>
  <si>
    <t>9781401229696</t>
  </si>
  <si>
    <t>DC: The New Frontier</t>
  </si>
  <si>
    <t>Cook, Darwyn</t>
  </si>
  <si>
    <t>DC: The New Frontier #1-6; Justice Leageu: The New Frontier Sepcial #1</t>
  </si>
  <si>
    <t>https://www.goodreads.com/book/show/221774338-dc?ref=nav_sb_ss_1_13</t>
  </si>
  <si>
    <t>9781799502340</t>
  </si>
  <si>
    <t>Far Sector</t>
  </si>
  <si>
    <t>Jemisin, N.K</t>
  </si>
  <si>
    <t>Campbell, Jamal</t>
  </si>
  <si>
    <t>Far Sector #1-12</t>
  </si>
  <si>
    <t>https://www.goodreads.com/book/show/201306681-far-sector?ref=nav_sb_ss_1_13</t>
  </si>
  <si>
    <t>9781779527295</t>
  </si>
  <si>
    <t>Joker</t>
  </si>
  <si>
    <t>Azzarello, Brian</t>
  </si>
  <si>
    <t>Bermejo, Lee</t>
  </si>
  <si>
    <t>Joker; Who Fell into the Hornet's Nest (From The Joker 80th Anniversay 100 page Super Spectacular)</t>
  </si>
  <si>
    <t>https://www.goodreads.com/book/show/203166770-joker?ref=nav_sb_ss_1_13</t>
  </si>
  <si>
    <t>9781779527318</t>
  </si>
  <si>
    <t>Mister Miracle</t>
  </si>
  <si>
    <t>King, Tom</t>
  </si>
  <si>
    <t>Gerads, Mitch</t>
  </si>
  <si>
    <t>Mister Miracle #1-12</t>
  </si>
  <si>
    <t>Mister Miracle by Tom King | Goodreads</t>
  </si>
  <si>
    <t>9781401283544</t>
  </si>
  <si>
    <t>http://www.comicvine.com/the-sandman-preludes-and-nocturnes-1-vol-1-the-san/4000-212378/</t>
  </si>
  <si>
    <t>Sandman 30th Anniversary Box Set</t>
  </si>
  <si>
    <t>Everything</t>
  </si>
  <si>
    <t>Sandman Box Set by Neil Gaiman</t>
  </si>
  <si>
    <t>9781401294700</t>
  </si>
  <si>
    <t>Supergirl: Woman of Tomorrow</t>
  </si>
  <si>
    <t>Evely, Bilquis</t>
  </si>
  <si>
    <t>Supergirl: Woman of Tomorrow #1-8</t>
  </si>
  <si>
    <t>https://www.goodreads.com/book/show/59854151-supergirl</t>
  </si>
  <si>
    <t>9781779515681</t>
  </si>
  <si>
    <t>Superman: Son of Superman</t>
  </si>
  <si>
    <t>Tomasi, Peter J.;Gleason, Patrick</t>
  </si>
  <si>
    <t>Superman Rebirth #1; Superman v4 (2016) #1-6</t>
  </si>
  <si>
    <t>https://www.goodreads.com/book/show/31224381-superman-vol-1?ac=1&amp;from_search=true&amp;qid=R5eORFbl46&amp;rank=1</t>
  </si>
  <si>
    <t>9781401267766</t>
  </si>
  <si>
    <t>Watchmen</t>
  </si>
  <si>
    <t>Moore, Alan</t>
  </si>
  <si>
    <t>Gibbons, Dave</t>
  </si>
  <si>
    <t>Watchmen #1-12</t>
  </si>
  <si>
    <t>https://www.goodreads.com/book/show/45889346-watchmen-international</t>
  </si>
  <si>
    <t>9781779500922</t>
  </si>
  <si>
    <t>The Hardy Boys: The Ocean of Osyria</t>
  </si>
  <si>
    <t>Euro Books</t>
  </si>
  <si>
    <t>Papercutz</t>
  </si>
  <si>
    <t>Lobdell, Scott</t>
  </si>
  <si>
    <t>Hernandez, Lea</t>
  </si>
  <si>
    <t>This edition not on Goodreads</t>
  </si>
  <si>
    <t>9788128616426</t>
  </si>
  <si>
    <t>http://www.comicvine.com/the-hardy-boys-1-the-ocean-of-osyria/4000-351909/</t>
  </si>
  <si>
    <t>The Adventures of Tintin Box Set</t>
  </si>
  <si>
    <t>Farshore</t>
  </si>
  <si>
    <t>Hergé</t>
  </si>
  <si>
    <t>All except Tintin in the Congo</t>
  </si>
  <si>
    <t>https://www.goodreads.com/book/show/43020745-tintin-paperback-boxed-set-23-titles</t>
  </si>
  <si>
    <t>9781405294577</t>
  </si>
  <si>
    <t>Batman Beyond Special</t>
  </si>
  <si>
    <t>Gotham Comics</t>
  </si>
  <si>
    <t>Batman Beyond</t>
  </si>
  <si>
    <t>Bader, Hilary J.; Fogel, Rich</t>
  </si>
  <si>
    <t>Rousseau, Craig</t>
  </si>
  <si>
    <t>Batman Beyond Vol 2 (#7-12)</t>
  </si>
  <si>
    <t>Batman Special</t>
  </si>
  <si>
    <t>Batman: It's Joker Time</t>
  </si>
  <si>
    <t>Hall, Bob</t>
  </si>
  <si>
    <t>Batman: Joker Time #1-3</t>
  </si>
  <si>
    <t>Batman: Joker Time (Volume) - Comic Vine</t>
  </si>
  <si>
    <t>Batman: Hong Kong</t>
  </si>
  <si>
    <t>Moench, Doug</t>
  </si>
  <si>
    <t>Wong, Tony</t>
  </si>
  <si>
    <t>Batman: Hong Kong by Doug Moench | Goodreads</t>
  </si>
  <si>
    <t>Daredevil Super Special</t>
  </si>
  <si>
    <t>Daredevil: Legends</t>
  </si>
  <si>
    <t>Marvel</t>
  </si>
  <si>
    <t>Daredevil Yellow (#1-6)</t>
  </si>
  <si>
    <t>http://www.comicvine.com/daredevil-legends-daredevil-yellow/4000-315032/</t>
  </si>
  <si>
    <t>Daredevil: Underboss</t>
  </si>
  <si>
    <t>Bendis, Brian Michael</t>
  </si>
  <si>
    <t>Alex Maleev</t>
  </si>
  <si>
    <t>Daredevil (1998) #26-31</t>
  </si>
  <si>
    <t>http://www.comicvine.com/daredevil-underboss-1-daredevil-underboss/4000-294040/</t>
  </si>
  <si>
    <t>DC Comics Presents Super Special</t>
  </si>
  <si>
    <t>Green Lantern: Dragon Lord</t>
  </si>
  <si>
    <t>Gulacy, Paul</t>
  </si>
  <si>
    <t>Green Lantern: Dragon Lord (#1-3)</t>
  </si>
  <si>
    <t>Green Lantern: Dragon Lord (Volume) - Comic Vine</t>
  </si>
  <si>
    <t>http://www.comicvine.com/green-lantern-dragon-lord-1-the-glory-of-emerald/4000-49421/</t>
  </si>
  <si>
    <t>DC Elseworlds: Last Stand on Krypton - Super Special</t>
  </si>
  <si>
    <t>Green Lantern: 1001 Emerald Nights; Superman: Last Stand on Krypton</t>
  </si>
  <si>
    <t>LaBan, Terry; Gerber, Steve</t>
  </si>
  <si>
    <t>Guay, Rebecca; Wheatley, Doug</t>
  </si>
  <si>
    <t>http://www.comicvine.com/superman-last-stand-on-krypton-1-superman-last-sta/4000-216701/</t>
  </si>
  <si>
    <t>Fantastic Four - Super Special</t>
  </si>
  <si>
    <t>Fantastic Four: Flesh and Stone</t>
  </si>
  <si>
    <t>Pacheco, Carlos</t>
  </si>
  <si>
    <t>Fantastic Four Vol 3 (#35-39) + Annual '98</t>
  </si>
  <si>
    <t>https://comicvine.gamespot.com/fantastic-four-flesh-and-stone-1-fantastic-four-fl/4000-259582/</t>
  </si>
  <si>
    <t>http://www.comicvine.com/fantastic-four-flesh-and-stone-1-fantastic-four-fl/4000-259582/</t>
  </si>
  <si>
    <t>Hulk Special</t>
  </si>
  <si>
    <t>The Incredible Hulk #34-35; Ultimate Marvel Team-Up #2; The Incredible Hulk Annual 2001; Story from TIH #1 (Everything You Ever Wanted...)</t>
  </si>
  <si>
    <t>JLA Special</t>
  </si>
  <si>
    <t>JLA/JSA: Virtue and Vice; JLA: The Island of Dr. Moreau</t>
  </si>
  <si>
    <t>Johns, Geoff; Goyer, David S.; Thomas, Roy</t>
  </si>
  <si>
    <t>Pacheco, Carlos; Pugh, Steve</t>
  </si>
  <si>
    <t>Jla/Jsa: Virtue and Vice by David S. Goyer | Goodreads</t>
  </si>
  <si>
    <t>JLA: League of One - Super Special</t>
  </si>
  <si>
    <t>JLA: League of One; Batman: Reign of Terror</t>
  </si>
  <si>
    <t>Moeller, Christopher; Barr, Mike W; García López, José Luis</t>
  </si>
  <si>
    <t>Moeller, Christopher</t>
  </si>
  <si>
    <t>http://www.comicvine.com/jla-a-league-of-one-1/4000-189343/</t>
  </si>
  <si>
    <t>Marvel Comics Presents: Killraven Special</t>
  </si>
  <si>
    <t>Killraven: War of the Worlds</t>
  </si>
  <si>
    <t>Davis, Alan</t>
  </si>
  <si>
    <t>Killraven #1-6</t>
  </si>
  <si>
    <t>Marvel Presents: Namor - Super Special</t>
  </si>
  <si>
    <t>Namor: Sea and Sand</t>
  </si>
  <si>
    <t>Jemas, Bill; Watson, Andi</t>
  </si>
  <si>
    <t>Larocca, Salvador</t>
  </si>
  <si>
    <t>Namor Vol 1 (#1-6)</t>
  </si>
  <si>
    <t>Namor, Vol. 1: Sea and Sand</t>
  </si>
  <si>
    <t>http://www.comicvine.com/namor-1/4000-133166/</t>
  </si>
  <si>
    <t>Marvel Presents: Sentinel Super Special</t>
  </si>
  <si>
    <t>Sentinel: Salvage</t>
  </si>
  <si>
    <t>McKeever, Sean</t>
  </si>
  <si>
    <t>Vedder, Eric; UDON</t>
  </si>
  <si>
    <t>Sentinel Vol 1 (#1-6)</t>
  </si>
  <si>
    <t>Sentinel: Salvage (Volume) - Comic Vine</t>
  </si>
  <si>
    <t>http://www.comicvine.com/sentinel-salvage-1-sentinel-salvage/4000-249581/</t>
  </si>
  <si>
    <t>Marvels - Super Special</t>
  </si>
  <si>
    <t>Marvels</t>
  </si>
  <si>
    <t>Busiek, Kurt</t>
  </si>
  <si>
    <t>Ross, Alex</t>
  </si>
  <si>
    <t>Marvels (#0-4)</t>
  </si>
  <si>
    <t>Marvels by Kurt Busiek | Goodreads</t>
  </si>
  <si>
    <t>http://www.comicvine.com/marvels-1-tpb-hcsc/4000-384467/</t>
  </si>
  <si>
    <t>New X-Men Super Special</t>
  </si>
  <si>
    <t>New X-Men: Germ Free Generation</t>
  </si>
  <si>
    <t>New X-Men (#118-120), the Nightcrawler story from X-Men: Unlimited #32, the Blob and Mastermid stories from #33, the Puppeteer and X-Men stories from #35, the Sabretooth stories from #40, and the Beast story from #36</t>
  </si>
  <si>
    <t>http://www.comicvine.com/new-x-men-118-germ-free-generation-part-one/4000-78322/</t>
  </si>
  <si>
    <t>Spider-Girl Special</t>
  </si>
  <si>
    <t>Spider-Girl Vol. 1</t>
  </si>
  <si>
    <t>Oliffe, Pat</t>
  </si>
  <si>
    <t>Spider-Girl (#1-6)</t>
  </si>
  <si>
    <t>Spider-Man &amp; Daredevil Special</t>
  </si>
  <si>
    <t>Marvel Knights Daredevil: Unusual Suspects</t>
  </si>
  <si>
    <t>Jenkins, Paul; Bendis, Brian Michael</t>
  </si>
  <si>
    <t>Winslade, Phil; Haynes, Rob</t>
  </si>
  <si>
    <t>Daredevil/Spider-Man #1-4 and Daredevil: Ninja #1-3</t>
  </si>
  <si>
    <t>Marvel Knights Daredevil: Unusual Suspects by Brian Michael Bendis | Goodreads</t>
  </si>
  <si>
    <t>Superman Special</t>
  </si>
  <si>
    <t>Superman: No Limits!</t>
  </si>
  <si>
    <t>Superman #151-153; Adventures of Superman #574; Superman: The Man of Steel #96-97</t>
  </si>
  <si>
    <t>Superman: Endgame</t>
  </si>
  <si>
    <t>Superman: Y2K; Superman #154; Aventures of Superman #576; Superman: The Man of Steel #98; Action Comics #763</t>
  </si>
  <si>
    <t>Superman: Collected Edition Special</t>
  </si>
  <si>
    <t>Superman Vol. 2</t>
  </si>
  <si>
    <t>McGuinness</t>
  </si>
  <si>
    <t>Superman Vol 2 (#170,#177-181)</t>
  </si>
  <si>
    <t>Superman: Peace on Earth &amp; Batman: War on Crime Collector Edition</t>
  </si>
  <si>
    <t>Superman: Peace on Earth; Batman: War on Crime</t>
  </si>
  <si>
    <t>Dini, Paul; Ross, Alex</t>
  </si>
  <si>
    <t>Superman: Peace on Earth and Batman: War on Crime</t>
  </si>
  <si>
    <t>The Incredible Hulk Super Special</t>
  </si>
  <si>
    <t>Incredible Hulk: Hide in Plain Sight</t>
  </si>
  <si>
    <t>Jones, Bruce</t>
  </si>
  <si>
    <t>Fernandez, Leandro</t>
  </si>
  <si>
    <t>Hulk Vol 3 (#55-59) and Marvel Fanfare #29</t>
  </si>
  <si>
    <t>Incredible Hulk: Hide in Plain Sight #1 - TPB (Issue)</t>
  </si>
  <si>
    <t>http://www.comicvine.com/incredible-hulk-hide-in-plain-sight-1-incredible-h/4000-234867/</t>
  </si>
  <si>
    <t>The Incredible Hulk: The End - Super Special</t>
  </si>
  <si>
    <t>Hulk: The End</t>
  </si>
  <si>
    <t>David, Peter</t>
  </si>
  <si>
    <t>Keown, Dale</t>
  </si>
  <si>
    <t>Hulk The End GN + Hulk Smash (#1-2) + Startling Stories: The Thing #1</t>
  </si>
  <si>
    <t>http://www.comicvine.com/hulk-the-end-1-the-last-titan/4000-202340/</t>
  </si>
  <si>
    <t>The Leaves</t>
  </si>
  <si>
    <t>Walsh, Kevin J.</t>
  </si>
  <si>
    <t>Chikerur, Ashwin</t>
  </si>
  <si>
    <t>x</t>
  </si>
  <si>
    <t>9029900171</t>
  </si>
  <si>
    <t>Thor Super Special</t>
  </si>
  <si>
    <t>Thor By Dan Jurgens &amp; John Romita Jr.</t>
  </si>
  <si>
    <t>Jurgens, Dan</t>
  </si>
  <si>
    <t>Romita Jr, John</t>
  </si>
  <si>
    <t>Thor #21-25</t>
  </si>
  <si>
    <t>Thor By Dan Jurgens &amp; John Romita Jr. #4 - Volume 4 (Issue)</t>
  </si>
  <si>
    <t>http://www.comicvine.com/thor-by-dan-jurgens-john-romita-jr-volume-4-tpb/4000-258715/</t>
  </si>
  <si>
    <t>Ultimate Daredevil &amp; Elektra Super Special</t>
  </si>
  <si>
    <t>Ultimate Daredevil and Elektra</t>
  </si>
  <si>
    <t>Rucka, Greg</t>
  </si>
  <si>
    <t>Ultimate Daredevil and Elektra (#1-4), Ultimate Marvel Team-Up (#6-8)</t>
  </si>
  <si>
    <t>http://www.comicvine.com/ultimate-daredevil-and-elektra-1-tpb/4000-258523/</t>
  </si>
  <si>
    <t>Ultimate X-Men Special</t>
  </si>
  <si>
    <t>Ultimate X-Men</t>
  </si>
  <si>
    <t>Millar, Mark</t>
  </si>
  <si>
    <t>Kubert, Adam</t>
  </si>
  <si>
    <t>Ultimate X-Men #7-12</t>
  </si>
  <si>
    <t>Ultimate X-Men, Vol. 2: Return to Weapon X by Mark Millar | Goodreads</t>
  </si>
  <si>
    <t>Millar, Mark; Austen, Chuck</t>
  </si>
  <si>
    <t>Kubert, Adam; Ribic, Esad</t>
  </si>
  <si>
    <t>Ultimate X-Men #13-19</t>
  </si>
  <si>
    <t>Ultimate X-Men, Vol. 3: World Tour by Mark Millar | Goodreads</t>
  </si>
  <si>
    <t>Ultimate X-Men #20-25</t>
  </si>
  <si>
    <t>Ultimate X-Men, Vol. 4: Hellfire and Brimstone by Mark Millar | Goodreads</t>
  </si>
  <si>
    <t>X-Men: Ronin Super Special</t>
  </si>
  <si>
    <t>X-Men: Ronin</t>
  </si>
  <si>
    <t>Torres, J.</t>
  </si>
  <si>
    <t>Ohtsuka, Tommy</t>
  </si>
  <si>
    <t>X-Men: Ronin (#1-5), Marvel Mangaverse: Avengers Assemble (One Shot)</t>
  </si>
  <si>
    <t>X-Men: Ronin Series by J. Torres</t>
  </si>
  <si>
    <t>http://www.comicvine.com/x-men-ronin-1-ronin/4000-189776/</t>
  </si>
  <si>
    <t>Sabrina</t>
  </si>
  <si>
    <t>Granta</t>
  </si>
  <si>
    <t>Drnaso, Nick</t>
  </si>
  <si>
    <t>Sabrina by Nick Drnaso</t>
  </si>
  <si>
    <t>9781783784905</t>
  </si>
  <si>
    <t>Amulet: The Cloud Searchers</t>
  </si>
  <si>
    <t>Graphix</t>
  </si>
  <si>
    <t>Kibuishi, Kazu</t>
  </si>
  <si>
    <t>https://www.goodreads.com/book/show/59021445-amulet-book-3</t>
  </si>
  <si>
    <t>9789389823936</t>
  </si>
  <si>
    <t>Bone: Crown of Horns</t>
  </si>
  <si>
    <t>Bone</t>
  </si>
  <si>
    <t>Smith, Jeff</t>
  </si>
  <si>
    <t>Bone #50-55</t>
  </si>
  <si>
    <t>Bone, Vol. 9: Crown of Horns - Jeff Smith</t>
  </si>
  <si>
    <t>0439706327</t>
  </si>
  <si>
    <t>Bone: Eyes of The Storm</t>
  </si>
  <si>
    <t>Bone #12-19</t>
  </si>
  <si>
    <t>Bone, Vol. 3: Eyes of the Storm (Bone, #3) by Jeff Smith</t>
  </si>
  <si>
    <t>0439706386</t>
  </si>
  <si>
    <t>Bone: Old Man's Cave</t>
  </si>
  <si>
    <t>Bone #33-37</t>
  </si>
  <si>
    <t>Bone, Vol. 6: Old Man's Cave - Jeff Smith</t>
  </si>
  <si>
    <t>0439706351</t>
  </si>
  <si>
    <t>Bone: Out From Boneville</t>
  </si>
  <si>
    <t>Bone #1-6</t>
  </si>
  <si>
    <t>Bone, Vol. 1: Out from Boneville</t>
  </si>
  <si>
    <t>0439706408</t>
  </si>
  <si>
    <t>Bone: Rock Jaw</t>
  </si>
  <si>
    <t>Bone #28-32</t>
  </si>
  <si>
    <t>https://www.goodreads.com/book/show/92144.Bone_Vol_5?ref=nav_sb_ss_1_10</t>
  </si>
  <si>
    <t>043970636X</t>
  </si>
  <si>
    <t>Bone: The Great Cow Race</t>
  </si>
  <si>
    <t>Bone #7-11, 13.5</t>
  </si>
  <si>
    <t>https://www.goodreads.com/book/show/28412217-bone</t>
  </si>
  <si>
    <t>8176559946</t>
  </si>
  <si>
    <t>Kari</t>
  </si>
  <si>
    <t>Harper Collins</t>
  </si>
  <si>
    <t>Patil, Amruta</t>
  </si>
  <si>
    <t>https://www.goodreads.com/book/show/3174768-kari?ref=nav_sb_ss_1_13</t>
  </si>
  <si>
    <t>9788172237103</t>
  </si>
  <si>
    <t>Ravanayan</t>
  </si>
  <si>
    <t>Holy Cow</t>
  </si>
  <si>
    <t>Mohanty, Vijayendra</t>
  </si>
  <si>
    <t>Goel, Vivek</t>
  </si>
  <si>
    <t>Ravanayan #1-3</t>
  </si>
  <si>
    <t>Ravanayan Volume 1 by Vijayendra Mohanty | Goodreads</t>
  </si>
  <si>
    <t>B00HNSSOV4</t>
  </si>
  <si>
    <t>The Skull Rosary</t>
  </si>
  <si>
    <t>The Skull Rosary by Shweta Taneja | Goodreads</t>
  </si>
  <si>
    <t>B0DLT7SCBH</t>
  </si>
  <si>
    <t>Saga Compendium</t>
  </si>
  <si>
    <t>Image Comics</t>
  </si>
  <si>
    <t>Vaughan, Brian K.</t>
  </si>
  <si>
    <t>Staples, Fiona</t>
  </si>
  <si>
    <t>Saga #1-54</t>
  </si>
  <si>
    <t>Saga, Compendium One (Saga, #1-9) by Brian K. Vaughan | Goodreads</t>
  </si>
  <si>
    <t>9781534313460</t>
  </si>
  <si>
    <t>Palestine</t>
  </si>
  <si>
    <t>Jonathan Cape</t>
  </si>
  <si>
    <t>Sacco, Joe</t>
  </si>
  <si>
    <t>Palestine #1-9</t>
  </si>
  <si>
    <t>Palestine by Joe Sacco | Goodreads</t>
  </si>
  <si>
    <t>9780224069823</t>
  </si>
  <si>
    <t>The Librarian of Aushwitz</t>
  </si>
  <si>
    <t>Macmillan</t>
  </si>
  <si>
    <t>Rubio, Salva</t>
  </si>
  <si>
    <t>Aroca, Loreto</t>
  </si>
  <si>
    <t>https://www.goodreads.com/book/show/123617194-the-librarian-of-auschwitz?ref=nav_sb_ss_1_13</t>
  </si>
  <si>
    <t>9781529088861</t>
  </si>
  <si>
    <t>All-New Ghost Rider: Engines of Vengeance</t>
  </si>
  <si>
    <t>Smith, Felipe</t>
  </si>
  <si>
    <t>Moore, Tradd</t>
  </si>
  <si>
    <t>All-New Ghost Rider #1-5</t>
  </si>
  <si>
    <t>https://www.goodreads.com/book/show/20898009-all-new-ghost-rider-vol-1?ref=nav_sb_ss_1_13</t>
  </si>
  <si>
    <t>9780785154556</t>
  </si>
  <si>
    <t>Fantastic Four: Full Circle</t>
  </si>
  <si>
    <t>https://www.goodreads.com/book/show/59485252-fantastic-four?ref=nav_sb_ss_1_13</t>
  </si>
  <si>
    <t>9781419761676</t>
  </si>
  <si>
    <t>Invincible Iron Man: Stark Resilient Book 1</t>
  </si>
  <si>
    <t>Fraction, Matt</t>
  </si>
  <si>
    <t>Laroca, Salvador</t>
  </si>
  <si>
    <t>Invincible Iron Man #25-28</t>
  </si>
  <si>
    <t>The Invincible Iron Man, Volume 5: Stark Resilient, Book 1 by Matt Fraction | Goodreads</t>
  </si>
  <si>
    <t>9780785145561</t>
  </si>
  <si>
    <t>Marvel Adventures Spider-Man: Thwip!</t>
  </si>
  <si>
    <t>Tobin, Paul</t>
  </si>
  <si>
    <t>Lolli, Matteo; Camagni, Jacopo</t>
  </si>
  <si>
    <t>Marvel Adventures: Spider-Man #53-56</t>
  </si>
  <si>
    <t>Marvel Adventures Spider-Man, Volume 14: Thwip! by Paul Tobin | Goodreads</t>
  </si>
  <si>
    <t>9780785136408</t>
  </si>
  <si>
    <t>Hilda and The Troll</t>
  </si>
  <si>
    <t>Nobrow Inc</t>
  </si>
  <si>
    <t>Pearson, Luke</t>
  </si>
  <si>
    <t>https://www.goodreads.com/book/show/53094591-hilda-and-the-troll</t>
  </si>
  <si>
    <t>9781912497546</t>
  </si>
  <si>
    <t>Blind Spot</t>
  </si>
  <si>
    <t>Orange Radius</t>
  </si>
  <si>
    <t>Mohan, Raveesh</t>
  </si>
  <si>
    <t>The Uncanny X-Men: Beyond the Farthest Star</t>
  </si>
  <si>
    <t>The Uncanny X-Men</t>
  </si>
  <si>
    <t>Panini</t>
  </si>
  <si>
    <t>Marvel Masterworks: The Uncanny X-Men</t>
  </si>
  <si>
    <t>Claremont, Chris</t>
  </si>
  <si>
    <t>Cockrum, Dave</t>
  </si>
  <si>
    <t>The Uncanny X-Men #162-168</t>
  </si>
  <si>
    <t>The Uncanny X-Men: Beyond The Farthest Star by Chris Claremont | Goodreads</t>
  </si>
  <si>
    <t>9781846530814</t>
  </si>
  <si>
    <t>The Uncanny X-Men: Blood Feud</t>
  </si>
  <si>
    <t>The Uncanny X-Men #176-179, X-Men King-sized Annual #6, New Mutants #13-14, a story from Marvel Team-Up Vol 1 #100</t>
  </si>
  <si>
    <t>9781846531125</t>
  </si>
  <si>
    <t>The Uncanny X-Men: Scarlet in Glory</t>
  </si>
  <si>
    <t>Smith, Paul</t>
  </si>
  <si>
    <t>The Uncanny X-Men #169-175</t>
  </si>
  <si>
    <t>https://www.goodreads.com/book/show/7779197-the-uncanny-x-men?ac=1&amp;from_search=true&amp;qid=LY0wd2sM5x&amp;rank=1</t>
  </si>
  <si>
    <t>9781846530975</t>
  </si>
  <si>
    <t>Corridor</t>
  </si>
  <si>
    <t>Penguin Books</t>
  </si>
  <si>
    <t>Banerjee, Sarnath</t>
  </si>
  <si>
    <t>https://www.goodreads.com/book/show/568612.Corridor?ref=nav_sb_ss_1_13</t>
  </si>
  <si>
    <t>9780143031383</t>
  </si>
  <si>
    <t>The Complete Maus</t>
  </si>
  <si>
    <t>Spiegelman, Art</t>
  </si>
  <si>
    <t>Inserts in Raw Magazine</t>
  </si>
  <si>
    <t>The Complete Maus by Art Spiegelman</t>
  </si>
  <si>
    <t>9780141014081</t>
  </si>
  <si>
    <t>Chairman Meow and the Protectors of the Proletariat</t>
  </si>
  <si>
    <t>Pop Culture</t>
  </si>
  <si>
    <t>Singh, Anant</t>
  </si>
  <si>
    <t>https://www.goodreads.com/book/show/28119719-chairman-meow-and-the-protectors-of-the-proletariat</t>
  </si>
  <si>
    <t>9789381766026</t>
  </si>
  <si>
    <t>Munkeeman</t>
  </si>
  <si>
    <t>Singh, Anant; Ghosh, Eshita</t>
  </si>
  <si>
    <t>Chattoraj, Harsho Mohan; Panwar, Sidharth</t>
  </si>
  <si>
    <t>https://www.goodreads.com/book/show/59652578-munkeeman</t>
  </si>
  <si>
    <t>9788191006186</t>
  </si>
  <si>
    <t>http://www.comicvine.com/munkeeman-1-volume-1/4000-385231/</t>
  </si>
  <si>
    <t>Munkeeman: Bulletproof Balm</t>
  </si>
  <si>
    <t>Kumar, Sumit</t>
  </si>
  <si>
    <t>Munkeeman (Vol. 3) by Anant Singh</t>
  </si>
  <si>
    <t>9789381766187</t>
  </si>
  <si>
    <t>Munkeeman: The Missing Years</t>
  </si>
  <si>
    <t>Munkeeman (Vol. 2) by Anant Singh</t>
  </si>
  <si>
    <t>9789381766064</t>
  </si>
  <si>
    <t>http://www.comicvine.com/munkeeman-2-volume-2-the-missing-years/4000-385241/</t>
  </si>
  <si>
    <t>Satya Police</t>
  </si>
  <si>
    <t>Srivastava, Mohit</t>
  </si>
  <si>
    <t>_</t>
  </si>
  <si>
    <t>Satya Police by Mohit Srivastava | Goodreads</t>
  </si>
  <si>
    <t>9789381766095</t>
  </si>
  <si>
    <t>TnT: City of Sorrows</t>
  </si>
  <si>
    <t>Royal Bengal Entertainment</t>
  </si>
  <si>
    <t>Dasgupta, Shamik</t>
  </si>
  <si>
    <t>Saha, Tamal; Satpathy, Bikash</t>
  </si>
  <si>
    <t>9781944980016</t>
  </si>
  <si>
    <t>Odayan</t>
  </si>
  <si>
    <t>The Write Order</t>
  </si>
  <si>
    <t>Sundar, Suhas</t>
  </si>
  <si>
    <t>Sharma, Deepak</t>
  </si>
  <si>
    <t>9789357769464</t>
  </si>
  <si>
    <t>Sharma, Deepak; Kotian, Siddharth</t>
  </si>
  <si>
    <t>9789360454319</t>
  </si>
  <si>
    <t>Fun Home: A Family Tragicomic</t>
  </si>
  <si>
    <t>Vintage</t>
  </si>
  <si>
    <t>Bechdel, Alison</t>
  </si>
  <si>
    <t>9781529116168</t>
  </si>
  <si>
    <t>Calvin &amp; Hobbes: In the Shadow of the Night</t>
  </si>
  <si>
    <t>Warner Books</t>
  </si>
  <si>
    <t>Watterson, Bill</t>
  </si>
  <si>
    <t>? (Also ISBN not on GR)</t>
  </si>
  <si>
    <t>Calvin and Hobbes 3: In the Shadow of the Night by Bill Watterson | Goodreads</t>
  </si>
  <si>
    <t>9780751505102</t>
  </si>
  <si>
    <t>Calvin &amp; Hobbes: One Day the Wind Will Change</t>
  </si>
  <si>
    <t>?</t>
  </si>
  <si>
    <t>Calvin and Hobbes 2: One Day the Wind Will Change by Bill Waterson | Goodreads</t>
  </si>
  <si>
    <t>9780751505092</t>
  </si>
  <si>
    <t>Technicolour Lovers: Aaranyakaandam</t>
  </si>
  <si>
    <t>Yali Dreamworks</t>
  </si>
  <si>
    <t>Raveendram, Bijoy</t>
  </si>
  <si>
    <t>Chatterjee, Utsab</t>
  </si>
  <si>
    <t>https://www.goodreads.com/book/show/231199097-technicolour-lovers?ref=nav_sb_ss_1_13</t>
  </si>
  <si>
    <t>9781944980054</t>
  </si>
  <si>
    <t>Satpathy, Bikash; Dasgupta, Shamik</t>
  </si>
  <si>
    <t>https://www.goodreads.com/book/show/28432395-caravan?ref=nav_sb_ss_1_13</t>
  </si>
  <si>
    <t>9780989757409</t>
  </si>
  <si>
    <t>Munnu: A boy from Kashmir</t>
  </si>
  <si>
    <t>Sajad, Malik</t>
  </si>
  <si>
    <t>https://www.goodreads.com/book/show/27262909-munnu?ac=1&amp;from_search=true&amp;qid=n5Zw7dQccn&amp;rank=1</t>
  </si>
  <si>
    <t>9780008165628</t>
  </si>
  <si>
    <t>The Barn Owl's Wonderous Capers</t>
  </si>
  <si>
    <t>The Barn Owl's Wondrous Capers by Banerjee Sarnath | Goodreads</t>
  </si>
  <si>
    <t>9780144001088</t>
  </si>
  <si>
    <t>Adi Parva: Churning of the Ocean</t>
  </si>
  <si>
    <t>Parva Duology</t>
  </si>
  <si>
    <t>https://www.goodreads.com/book/show/60316207-adi-parva</t>
  </si>
  <si>
    <t>9789354227615</t>
  </si>
  <si>
    <t>Sauptik: Blood and Flowers</t>
  </si>
  <si>
    <t>https://www.goodreads.com/book/show/60311462-sauptik?ref=nav_sb_ss_1_13</t>
  </si>
  <si>
    <t>9789354229367</t>
  </si>
  <si>
    <t>Subj Category</t>
  </si>
  <si>
    <t>Complete</t>
  </si>
  <si>
    <t>Story Arc</t>
  </si>
  <si>
    <t>Arc #</t>
  </si>
  <si>
    <t>Original Volume Issue 2</t>
  </si>
  <si>
    <t>O2#</t>
  </si>
  <si>
    <t>Writer 2</t>
  </si>
  <si>
    <t>Artist 2</t>
  </si>
  <si>
    <t>Link 2</t>
  </si>
  <si>
    <t>Size</t>
  </si>
  <si>
    <t>Utk Rating</t>
  </si>
  <si>
    <t>Uts Rating</t>
  </si>
  <si>
    <t>Notes</t>
  </si>
  <si>
    <t>Indian</t>
  </si>
  <si>
    <t>Y</t>
  </si>
  <si>
    <t>Fernandes, Luis</t>
  </si>
  <si>
    <t>Large</t>
  </si>
  <si>
    <t>Tinkle Double Digest</t>
  </si>
  <si>
    <t>Ghate, Shriya</t>
  </si>
  <si>
    <t>Small</t>
  </si>
  <si>
    <t>Batman</t>
  </si>
  <si>
    <t>Americom</t>
  </si>
  <si>
    <t>Identity Crisis (2)</t>
  </si>
  <si>
    <t>Grant, Alan</t>
  </si>
  <si>
    <t>Breyfogle, Norm</t>
  </si>
  <si>
    <t>Batman #455 - Identity Crisis, Part One (Issue)</t>
  </si>
  <si>
    <t>Batman #456 - Identity Crisis, Part Two: Without Fear of Consequence... (Issue)</t>
  </si>
  <si>
    <t>Batman #457 - Master of Fear (Issue)</t>
  </si>
  <si>
    <t>Archie</t>
  </si>
  <si>
    <t>Archie's</t>
  </si>
  <si>
    <t>Gladir, George</t>
  </si>
  <si>
    <t>Goldberg, Stan</t>
  </si>
  <si>
    <t>Archie #504 (Issue)</t>
  </si>
  <si>
    <t>Archie #515 (Issue)</t>
  </si>
  <si>
    <t>Archie &amp; Friends</t>
  </si>
  <si>
    <t>Lindsey, Rex</t>
  </si>
  <si>
    <t>Archie &amp; Friends #66 (Issue)</t>
  </si>
  <si>
    <t>Archie's Double Digest</t>
  </si>
  <si>
    <t>Kennedy, Tim</t>
  </si>
  <si>
    <t>Archie's Double Digest Magazine #123 (Issue)</t>
  </si>
  <si>
    <t>Archie's Story &amp; Game</t>
  </si>
  <si>
    <t>Ollerenshaw, Rod</t>
  </si>
  <si>
    <t>Scarpelli, Henry</t>
  </si>
  <si>
    <t>Archie's Story &amp; Game Digest Magazine #16 (Issue)</t>
  </si>
  <si>
    <t>Sabrina The Teenage Witch</t>
  </si>
  <si>
    <t>Golliher, Bill</t>
  </si>
  <si>
    <t>Decarlo, Dan</t>
  </si>
  <si>
    <t>https://comicvine.gamespot.com/sabrina-the-teenage-witch-13/4000-322701/</t>
  </si>
  <si>
    <t>The Jetsons</t>
  </si>
  <si>
    <t>Cartoon Network</t>
  </si>
  <si>
    <t>Unknown</t>
  </si>
  <si>
    <t>Jetsons #1 - Journey Back Park (Issue)</t>
  </si>
  <si>
    <t>Your Pal Archie</t>
  </si>
  <si>
    <t>S</t>
  </si>
  <si>
    <t>Templeton, Ty</t>
  </si>
  <si>
    <t>Parent, Dan</t>
  </si>
  <si>
    <t>Your Pal Archie #1 - The Road Worrier / A Night at the Opera / Sand-Wishes! (Issue)</t>
  </si>
  <si>
    <t>Kachchhaman</t>
  </si>
  <si>
    <t>Besra Comics</t>
  </si>
  <si>
    <t>Besra, Surjeet</t>
  </si>
  <si>
    <t>Mahto, Shambhu Nath</t>
  </si>
  <si>
    <t>Kachchhaman by Surjeet Besra | Goodreads</t>
  </si>
  <si>
    <t>Captain Power and the Soldiers of The Future</t>
  </si>
  <si>
    <t>Continuity Comics</t>
  </si>
  <si>
    <t>Indie</t>
  </si>
  <si>
    <t>Captain Power and the Soldiers of The Future (2)</t>
  </si>
  <si>
    <t>Adams, Neal; Stone, Peter</t>
  </si>
  <si>
    <t>Adams, Neal</t>
  </si>
  <si>
    <t>Captain Power and the Soldiers of The Future #1 - A Summoning of Thunder (Issue)</t>
  </si>
  <si>
    <t>Captain Power And The Soldiers Of The Future Featuring Captain Power #2 (Issue)</t>
  </si>
  <si>
    <t>Action Comics</t>
  </si>
  <si>
    <t>Superman</t>
  </si>
  <si>
    <t>N</t>
  </si>
  <si>
    <t>Siegel, Jerry; Guardineer, Fred</t>
  </si>
  <si>
    <t>Schuster, Joe; Guardineer, Fred</t>
  </si>
  <si>
    <t>Action Comics #1 - Superman, Champion of the Oppressed (Issue)</t>
  </si>
  <si>
    <t>Adventures of Superman</t>
  </si>
  <si>
    <t>Who is Strange Visitor (4)</t>
  </si>
  <si>
    <t>Frenz, Randall</t>
  </si>
  <si>
    <t>Frenz, Ron</t>
  </si>
  <si>
    <t>Adventures of Superman #572 - Who Is Strange Visitor? Chapter Two; When? (Issue)</t>
  </si>
  <si>
    <t>Absolute Batman</t>
  </si>
  <si>
    <t>The Zoo (6)</t>
  </si>
  <si>
    <t>Snyder, Scott</t>
  </si>
  <si>
    <t>Dragotta, Nick</t>
  </si>
  <si>
    <t>https://comicvine.gamespot.com/absolute-batman-1-vol-1-the-zoo/4000-1136229/</t>
  </si>
  <si>
    <t>Absolute Wonder Woman</t>
  </si>
  <si>
    <t>Wonder Woman</t>
  </si>
  <si>
    <t>The Last Amazon (5)</t>
  </si>
  <si>
    <t>Thompson, Kelly</t>
  </si>
  <si>
    <t>Sherman, Hayden</t>
  </si>
  <si>
    <t>Absolute Wonder Woman #1 - The Last Amazon, Part 1 of 5 (Issue)</t>
  </si>
  <si>
    <t>Detective Comics</t>
  </si>
  <si>
    <t>Knightfall (19)</t>
  </si>
  <si>
    <t>Dixon, Chuck</t>
  </si>
  <si>
    <t>Detective Comics #659 - Puppets (Issue)</t>
  </si>
  <si>
    <t>Balent, Jim</t>
  </si>
  <si>
    <t>Detective Comics #660 - Crocodile Tears (Issue)</t>
  </si>
  <si>
    <t>Nolan, Graham</t>
  </si>
  <si>
    <t>https://comicvine.gamespot.com/detective-comics-661-city-on-fire/4000-108494/</t>
  </si>
  <si>
    <t>Detective Comics #662 - Burning Questions (Issue)</t>
  </si>
  <si>
    <t>Aparo, Jim</t>
  </si>
  <si>
    <t>Batman #496 - Die Laughing (Issue)</t>
  </si>
  <si>
    <t>6 issue arc only counting Batman and Detective Comics issues</t>
  </si>
  <si>
    <t>DC Adventures</t>
  </si>
  <si>
    <t>Bader, Hilary J.</t>
  </si>
  <si>
    <t>Batman Beyond #12 - The Madness of Terminal (Issue)</t>
  </si>
  <si>
    <t>Ku, Min S</t>
  </si>
  <si>
    <t>Batman Beyond #13 - Commissioner of Fear (Issue)</t>
  </si>
  <si>
    <t>Batman: Gotham Adventures</t>
  </si>
  <si>
    <t>Beatty, Terry</t>
  </si>
  <si>
    <t>https://comicvine.gamespot.com/batman-gotham-adventures-31-madness-and-chaos-and-/4000-78288/</t>
  </si>
  <si>
    <t>Peterson, Scott</t>
  </si>
  <si>
    <t>Levins, Tim</t>
  </si>
  <si>
    <t>Batman: Gotham Adventures #52 - Hard Knock Life (Issue)</t>
  </si>
  <si>
    <t>https://comicvine.gamespot.com/detective-comics-664-who-rules-the-night/4000-108497/</t>
  </si>
  <si>
    <t>Showcase '93</t>
  </si>
  <si>
    <t>Moench, Doug; Various</t>
  </si>
  <si>
    <t>Janson, Klaus; Various</t>
  </si>
  <si>
    <t>Showcase '93 #7 - Two-Face: 2 Face Double Cross / Acute Schizophrenia Paranoia Blues / Image is Everything (Issue)</t>
  </si>
  <si>
    <t>Detective Comics #665 - Lightning Changes (Issue)</t>
  </si>
  <si>
    <t>Batman #499 - The Venom Connection (Issue)</t>
  </si>
  <si>
    <t>Detective Comics #666 - The Devil You Know (Issue)</t>
  </si>
  <si>
    <t>Aparo, Jim; Austin, Terry; Manley, Mike</t>
  </si>
  <si>
    <t>Batman #500 - Dark Angel (Issue)</t>
  </si>
  <si>
    <t>Knightquest: The Crusade (26)</t>
  </si>
  <si>
    <t>Detective Comics #667 - Wild, Wild East (Issue)</t>
  </si>
  <si>
    <t>Batman: Shadow of the Bat</t>
  </si>
  <si>
    <t>Giaranno, Vince</t>
  </si>
  <si>
    <t>Batman: Shadow of the Bat #19 - The Tally Man: Part One of Two (Issue)</t>
  </si>
  <si>
    <t>Kitson, Barry</t>
  </si>
  <si>
    <t>Detective Comics #670 - Cold Cases (Issue)</t>
  </si>
  <si>
    <t>Manley, Mike</t>
  </si>
  <si>
    <t>Batman #503 - Night Becomes Woman (Issue)</t>
  </si>
  <si>
    <t>Batman: Shadow of the Bat #24 - The Immigrant: Rosemary's Baby (Issue)</t>
  </si>
  <si>
    <t>Blevins, Bret</t>
  </si>
  <si>
    <t>https://comicvine.gamespot.com/batman-shadow-of-the-bat-26-falls-upon-creatures-o/4000-38976/</t>
  </si>
  <si>
    <t>Knightquest: The Search (9)</t>
  </si>
  <si>
    <t>Batman: Shadow of the Bat #21 - Bruce Wayne - Part One: The Hood (Issue)</t>
  </si>
  <si>
    <t>Batman: Shadow of the Bat #22 - Bruce Wayne, Part Two: A Day in the Death of An English Village (Issue)</t>
  </si>
  <si>
    <t>Batman: Shadow of the Bat #23 - Bruce Wayne, Part Three: Curse of the Bat (Issue)</t>
  </si>
  <si>
    <t>KnightEnd (10)</t>
  </si>
  <si>
    <t>Batman #509 - KnightsEnd Part 1 Spirit of the Bat (Issue)</t>
  </si>
  <si>
    <t>Detective Comics #676 - Too Many Ninjas (Issue)</t>
  </si>
  <si>
    <t>Shadow of the Bat</t>
  </si>
  <si>
    <t>Batman: Shadow of the Bat #30 - Wild Knights: Wild City (Issue)</t>
  </si>
  <si>
    <t>Green Lantern: Rebirth</t>
  </si>
  <si>
    <t>DC</t>
  </si>
  <si>
    <t>Green Lantern: Rebirth (6)</t>
  </si>
  <si>
    <t>Johns, Geoff</t>
  </si>
  <si>
    <t>Van Sciver, Ethan</t>
  </si>
  <si>
    <t>Green Lantern: Rebirth (Story Arc) - Comic Vine</t>
  </si>
  <si>
    <t>Identity Crisis</t>
  </si>
  <si>
    <t>Identity Crisis (7)</t>
  </si>
  <si>
    <t>Meltzer, Brad</t>
  </si>
  <si>
    <t>Morales, Rags</t>
  </si>
  <si>
    <t>"Justice League" Identity Crisis (Story Arc) - Comic Vine</t>
  </si>
  <si>
    <t>Superman Adventures</t>
  </si>
  <si>
    <t>Gorfinkel, Jordan B.</t>
  </si>
  <si>
    <t>Superman Adventures #50 - Murderer! (Issue)</t>
  </si>
  <si>
    <t>Lone Wolf and Cub</t>
  </si>
  <si>
    <t>First Publishing</t>
  </si>
  <si>
    <t>Koike, Kazuo</t>
  </si>
  <si>
    <t>Kojima, Goseki</t>
  </si>
  <si>
    <t>Lone Wolf and Cub #35 (Issue)</t>
  </si>
  <si>
    <t>Devashard</t>
  </si>
  <si>
    <t>Fluid Friction Comics</t>
  </si>
  <si>
    <t>Zen</t>
  </si>
  <si>
    <t>Burns, Keith</t>
  </si>
  <si>
    <t>DevaShard #1 - At First Light (Issue)</t>
  </si>
  <si>
    <t>For Tomorrow (12)</t>
  </si>
  <si>
    <t>Lee, Jim</t>
  </si>
  <si>
    <t>For Tomorrow (Story Arc) - Comic Vine</t>
  </si>
  <si>
    <t>10,11</t>
  </si>
  <si>
    <t>Amazing Spider-Man</t>
  </si>
  <si>
    <t>Spider-Man</t>
  </si>
  <si>
    <t>The Amazing Spider-Man</t>
  </si>
  <si>
    <t>Ezekiel (5)</t>
  </si>
  <si>
    <t>4,5</t>
  </si>
  <si>
    <t>Straczynski, J. Michael</t>
  </si>
  <si>
    <t>Romita Jr., John</t>
  </si>
  <si>
    <r>
      <rPr>
        <rFont val="Calibri"/>
        <color rgb="FF1155CC"/>
        <sz val="9.0"/>
        <u/>
      </rPr>
      <t>The Amazing Spider-Man #34 - Meltdown (Issue)</t>
    </r>
    <r>
      <rPr>
        <rFont val="Calibri"/>
        <color theme="1"/>
        <sz val="9.0"/>
      </rPr>
      <t>5/</t>
    </r>
  </si>
  <si>
    <r>
      <rPr>
        <rFont val="Calibri"/>
        <color rgb="FF1155CC"/>
        <sz val="9.0"/>
        <u/>
      </rPr>
      <t>The Amazing Spider-Man #35 - Coming Out (Issue)</t>
    </r>
    <r>
      <rPr>
        <rFont val="Calibri"/>
        <color theme="1"/>
        <sz val="9.0"/>
      </rPr>
      <t>466/</t>
    </r>
  </si>
  <si>
    <t>Coming Out (3)</t>
  </si>
  <si>
    <t>1,2</t>
  </si>
  <si>
    <t>http://www.comicvine.com/the-amazing-spider-man-37-interlude/4000-113468/</t>
  </si>
  <si>
    <t>The Amazing Spider-Man #38 - The Conversation (Issue)</t>
  </si>
  <si>
    <t>http://www.comicvine.com/the-amazing-spider-man-39-meanwhile/4000-113470/</t>
  </si>
  <si>
    <t>The Amazing Spider-Man #40 - Sensitive Issues (Issue)</t>
  </si>
  <si>
    <t>40, 41 and 42 -&gt; Unnatural Enemies Arc</t>
  </si>
  <si>
    <t>http://www.comicvine.com/the-amazing-spider-man-45-until-the-stars-turn-col/4000-113476/</t>
  </si>
  <si>
    <r>
      <rPr>
        <rFont val="Calibri"/>
        <color rgb="FF1155CC"/>
        <sz val="9.0"/>
        <u/>
      </rPr>
      <t>The Amazing Spider-Man #46 - Unnatural Enemies (Issue)</t>
    </r>
    <r>
      <rPr>
        <rFont val="Calibri"/>
        <color theme="1"/>
        <sz val="9.0"/>
      </rPr>
      <t>/</t>
    </r>
  </si>
  <si>
    <t>Some other 3 arc structure in both comics</t>
  </si>
  <si>
    <t>The Amazing Spider-Man #47 - The Life &amp; Death Of Spiders (Issue)</t>
  </si>
  <si>
    <t>The Amazing Spider-Man #48 - A Spider's Tale (Issue)</t>
  </si>
  <si>
    <t>Digger (4)</t>
  </si>
  <si>
    <t>The Amazing Spider-Man #51 - Digger (Issue)</t>
  </si>
  <si>
    <t>http://www.comicvine.com/the-amazing-spider-man-52-dig-this/4000-113483/</t>
  </si>
  <si>
    <t>The Amazing Spider-Man #501 - Saturday in the Park With May (Issue)</t>
  </si>
  <si>
    <t>Astonishing X-Men</t>
  </si>
  <si>
    <t>X-Men</t>
  </si>
  <si>
    <t>Gifted (6)</t>
  </si>
  <si>
    <t>Whedon, Joss</t>
  </si>
  <si>
    <t>Cassaday, John</t>
  </si>
  <si>
    <t>Gifted (Story Arc) - Comic Vine</t>
  </si>
  <si>
    <t>Dangerous (6)</t>
  </si>
  <si>
    <t>Dangerous (Story Arc) - Comic Vine</t>
  </si>
  <si>
    <t>Torn (6)</t>
  </si>
  <si>
    <t>"Astonishing X-Men" Torn (Story Arc) - Comic Vine</t>
  </si>
  <si>
    <t>Avengers</t>
  </si>
  <si>
    <t>Avengers (vol 3)</t>
  </si>
  <si>
    <t>Pérez, George</t>
  </si>
  <si>
    <t>Avengers #4 - Too Many Avengers (Issue)</t>
  </si>
  <si>
    <t>This run is soap opera serialized</t>
  </si>
  <si>
    <t>Avengers #8 - Turbulence (Issue)</t>
  </si>
  <si>
    <t>Avengers #9 - The Villain Who Fell from Grace With the Earth (Issue)</t>
  </si>
  <si>
    <t>Grim Reaper (2)</t>
  </si>
  <si>
    <t>Avengers #11 - Always an Avenger (Issue)</t>
  </si>
  <si>
    <t>Avengers #14 - Hi, Honey...I'm Hooooome! (Issue)</t>
  </si>
  <si>
    <t>http://www.comicvine.com/avengers-15-the-three-fold-path/4000-50774/</t>
  </si>
  <si>
    <t>Avengers Disassembled (5)</t>
  </si>
  <si>
    <t>Finch, David</t>
  </si>
  <si>
    <t>http://www.comicvine.com/avengers-500-chaos-part-1/4000-90338/</t>
  </si>
  <si>
    <t>http://www.comicvine.com/avengers-501-chaos-part-2/4000-90339/</t>
  </si>
  <si>
    <t>http://www.comicvine.com/avengers-502-chaos-part-3/4000-90340/</t>
  </si>
  <si>
    <t>http://www.comicvine.com/avengers-503-chaos-part-4/4000-101195/</t>
  </si>
  <si>
    <t>Avengers Finale</t>
  </si>
  <si>
    <t>http://www.comicvine.com/avengers-finale-1/4000-141419/</t>
  </si>
  <si>
    <t>New Avengers</t>
  </si>
  <si>
    <t>Breakout (6)</t>
  </si>
  <si>
    <t>Breakout (Story Arc) - Comic Vine</t>
  </si>
  <si>
    <t>Sentry (4)</t>
  </si>
  <si>
    <t>McNiven, Steve</t>
  </si>
  <si>
    <r>
      <rPr>
        <rFont val="Calibri"/>
        <color rgb="FF1155CC"/>
        <sz val="9.0"/>
        <u/>
      </rPr>
      <t>New Avengers #7 - The Sentry part 1 (Issue)</t>
    </r>
    <r>
      <rPr>
        <rFont val="Calibri"/>
        <color theme="1"/>
        <sz val="9.0"/>
      </rPr>
      <t>he-sentry-part-1/4000-108307/</t>
    </r>
  </si>
  <si>
    <t>O'Neil, Denny</t>
  </si>
  <si>
    <t>Giordano, Dick</t>
  </si>
  <si>
    <t>Detective Comics #457 - There is No Hope in Crime Alley!; Make Way for the Elongated Woman! (Issue)</t>
  </si>
  <si>
    <t>Giordano, Dick; Adams, Neal</t>
  </si>
  <si>
    <t>Detective Comics #395 - The Secret of the Waiting Graves ; Drop Out... or Drop Dead! (Issue)</t>
  </si>
  <si>
    <t>Only the batman story is present</t>
  </si>
  <si>
    <t>The Power Company: Bork</t>
  </si>
  <si>
    <t>Dwyer, Kieron</t>
  </si>
  <si>
    <t>https://comicvine.gamespot.com/the-power-company-bork-1-vulnerability/4000-136281/</t>
  </si>
  <si>
    <t>JLA</t>
  </si>
  <si>
    <t>Kelly, Joe</t>
  </si>
  <si>
    <t>Mahnke, Doug</t>
  </si>
  <si>
    <t>JLA #65 - Bouncing Baby Boy (Issue)</t>
  </si>
  <si>
    <t>Martian Manhunter</t>
  </si>
  <si>
    <t>Revelations (5)</t>
  </si>
  <si>
    <t>Ostrander, John</t>
  </si>
  <si>
    <t>Mandrake, Tom</t>
  </si>
  <si>
    <t>Martian Manhunter #22 - Revelation Three: Brothers (Issue)</t>
  </si>
  <si>
    <t>Brubaker, Ed</t>
  </si>
  <si>
    <t>McDaniel, Scott</t>
  </si>
  <si>
    <t>Batman #586 - Penguin Dreams (Issue)</t>
  </si>
  <si>
    <t>Deadbolt, The Tomb, The Chain</t>
  </si>
  <si>
    <t>2,3</t>
  </si>
  <si>
    <t>Hanna, Scott; Nolan, Graham</t>
  </si>
  <si>
    <t>Detective Comics #697 - Deadbolt (Issue)</t>
  </si>
  <si>
    <t>Hush (12)</t>
  </si>
  <si>
    <t>Hush (Story Arc) - Comic Vine</t>
  </si>
  <si>
    <t>Batman: Gotham Knights</t>
  </si>
  <si>
    <t>18*</t>
  </si>
  <si>
    <t>Grayson, Devin</t>
  </si>
  <si>
    <t>Robinson, Roger</t>
  </si>
  <si>
    <r>
      <rPr>
        <rFont val="Calibri"/>
        <color rgb="FF1155CC"/>
        <sz val="9.0"/>
        <u/>
      </rPr>
      <t>Batman: Gotham Knights #18 - Cavernous; Fat City (Issue)</t>
    </r>
    <r>
      <rPr>
        <rFont val="Calibri"/>
        <color theme="1"/>
        <sz val="9.0"/>
      </rPr>
      <t>/</t>
    </r>
  </si>
  <si>
    <t>Only Cavernous is available. Fat City is not. Sorry</t>
  </si>
  <si>
    <t>"Batman" Hush (Story Arc) - Comic Vine</t>
  </si>
  <si>
    <t>Batman: Legends of the Dark Knight</t>
  </si>
  <si>
    <t>Baron, Mike</t>
  </si>
  <si>
    <t>Reinhold, Bill</t>
  </si>
  <si>
    <t>Batman: Legends of the Dark Knight #154 - Colossus: Part 1 of 2 (Issue)</t>
  </si>
  <si>
    <t>Second stories have their own arc, Colossus</t>
  </si>
  <si>
    <t>Batman: Legends of the Dark Knight #155 - Colossus: Part 2 of 2 (Issue)</t>
  </si>
  <si>
    <t>Colossus concludes</t>
  </si>
  <si>
    <t>Knights Passed (3)</t>
  </si>
  <si>
    <t>Beatty, Scott</t>
  </si>
  <si>
    <t>http://www.comicvine.com/batman-gotham-knights-44-body-of-evidence-knights-/4000-119378/</t>
  </si>
  <si>
    <t>Batman: Gotham Knights #45 - Fathers and Sons (Issue)</t>
  </si>
  <si>
    <t>Broken City (6)</t>
  </si>
  <si>
    <t>Risso, Eduardo</t>
  </si>
  <si>
    <t>"Batman" Broken City (Story Arc) - Comic Vine</t>
  </si>
  <si>
    <t>As the Crow Flies (5)</t>
  </si>
  <si>
    <t>Winick, Judd</t>
  </si>
  <si>
    <t>Nguyen, Dustin</t>
  </si>
  <si>
    <t>"Batman" As the Crow Flies (Story Arc) - Comic Vine</t>
  </si>
  <si>
    <t>Issue erroneously says "Part Four"</t>
  </si>
  <si>
    <t>All-Star Batman and Robin the Boy Wonder</t>
  </si>
  <si>
    <t>All Star Batman &amp; Robin, The Boy Wonder (Volume) - Comic Vine</t>
  </si>
  <si>
    <t>Dini, Paul</t>
  </si>
  <si>
    <t>Williams III, J. H.</t>
  </si>
  <si>
    <t>Detective Comics #821 - The Beautiful People (Issue)</t>
  </si>
  <si>
    <t>Kramer, Don</t>
  </si>
  <si>
    <t>Detective Comics #822 - E. Nigma, Consulting Detective (Issue)</t>
  </si>
  <si>
    <t>Benitez, Joe</t>
  </si>
  <si>
    <t>Detective Comics #823 - Stalked (Issue)</t>
  </si>
  <si>
    <t>Batman (Large)</t>
  </si>
  <si>
    <t>Clay (2)</t>
  </si>
  <si>
    <t>Alcatena, Enrique Quique</t>
  </si>
  <si>
    <t>Batman: Legends of the Dark Knight #89 - Clay Part 1 of 2 (Issue)</t>
  </si>
  <si>
    <t>Batman: Legends of the Dark Knight #90 - Clay Part 2 of 2 (Issue)</t>
  </si>
  <si>
    <t>Legacy (7)</t>
  </si>
  <si>
    <t>Detective Comics #700 - Progeny of the Demon (Issue)</t>
  </si>
  <si>
    <t>6,7</t>
  </si>
  <si>
    <t>https://comicvine.gamespot.com/detective-comics-701-gothams-scourge/4000-113160/</t>
  </si>
  <si>
    <t>Robin</t>
  </si>
  <si>
    <t>Johnson, Staz</t>
  </si>
  <si>
    <t>https://comicvine.gamespot.com/robin-33-riptide/4000-42780/</t>
  </si>
  <si>
    <t>Batman Adventures</t>
  </si>
  <si>
    <t>Ku, Min S.</t>
  </si>
  <si>
    <t>Batman Beyond #7 - Spellbound! (Issue)</t>
  </si>
  <si>
    <t>Batman: Gotham Adventures #28 - Notes (Issue)</t>
  </si>
  <si>
    <t>Batman: Gotham Adventures #34 - When in Rome (Issue)</t>
  </si>
  <si>
    <t>Batman: Gotham Adventures #44 - Choices (Issue)</t>
  </si>
  <si>
    <t>http://www.comicvine.com/batman-gotham-adventures-49-the-art-of-the-steal/4000-134945/</t>
  </si>
  <si>
    <t>Batman: Gotham Adventures #50 - Second Timers (Issue)</t>
  </si>
  <si>
    <t>Hernandez-Rosenblatt, Jason</t>
  </si>
  <si>
    <t>Batman Beyond #15 - Lightning &amp; Rain (Issue)</t>
  </si>
  <si>
    <t>http://www.comicvine.com/batman-gotham-adventures-43-turnabout/4000-134938/</t>
  </si>
  <si>
    <t>Hall, Jason</t>
  </si>
  <si>
    <t>Rader, Brad</t>
  </si>
  <si>
    <t>http://www.comicvine.com/batman-gotham-adventures-51-early-thaw/4000-134946/</t>
  </si>
  <si>
    <t>Burchett, Rick</t>
  </si>
  <si>
    <t>http://www.comicvine.com/batman-adventures-1-no-asylum/4000-159227/</t>
  </si>
  <si>
    <t>http://www.comicvine.com/batman-adventures-2-free-man-fowl-play/4000-122501/</t>
  </si>
  <si>
    <t>Slott, Dan; Templeton, Ty</t>
  </si>
  <si>
    <t>Batman Adventures #4 - Need to Know , The Balance (Issue)</t>
  </si>
  <si>
    <t>Only Need to Know is collected, not The Balance</t>
  </si>
  <si>
    <t>The Batman Strikes!</t>
  </si>
  <si>
    <t>Matheny, Bill</t>
  </si>
  <si>
    <t>Jones, Chris</t>
  </si>
  <si>
    <t>The Batman Strikes! #2 - City of Bats (Issue)</t>
  </si>
  <si>
    <t>The Batman Strikes #1 - Penguin Rising (Issue)</t>
  </si>
  <si>
    <t>The Batman Strikes! #3 - Outlaw and Disorder (Issue)</t>
  </si>
  <si>
    <t>The Batman Strikes! #4 - Without a chance (Issue)</t>
  </si>
  <si>
    <t>The Batman Strikes! #5 - Deadly partner (Issue)</t>
  </si>
  <si>
    <t>The Batman Strikes #6 - The Cat's Prize (Issue)</t>
  </si>
  <si>
    <t>The Batman Strikes #7 - Icestorm (Issue)</t>
  </si>
  <si>
    <t>The Batman Strikes! #8 - Firefall (Issue)</t>
  </si>
  <si>
    <t>Batman and Robin Adventures (Large)</t>
  </si>
  <si>
    <t>The Batman and Robin Adventures</t>
  </si>
  <si>
    <t>The Batman and Robin Adventures #4 - Bird Cage (Issue)</t>
  </si>
  <si>
    <t>The Batman and Robin Adventures #10 - Blood of the Demon (Issue)</t>
  </si>
  <si>
    <t>Krus, Brandon</t>
  </si>
  <si>
    <t>The Batman and Robin Adventures #16 - It Takes a Cat (Issue)</t>
  </si>
  <si>
    <t>Hampton, Bo</t>
  </si>
  <si>
    <t>The Batman and Robin Adventures #23 - Crocodile Tears (Issue)</t>
  </si>
  <si>
    <t>The Batman and Robin Adventures #12 - To Live and Die in Gotham City! (Issue)</t>
  </si>
  <si>
    <t>Batman: Gotham Adventures #4 - Claws (Issue)</t>
  </si>
  <si>
    <t>Batman: Gotham Adventures #9 - A League of His Own! (Issue)</t>
  </si>
  <si>
    <t>Batman: Gotham Adventures #5 - Polar Opposites (Issue)</t>
  </si>
  <si>
    <t>Batman: Gotham Adventures #18 - Like A Bat Outta Gotham (Issue)</t>
  </si>
  <si>
    <t>Batman: Gotham Adventures #11 - The Oldest One in the Book! (Issue)</t>
  </si>
  <si>
    <t>Dini, Paul; Templeton, Ty</t>
  </si>
  <si>
    <t>The Batman and Robin Adventures #8 - Harley and Ivy and... Robin? (Issue)</t>
  </si>
  <si>
    <t>Batman: Gotham Adventures #23 - Do The Wrong Thing (Issue)</t>
  </si>
  <si>
    <t>Batman: Gotham Adventures #26 - In Arms (Issue)</t>
  </si>
  <si>
    <t>Batman: The Dark Knight</t>
  </si>
  <si>
    <t>The Dark Knight Returns (4)</t>
  </si>
  <si>
    <t>Batman: The Dark Knight #1 - The Dark Knight Returns (Issue)</t>
  </si>
  <si>
    <t>http://www.comicvine.com/batman-the-dark-knight-2-the-dark-knight-triumphan/4000-26276/</t>
  </si>
  <si>
    <t>http://www.comicvine.com/batman-the-dark-knight-3-hunt-the-dark-knight/4000-26282/</t>
  </si>
  <si>
    <t>http://www.comicvine.com/batman-the-dark-knight-4-the-dark-knight-falls/4000-26290/</t>
  </si>
  <si>
    <t>Cartoon Cartoons</t>
  </si>
  <si>
    <t>Cartoon Netwok Starring</t>
  </si>
  <si>
    <t>http://www.comicvine.com/cartoon-network-starring-2-johnny-in-paradise/4000-431236/</t>
  </si>
  <si>
    <t>Originally Johnny Bravo</t>
  </si>
  <si>
    <t>http://www.comicvine.com/cartoon-network-starring-14-under-my-wheels/4000-431246/</t>
  </si>
  <si>
    <t>http://www.comicvine.com/cartoon-cartoons-1/4000-271679/</t>
  </si>
  <si>
    <t>Cartoon Network Magazine</t>
  </si>
  <si>
    <t>Dexter's Laboratory</t>
  </si>
  <si>
    <t>Denning, James</t>
  </si>
  <si>
    <t>Jenkins, Matt</t>
  </si>
  <si>
    <t>Dexter's Laboratory #23 (Issue)</t>
  </si>
  <si>
    <t>Cunningham, Scott</t>
  </si>
  <si>
    <t>Day, Dan</t>
  </si>
  <si>
    <t>Cartoon Cartoons #5 - The Delivery Boy; Scream a Little Dream; Water on the Brain! (Issue)</t>
  </si>
  <si>
    <t>Also collects the Johnny Bravo story from Cartoon Network Starring #17, the Courage story from Cartoon Cartoons #4, and Johnny's Rules T'Live By #11 from Cartoon Network Starring #17</t>
  </si>
  <si>
    <t>Catwoman</t>
  </si>
  <si>
    <t>Catwoman: When in Rome</t>
  </si>
  <si>
    <t>Catwoman: When in Rome (6)</t>
  </si>
  <si>
    <t>Catwoman: When in Rome (Volume) - Comic Vine</t>
  </si>
  <si>
    <t>3,4</t>
  </si>
  <si>
    <t>5,6</t>
  </si>
  <si>
    <t>Conan the Barbarian</t>
  </si>
  <si>
    <t>Conan</t>
  </si>
  <si>
    <t>The Savage Sword of Conan</t>
  </si>
  <si>
    <t>Yakata, Larry</t>
  </si>
  <si>
    <t>Chan, Ernie</t>
  </si>
  <si>
    <t>http://www.comicvine.com/the-savage-sword-of-conan-123-secret-of-the-great-/4000-135244/</t>
  </si>
  <si>
    <t>Thomas, Roy</t>
  </si>
  <si>
    <t>http://www.comicvine.com/the-savage-sword-of-conan-35-black-tears/4000-18976/</t>
  </si>
  <si>
    <t>Daredevil &amp; Marvel Knights</t>
  </si>
  <si>
    <t>Daredevil</t>
  </si>
  <si>
    <t>Marvel Knights</t>
  </si>
  <si>
    <t>Ulik (3)</t>
  </si>
  <si>
    <t>Barreto, Ed</t>
  </si>
  <si>
    <t>Marvel Knights #3 - The Destroyers (Issue)</t>
  </si>
  <si>
    <t>Zaran (3)</t>
  </si>
  <si>
    <r>
      <rPr>
        <rFont val="Calibri"/>
        <color rgb="FF1155CC"/>
        <sz val="9.0"/>
        <u/>
      </rPr>
      <t>Marvel Knights #4 - Zaran (Issue)</t>
    </r>
    <r>
      <rPr>
        <rFont val="Calibri"/>
        <color rgb="FF000000"/>
        <sz val="9.0"/>
      </rPr>
      <t>an/4000-66975/</t>
    </r>
  </si>
  <si>
    <t>Marvel Knights #5 - Family and Friends (Issue)</t>
  </si>
  <si>
    <t>Marvel Knights #6 - The Reckoning (Issue)</t>
  </si>
  <si>
    <t>Cloak &amp; Dagger (3)</t>
  </si>
  <si>
    <t>http://www.comicvine.com/marvel-knights-8-dark-matters/4000-66979/</t>
  </si>
  <si>
    <t>Marvel Knights #10 - The Good With The Bad (Issue)</t>
  </si>
  <si>
    <t>Everything Dies (5)</t>
  </si>
  <si>
    <t>http://www.comicvine.com/marvel-knights-11/4000-66982/</t>
  </si>
  <si>
    <t>http://www.comicvine.com/marvel-knights-12-the-long-long-night/4000-66983/</t>
  </si>
  <si>
    <t>DC Comics Presents</t>
  </si>
  <si>
    <t>DC First: Flash/Superman</t>
  </si>
  <si>
    <t>https://comicvine.gamespot.com/dc-first-flashsuperman-1-speeding-bullets/4000-199171/</t>
  </si>
  <si>
    <t>Green Lantern (Vol 3)</t>
  </si>
  <si>
    <t>Faerber, Jay</t>
  </si>
  <si>
    <t>Lim, Ron</t>
  </si>
  <si>
    <t>https://comicvine.gamespot.com/green-lantern-127-burning-desire/4000-46397/</t>
  </si>
  <si>
    <t>The Flash</t>
  </si>
  <si>
    <t>Event Horizon (2)</t>
  </si>
  <si>
    <t>Kolins, Scott</t>
  </si>
  <si>
    <t>The Flash #177 - Event Horizion (Issue)</t>
  </si>
  <si>
    <t>Legends of the DC Universe</t>
  </si>
  <si>
    <t>The Tragedy of the Traitor! (2)</t>
  </si>
  <si>
    <t>Grant, Steven</t>
  </si>
  <si>
    <t>Legends of the DC Universe #38 - Tragedy of the Traitor Part Two (Issue)</t>
  </si>
  <si>
    <t>Marz, Ron</t>
  </si>
  <si>
    <t>Johnson, Jeff</t>
  </si>
  <si>
    <t>Green Lantern #125 - Tomb Raider (Issue)</t>
  </si>
  <si>
    <t>Green Lantern Annual</t>
  </si>
  <si>
    <t>Vance, Steve</t>
  </si>
  <si>
    <t>http://www.comicvine.com/green-lantern-annual-7-the-corpse-corps/4000-45478</t>
  </si>
  <si>
    <t>Crossover</t>
  </si>
  <si>
    <t>JLA/Avengers</t>
  </si>
  <si>
    <t>JLA/Avengers (4)</t>
  </si>
  <si>
    <t>http://www.comicvine.com/jlaavengers-1-a-journey-into-mystery/4000-93977/</t>
  </si>
  <si>
    <t>http://www.comicvine.com/jlaavengers-2-a-contest-of-champions/4000-105426/</t>
  </si>
  <si>
    <t>http://www.comicvine.com/jlaavengers-4-the-brave-and-the-bold/4000-105427/</t>
  </si>
  <si>
    <t>http://www.comicvine.com/identity-crisis-2-chapter-two-house-of-lies/4000-108220/</t>
  </si>
  <si>
    <t>http://www.comicvine.com/identity-crisis-3-chapter-three-serial-killer/4000-108233/</t>
  </si>
  <si>
    <t>http://www.comicvine.com/identity-crisis-4-chapter-four-who-benefits/4000-108241/</t>
  </si>
  <si>
    <t>http://www.comicvine.com/identity-crisis-5-chapter-five-fathers-day/4000-110351/</t>
  </si>
  <si>
    <t>DC Superheroes</t>
  </si>
  <si>
    <t>Hawkman</t>
  </si>
  <si>
    <t>Siegal, Josh</t>
  </si>
  <si>
    <t>Byrne, John</t>
  </si>
  <si>
    <t>http://www.comicvine.com/hawkman-26-rest/4000-151528/</t>
  </si>
  <si>
    <t>Tartakovsky, Genndy; McCracken, Craig</t>
  </si>
  <si>
    <t>Tartakovsky, Genndy</t>
  </si>
  <si>
    <t>http://www.comicvine.com/dexters-laboratory-2/4000-184636/</t>
  </si>
  <si>
    <t>Roberts, Scott; Kim, Chuck</t>
  </si>
  <si>
    <t>Delaney, John; Wray, Bill</t>
  </si>
  <si>
    <t>Dexter's Laboratory #27 - Who's Asking? (Issue)</t>
  </si>
  <si>
    <t>Edgar Rice Burroughs' Tarzan (Large)</t>
  </si>
  <si>
    <t>Western Publishing</t>
  </si>
  <si>
    <t>Edgar Rice Burroughs' Tarzan of the Apes</t>
  </si>
  <si>
    <t>DuBois, Gaylord</t>
  </si>
  <si>
    <t>Manning, Russ</t>
  </si>
  <si>
    <t>Edgar Rice Burroughs' Tarzan of the Apes #157</t>
  </si>
  <si>
    <t>Not a numbered series</t>
  </si>
  <si>
    <t>Tarzan the Untamed (2)</t>
  </si>
  <si>
    <t>Edgar Rice Burroughs' Tarzan of the Apes #164 - The Lions of Xuja [Part 2] (Issue)</t>
  </si>
  <si>
    <t>Tarzan the Terrible (2)</t>
  </si>
  <si>
    <t>Edgar Rice Burroughs' Tarzan of the Apes #166 - Tarzan the Terrible [Part 1] (Issue)</t>
  </si>
  <si>
    <t>Edgar Rice Burroughs' Tarzan of the Apes #167 - Incredible Pal-Ul-Don [Part 2] (Issue)</t>
  </si>
  <si>
    <t>Edgar Rice Burroughs' Tarzan Digest</t>
  </si>
  <si>
    <t>Tarzan vs. Predator at the Earth's Core</t>
  </si>
  <si>
    <t>Tarzan vs. Predator at the Earth's Core (4)</t>
  </si>
  <si>
    <t>Simonson, Walter</t>
  </si>
  <si>
    <t>Weeks, Lee</t>
  </si>
  <si>
    <t>Tarzan vs. Predator: At the Earth's Core - Wikipedia</t>
  </si>
  <si>
    <t>1,2,4 missing</t>
  </si>
  <si>
    <t>Superman/Tarzan: Sons of the Jungle</t>
  </si>
  <si>
    <t>Superman/Tarzan: Sons of the Jungle (3)</t>
  </si>
  <si>
    <t>Meglia, Carlos</t>
  </si>
  <si>
    <t>http://www.comicvine.com/supermantarzan-sons-of-the-jungle-1/4000-174957/</t>
  </si>
  <si>
    <t>http://www.comicvine.com/supermantarzan-sons-of-the-jungle-2/4000-174964/</t>
  </si>
  <si>
    <t>http://www.comicvine.com/supermantarzan-sons-of-the-jungle-3/4000-174966/</t>
  </si>
  <si>
    <t>Elektra: The Hand</t>
  </si>
  <si>
    <t>Elektra: The Hand (5)</t>
  </si>
  <si>
    <t>Cebulski, C.B.</t>
  </si>
  <si>
    <t>Gossett, Christian</t>
  </si>
  <si>
    <t>http://www.comicvine.com/elektra-the-hand-2-the-first-blow/4000-104433/</t>
  </si>
  <si>
    <t>http://www.comicvine.com/elektra-the-hand-3-the-first-impression/4000-104434/</t>
  </si>
  <si>
    <t>http://www.comicvine.com/elektra-the-hand-4-the-first-faults/4000-104435/</t>
  </si>
  <si>
    <t>Gossett, Christian; Lim, Ron</t>
  </si>
  <si>
    <t>Elektra: The Hand #5 - The Last Straw (Issue)</t>
  </si>
  <si>
    <t>Fantastic Four</t>
  </si>
  <si>
    <t>Sentient (3)</t>
  </si>
  <si>
    <t>Wieringo, Mike</t>
  </si>
  <si>
    <t>Fantastic Four #62 - Sentient Part 1 (Issue)</t>
  </si>
  <si>
    <t>Fantastic Four #63 - Sentient Part 2 (Issue)</t>
  </si>
  <si>
    <t>Fantastic Four #64 - Sentient Part 3 (Issue)</t>
  </si>
  <si>
    <t>http://www.comicvine.com/fantastic-four-67-under-her-skin/4000-139081/</t>
  </si>
  <si>
    <t>9 &amp; 10 are supposedly very good</t>
  </si>
  <si>
    <t>Unthinkable (4)</t>
  </si>
  <si>
    <t>"Fantastic Four" Unthinkable (Story Arc) - Comic Vine</t>
  </si>
  <si>
    <t>http://www.comicvine.com/fantastic-four-70-unthinkable-part-3/4000-139084/</t>
  </si>
  <si>
    <t>http://www.comicvine.com/fantastic-four-500-unthinkable-part-4/4000-139097/</t>
  </si>
  <si>
    <t>Hereafter (3)</t>
  </si>
  <si>
    <t>Fantastic Four #509 - Hereafter Part 1 (Issue)</t>
  </si>
  <si>
    <t>Fantastic Four #510 - Hereafter Part 2 (Issue)</t>
  </si>
  <si>
    <t>Fantastic Four #511 - Hereafter Part 3 (Issue)</t>
  </si>
  <si>
    <t>Spider-Sense (2)</t>
  </si>
  <si>
    <t>https://comicvine.gamespot.com/fantastic-four-513-spider-sense-part-2/4000-139109/</t>
  </si>
  <si>
    <t>Fortitude (3)</t>
  </si>
  <si>
    <r>
      <rPr>
        <rFont val="Calibri"/>
        <color rgb="FF1155CC"/>
        <sz val="9.0"/>
        <u/>
      </rPr>
      <t>Fantastic Four #517 - Fortitude Part 1 of 3 (Issue)</t>
    </r>
    <r>
      <rPr>
        <rFont val="Calibri"/>
        <color theme="1"/>
        <sz val="9.0"/>
      </rPr>
      <t>2606/</t>
    </r>
  </si>
  <si>
    <t>Linked to Disassembled</t>
  </si>
  <si>
    <t>Fantastic Four #519 - Fourtitude Part 3 of 3 (Issue)</t>
  </si>
  <si>
    <t>Rising Storm (4)</t>
  </si>
  <si>
    <t>Fantastic Four #520 - Rising Storm, Part 1 (Issue)</t>
  </si>
  <si>
    <t>Fantastic Four #521 - Rising Storm, Part 2 (Issue)</t>
  </si>
  <si>
    <t>Fantastic Four #522 - Rising Storm, Part 3 (Issue)</t>
  </si>
  <si>
    <t>Fantastic Four #523 - Rising Storm, Part 4 (Issue)</t>
  </si>
  <si>
    <t>Fantastic Four #524 - Tag (Issue)</t>
  </si>
  <si>
    <t>Conclusion to MW run</t>
  </si>
  <si>
    <t>Fantastic Four Adventures</t>
  </si>
  <si>
    <t>Marvel Adventures: Fantastic Four</t>
  </si>
  <si>
    <t>Parker, Jeff</t>
  </si>
  <si>
    <t>Pagulayan, Carlo</t>
  </si>
  <si>
    <t>Marvel Adventures: Fantastic Four #3 - The Diabolical Dr. Santos (Issue)</t>
  </si>
  <si>
    <t>Santacruz, Juan</t>
  </si>
  <si>
    <t>Marvel Adventures: Fantastic Four #4 - His Latest Flame (Issue)</t>
  </si>
  <si>
    <t>Yoshida, Akira; Parker, Jeff</t>
  </si>
  <si>
    <t>Marvel Adventures: Fantastic Four #2 - A Plague of One (Issue)</t>
  </si>
  <si>
    <t>Garcia, Manuel</t>
  </si>
  <si>
    <t>Marvel Adventures: Fantastic Four #5 - Shortcut (Issue)</t>
  </si>
  <si>
    <t>https://comicvine.gamespot.com/marvel-adventures-fantastic-four-7-women-are-from-/4000-118826/</t>
  </si>
  <si>
    <t>Flash</t>
  </si>
  <si>
    <t>Blood Will Run (4)</t>
  </si>
  <si>
    <t>Collins, Scott</t>
  </si>
  <si>
    <t>Blood Will Run (Story Arc) - Comic Vine</t>
  </si>
  <si>
    <t>Birth Right (2)</t>
  </si>
  <si>
    <t>http://www.comicvine.com/the-flash-174-moving-right-along/4000-84888/</t>
  </si>
  <si>
    <t>House of Mystery</t>
  </si>
  <si>
    <t>http://www.comicvine.com/house-of-mystery-199/4000-117345/</t>
  </si>
  <si>
    <t>http://www.comicvine.com/house-of-mystery-186/4000-117332/</t>
  </si>
  <si>
    <t>JLA Volume 1</t>
  </si>
  <si>
    <t>Man and Superman (4)</t>
  </si>
  <si>
    <t>Miller, Mike</t>
  </si>
  <si>
    <t>JLA #51 - Man and Superman (Issue)</t>
  </si>
  <si>
    <t>Hitch, Bryan</t>
  </si>
  <si>
    <t>https://comicvine.gamespot.com/jla-52-element-of-surprise/4000-66957/</t>
  </si>
  <si>
    <t>Terra Incognita (4)</t>
  </si>
  <si>
    <t>JLA #55 - Terror Incognita Part 1 of 4: Came The Pale Riders (Issue)</t>
  </si>
  <si>
    <t>Superman (Vol 2)</t>
  </si>
  <si>
    <t>McGuinness, Ed</t>
  </si>
  <si>
    <t>https://comicvine.gamespot.com/superman-detour/4000-118927/</t>
  </si>
  <si>
    <t>The second issue seems complete</t>
  </si>
  <si>
    <t>Kingdom Come</t>
  </si>
  <si>
    <t>Kingdom Come (4)</t>
  </si>
  <si>
    <t>http://www.comicvine.com/kingdom-come-1-strange-visitor/4000-42353/</t>
  </si>
  <si>
    <t>http://www.comicvine.com/kingdom-come-2-truth-and-justice/4000-42446/</t>
  </si>
  <si>
    <t>http://www.comicvine.com/kingdom-come-3-up-in-the-sky/4000-42547/</t>
  </si>
  <si>
    <t>http://www.comicvine.com/kingdom-come-4-never-ending-battle/4000-42649/</t>
  </si>
  <si>
    <t>The 10th Circle (6)</t>
  </si>
  <si>
    <t>Byrne, John; Claremont, Chris</t>
  </si>
  <si>
    <t>Ordway, Jerry</t>
  </si>
  <si>
    <t>http://www.comicvine.com/jla-94-the-tenth-circle-part-1-suffer-the-little-c/4000-93373/</t>
  </si>
  <si>
    <t>https://comicvine.gamespot.com/jla-95-the-tenth-circle-part-two-the-enemy-within/4000-93374/</t>
  </si>
  <si>
    <t>http://www.comicvine.com/jla-96-the-tenth-circle-part-3-the-heart-of-the-ma/4000-93375/</t>
  </si>
  <si>
    <t>https://comicvine.gamespot.com/jla-97-the-tenth-circle-part-4-interludes-on-the-l/4000-93376/</t>
  </si>
  <si>
    <t>https://comicvine.gamespot.com/jla-98-the-tenth-circle-part-5-convergence/4000-93377/</t>
  </si>
  <si>
    <t>https://comicvine.gamespot.com/jla-99-the-tenth-circle-conclusion-heartbreaker/4000-93378/</t>
  </si>
  <si>
    <t>JLA (Large)</t>
  </si>
  <si>
    <t>New World Order (4)</t>
  </si>
  <si>
    <t>Morrison, Grant</t>
  </si>
  <si>
    <t>Porter, Howard</t>
  </si>
  <si>
    <t>JLA #3 - War of the Worlds (Issue)</t>
  </si>
  <si>
    <t>Conquerors (2)</t>
  </si>
  <si>
    <t>JLA #22 - It (Issue)</t>
  </si>
  <si>
    <t>JLA #23 - Conquerors (Issue)</t>
  </si>
  <si>
    <t>JLA: Another Nail</t>
  </si>
  <si>
    <t>Justice League of America: Another Nail</t>
  </si>
  <si>
    <t>Justice League of America: Another Nail (3)</t>
  </si>
  <si>
    <t>Justice League of America: Another Nail #2 (Issue)</t>
  </si>
  <si>
    <t>http://www.comicvine.com/justice-league-of-america-another-nail-3/4000-98430/</t>
  </si>
  <si>
    <t>Justice League Adventures</t>
  </si>
  <si>
    <t>Slott, Dan</t>
  </si>
  <si>
    <t>https://comicvine.gamespot.com/justice-league-adventures-6-wolfs-clothing-sold/4000-115930/</t>
  </si>
  <si>
    <t>Barr, Mike W.</t>
  </si>
  <si>
    <t>https://comicvine.gamespot.com/justice-league-adventures-8-new-moon/4000-116249/</t>
  </si>
  <si>
    <t>https://comicvine.gamespot.com/justice-league-adventures-10-must-there-be-a-marti/4000-116277/</t>
  </si>
  <si>
    <t>https://comicvine.gamespot.com/justice-league-adventures-11-the-moment/4000-116280/</t>
  </si>
  <si>
    <t>Sequeira, Christopher</t>
  </si>
  <si>
    <t>https://comicvine.gamespot.com/justice-league-adventures-12-cold-war/4000-116281/</t>
  </si>
  <si>
    <t>McCloud, Scott</t>
  </si>
  <si>
    <t>Delaney, John</t>
  </si>
  <si>
    <t>https://comicvine.gamespot.com/justice-league-adventures-16-hide-and-seek/4000-96629/</t>
  </si>
  <si>
    <t>Nicieza, Fabian</t>
  </si>
  <si>
    <r>
      <rPr>
        <rFont val="Calibri"/>
        <color rgb="FF1155CC"/>
        <sz val="9.0"/>
        <u/>
      </rPr>
      <t>Justice League Adventures #24 - Alien Like Me (Issue)</t>
    </r>
    <r>
      <rPr>
        <rFont val="Calibri"/>
        <color theme="1"/>
        <sz val="9.0"/>
      </rPr>
      <t>00-96637/</t>
    </r>
  </si>
  <si>
    <r>
      <rPr>
        <rFont val="Calibri"/>
        <color rgb="FF1155CC"/>
        <sz val="9.0"/>
        <u/>
      </rPr>
      <t>Justice League Adventures #28 - Future Imperfect (Issue)</t>
    </r>
    <r>
      <rPr>
        <rFont val="Calibri"/>
        <color theme="1"/>
        <sz val="9.0"/>
      </rPr>
      <t>/4000-96641/</t>
    </r>
  </si>
  <si>
    <t>Justice League Unlimited</t>
  </si>
  <si>
    <t>Beechen, Adam</t>
  </si>
  <si>
    <t>Barberi, Carlo</t>
  </si>
  <si>
    <r>
      <rPr>
        <rFont val="Calibri"/>
        <color rgb="FF1155CC"/>
        <sz val="9.0"/>
        <u/>
      </rPr>
      <t>Justice League Unlimited #1 - Divide and Conquer (Issue)</t>
    </r>
    <r>
      <rPr>
        <rFont val="Calibri"/>
        <color theme="1"/>
        <sz val="9.0"/>
      </rPr>
      <t>/4000-112192/</t>
    </r>
  </si>
  <si>
    <t>Beavers, Ethan</t>
  </si>
  <si>
    <t>Justice League Unlimited #2 - Poker Face (Issue)</t>
  </si>
  <si>
    <t>http://www.comicvine.com/justice-league-unlimited-3-small-time/4000-108884/</t>
  </si>
  <si>
    <t>Marvel Comics Presents</t>
  </si>
  <si>
    <t>The Silver Surfer</t>
  </si>
  <si>
    <t>Silver Surfer: The Ultimate Cosmic Experience (4)</t>
  </si>
  <si>
    <t>Lee, Stan</t>
  </si>
  <si>
    <t>Kirby, Jack</t>
  </si>
  <si>
    <t>The Silver Surfer #1 - The Ultimate Cosmic Experience! (Issue)</t>
  </si>
  <si>
    <t>Part of a graphic novel</t>
  </si>
  <si>
    <t>Wolverine</t>
  </si>
  <si>
    <t>Going Underground (2)</t>
  </si>
  <si>
    <t>Stephenson, Eric</t>
  </si>
  <si>
    <t>Churchill, Ian</t>
  </si>
  <si>
    <t>Wolverine #156 - Going Underground (Issue)</t>
  </si>
  <si>
    <t>Iron Man</t>
  </si>
  <si>
    <t>In Shining Iron (3)</t>
  </si>
  <si>
    <t>Grell, Mike</t>
  </si>
  <si>
    <t>Iron Man #59 - In Shining Iron, Part 1 (Issue)</t>
  </si>
  <si>
    <t>Spider-Man/Kingpin: To the Death</t>
  </si>
  <si>
    <t>Romita, John</t>
  </si>
  <si>
    <t>Spider-Man/Kingpin: To The Death #1 (Issue)</t>
  </si>
  <si>
    <t>Thor Vol 2</t>
  </si>
  <si>
    <t>Palmer, Tom</t>
  </si>
  <si>
    <t>https://comicvine.gamespot.com/thor-52-realization/4000-99298/</t>
  </si>
  <si>
    <t>Marvel Universe: The End</t>
  </si>
  <si>
    <t>The End (6)</t>
  </si>
  <si>
    <t>Starlin, Jim</t>
  </si>
  <si>
    <t>Marvel Universe: The End (Volume) - Comic Vine</t>
  </si>
  <si>
    <t>Ultimate Universe</t>
  </si>
  <si>
    <t>Ultimate Six</t>
  </si>
  <si>
    <t>Ultimate Six (7)</t>
  </si>
  <si>
    <t>Hairsine, Trevor</t>
  </si>
  <si>
    <t>http://www.comicvine.com/ultimate-six-1-chapter-1/4000-116253/</t>
  </si>
  <si>
    <t>http://www.comicvine.com/ultimate-six-5-chapter-5/4000-116276/</t>
  </si>
  <si>
    <t>Ultimate Six (7); Ultimate Nightmare (5)</t>
  </si>
  <si>
    <t>7;1</t>
  </si>
  <si>
    <t>http://www.comicvine.com/ultimate-six-7-chapter-7/4000-116279/</t>
  </si>
  <si>
    <t>Ultimate Nightmare</t>
  </si>
  <si>
    <t>Ellis, Warren</t>
  </si>
  <si>
    <t>Ultimate Nightmare (Volume) - Comic Vine</t>
  </si>
  <si>
    <t>Ultimate Nightmare is complete, 6 is not</t>
  </si>
  <si>
    <t>Ultimate Nightmare (5)</t>
  </si>
  <si>
    <t>Marvel Team-Up</t>
  </si>
  <si>
    <t>Golden Child (6)</t>
  </si>
  <si>
    <t>Kirkman, Robert</t>
  </si>
  <si>
    <t>Marvel Team-Up #4 - Golden Child, Part 4 (Issue)</t>
  </si>
  <si>
    <t>Marvel Team-Up #5 - Golden Child, Part 5 (Issue)</t>
  </si>
  <si>
    <t>Marvel Team-Up #6 - Golden Child, Part 6 (Issue)</t>
  </si>
  <si>
    <t>Nightcrawler</t>
  </si>
  <si>
    <t>The Devil Inside (4)</t>
  </si>
  <si>
    <t>Aguirre-Sacasa, Roberto</t>
  </si>
  <si>
    <t>Robertson, Darick</t>
  </si>
  <si>
    <t>http://www.comicvine.com/nightcrawler-1-the-devil-inside-part-1-the-locked-/4000-110544/</t>
  </si>
  <si>
    <t>http://www.comicvine.com/nightcrawler-2-the-devil-inside-part-2-the-knotted/4000-110610/</t>
  </si>
  <si>
    <t>http://www.comicvine.com/nightcrawler-3-the-devil-inside-part-3-fourteen-de/4000-110663/</t>
  </si>
  <si>
    <t>Ghosts on the Tracks (2)</t>
  </si>
  <si>
    <t>Nightcrawler #5 - Ghosts On The Tracks, Part 1: And Kurt Hopped The A-Train… (Issue)</t>
  </si>
  <si>
    <t>Planetary</t>
  </si>
  <si>
    <t>http://www.comicvine.com/planetary-1-all-over-the-world/4000-54528/</t>
  </si>
  <si>
    <t>Wildstorm</t>
  </si>
  <si>
    <t>http://www.comicvine.com/planetary-2-island/4000-105479/</t>
  </si>
  <si>
    <t>http://www.comicvine.com/planetary-4-strange-harbours/4000-54531/</t>
  </si>
  <si>
    <t>Planetary #5 - The Good Doctor (Issue)</t>
  </si>
  <si>
    <t>Robotech</t>
  </si>
  <si>
    <t>Robotech: Love &amp; War</t>
  </si>
  <si>
    <t>Love &amp; War (6)</t>
  </si>
  <si>
    <t>Faerber, Jay; Yune, Tommy</t>
  </si>
  <si>
    <t>Vo, Long; Park, Charles; Saka</t>
  </si>
  <si>
    <t>http://www.comicvine.com/robotech-love-war-1-love-war-part-one-little-white/4000-176287/</t>
  </si>
  <si>
    <t>http://www.comicvine.com/robotech-love-war-2-love-war-part-two-little-white/4000-176323/</t>
  </si>
  <si>
    <t>http://www.comicvine.com/robotech-love-war-3-love-war-part-three-little-whi/4000-176322/</t>
  </si>
  <si>
    <t>http://www.comicvine.com/robotech-love-war-4-love-war-part-four-little-whit/4000-176321/</t>
  </si>
  <si>
    <t>Scooby-Doo</t>
  </si>
  <si>
    <t>Staton, Joe</t>
  </si>
  <si>
    <t>http://www.comicvine.com/scooby-doo-50-big-house-brouhaha/4000-153454/</t>
  </si>
  <si>
    <t>Spider-Girl</t>
  </si>
  <si>
    <t>Olliffe, Pat</t>
  </si>
  <si>
    <t>Spider-Girl #6 - Look Out For Ladyhawk (Issue)</t>
  </si>
  <si>
    <t>Spider-Girl #7 - Secrets (Issue)</t>
  </si>
  <si>
    <t>http://www.comicvine.com/spider-girl-36-getting-involved/4000-116504</t>
  </si>
  <si>
    <t>Spider-Girl #37 - Betrayed! (Issue)</t>
  </si>
  <si>
    <t>Spider-Girl #38 - A New Lease on Life (Issue)</t>
  </si>
  <si>
    <t>Spider-Girl #39 - Duty Calls! (Issue)</t>
  </si>
  <si>
    <t>Spider-Girl #40 - A Death In the Family! (Issue)</t>
  </si>
  <si>
    <t>http://www.comicvine.com/spider-girl-41-funeral-for-a-fiend/4000-78222/</t>
  </si>
  <si>
    <t>http://www.comicvine.com/spider-girl-44-cry-uncle/4000-78225/</t>
  </si>
  <si>
    <t>http://www.comicvine.com/spider-girl-46-suddenly-the-scarlet-spider/4000-78227/</t>
  </si>
  <si>
    <t>http://www.comicvine.com/spider-girl-47-gods-and-men/4000-78228/</t>
  </si>
  <si>
    <t>http://www.comicvine.com/spider-girl-48-through-a-mothers-eyes/4000-78229/</t>
  </si>
  <si>
    <t>http://www.comicvine.com/spider-girl-49-a-dish-served-cold/4000-117028/</t>
  </si>
  <si>
    <t>Spider-Man: Chapter One</t>
  </si>
  <si>
    <t>Milgrom, John</t>
  </si>
  <si>
    <t>https://comicvine.gamespot.com/spider-man-chapter-one-9/4000-45944/</t>
  </si>
  <si>
    <t>Peter Parker: Spider-Man</t>
  </si>
  <si>
    <t>Jenkins, Paul</t>
  </si>
  <si>
    <t>Buckingham, Mark</t>
  </si>
  <si>
    <t>Peter Parker: Spider-Man #37 - Snow Day (Issue)</t>
  </si>
  <si>
    <t>Operation Octopus (3)</t>
  </si>
  <si>
    <t>Operation: Octopus (Story Arc) - Comic Vine</t>
  </si>
  <si>
    <t>Spectacular Spider-Man (vol 2)</t>
  </si>
  <si>
    <t>The Hunger (5)</t>
  </si>
  <si>
    <t>Ramos, Humberto</t>
  </si>
  <si>
    <t>http://www.comicvine.com/spectacular-spider-man-4-the-hunger-part-4-of-5/4000-96974/</t>
  </si>
  <si>
    <t>Countdown (5)</t>
  </si>
  <si>
    <t>http://www.comicvine.com/spectacular-spider-man-8-countdown-part-3-of-5/4000-96978/</t>
  </si>
  <si>
    <t>Spider-Man Adventures</t>
  </si>
  <si>
    <t>Marvel Adventures: Spider-Man</t>
  </si>
  <si>
    <t>Scherberger, Patrick</t>
  </si>
  <si>
    <t>Marvel Adventures: Spider-Man #4 - Goom Got Game! (Issue)</t>
  </si>
  <si>
    <t>Marvel Adventures: Spider-Man #5 - Power Struggle (Issue)</t>
  </si>
  <si>
    <t>Marvel Adventures: Spider-Man #6 - Picture-Perfect Peril! (Issue)</t>
  </si>
  <si>
    <t>Marvel Adventures: Spider-Man #7 - Vulture Hunt (Issue)</t>
  </si>
  <si>
    <t>Spider-Man India</t>
  </si>
  <si>
    <t>Seetharaman, Suresh</t>
  </si>
  <si>
    <t>Kang, Jeevan</t>
  </si>
  <si>
    <t>https://comicvine.gamespot.com/spider-man-india/4050-22673/</t>
  </si>
  <si>
    <t>Spider-Man Marvel Age</t>
  </si>
  <si>
    <t>Marvel Age: Spider-Man</t>
  </si>
  <si>
    <t>Quantz, Daniel</t>
  </si>
  <si>
    <t>Brooks, Mark</t>
  </si>
  <si>
    <t>http://www.comicvine.com/marvel-age-spider-man-2-spider-man-versus-doctor-o/4000-129270/</t>
  </si>
  <si>
    <t>Superman #1 - Heart of Stone (Issue)</t>
  </si>
  <si>
    <t>Superman #12 - Lost Love (Issue)</t>
  </si>
  <si>
    <t>Showcase</t>
  </si>
  <si>
    <t>Kanigher, Robert</t>
  </si>
  <si>
    <t>Infantino, Carmine</t>
  </si>
  <si>
    <t>Showcase #4 - Mystery of the Human Thunderbolt / The Man Who Broke the Time Barrier (Issue)</t>
  </si>
  <si>
    <t>Story 2 is just one of 2 stories from the original</t>
  </si>
  <si>
    <t>Tower of Babel (4)</t>
  </si>
  <si>
    <t>Scott, Steve</t>
  </si>
  <si>
    <t>"JLA" Tower of Babel (Story Arc) - Comic Vine</t>
  </si>
  <si>
    <t>Martian Manhunter #20 - Revelations One: Strange Visitors (Issue)</t>
  </si>
  <si>
    <t>Superman #170 - Bad Dog! (Issue)</t>
  </si>
  <si>
    <t>The Secret (2)</t>
  </si>
  <si>
    <t>Superman #183 - Clark Kent, You're Fired! (Issue)</t>
  </si>
  <si>
    <t>Ferry, Pasqual</t>
  </si>
  <si>
    <t>Action Comics #786 - Red (Issue)</t>
  </si>
  <si>
    <t>Superman vs. Darkseid: Apokolips Now!</t>
  </si>
  <si>
    <t>Schultz, Mark</t>
  </si>
  <si>
    <t>McKone, Mike</t>
  </si>
  <si>
    <t>Superman vs. Darkseid: Apokolips Now! #1</t>
  </si>
  <si>
    <t>Superman: Birthright</t>
  </si>
  <si>
    <t>Superman: Birthright (12)</t>
  </si>
  <si>
    <t>Yu, Lenil Francis</t>
  </si>
  <si>
    <t>Superman: Birthright (Volume) - Comic Vine</t>
  </si>
  <si>
    <t>Austen, Chuck</t>
  </si>
  <si>
    <t>Derenick, Tom</t>
  </si>
  <si>
    <t>Superman #188 - Kicking the Dog : A Life Less Ordinary (Issue)</t>
  </si>
  <si>
    <t>Badeaux, Brandon</t>
  </si>
  <si>
    <t>https://comicvine.gamespot.com/adventures-of-superman-607-inner-demon/4000-89263/</t>
  </si>
  <si>
    <t>Superman: The Man of Steel</t>
  </si>
  <si>
    <t>https://comicvine.gamespot.com/superman-the-man-of-steel-103-what-he-didnt-do/4000-115276/</t>
  </si>
  <si>
    <t>Reis, Ivan</t>
  </si>
  <si>
    <t>Action Comics #814 - Another Day At The Office (Issue)</t>
  </si>
  <si>
    <t>Action Comics #817 - Weapons Of Revelation (Issue)</t>
  </si>
  <si>
    <t>Action Comics #818 - Enemies As Numerous As Grains Of Sand (Issue)</t>
  </si>
  <si>
    <t>Reis, Ivan; Prado, Joe</t>
  </si>
  <si>
    <t>Action Comics #819 - Sodom And Gomorrah (Issue)</t>
  </si>
  <si>
    <t>D'anda, Carlos</t>
  </si>
  <si>
    <r>
      <rPr>
        <rFont val="Calibri"/>
        <color rgb="FF1155CC"/>
        <sz val="9.0"/>
        <u/>
      </rPr>
      <t>Action Comics #820 - Wail Of The Banshee! (Issue)</t>
    </r>
    <r>
      <rPr>
        <rFont val="Calibri"/>
        <color theme="1"/>
        <sz val="9.0"/>
      </rPr>
      <t>/</t>
    </r>
  </si>
  <si>
    <t>Superman/Batman</t>
  </si>
  <si>
    <t>The Supergirl from Krypton (6)</t>
  </si>
  <si>
    <t>Turner, Michael</t>
  </si>
  <si>
    <t>The Supergirl from Krypton (Story Arc) - Comic Vine</t>
  </si>
  <si>
    <t>Superman (Large)</t>
  </si>
  <si>
    <t>Superman (Vol 2, 1987)</t>
  </si>
  <si>
    <t>Superman #2 - The Secret Revealed! (Issue)</t>
  </si>
  <si>
    <t>Superman #4 - Bloodsport! (Issue)</t>
  </si>
  <si>
    <t>Superman #7 - Rampage! (Issue)</t>
  </si>
  <si>
    <t>Superman #10 - The Super Menace of Metropolis! (Issue)</t>
  </si>
  <si>
    <t>Action Comics #584 - Squatter! (Issue)</t>
  </si>
  <si>
    <t>Superman #17 - Cries in the Night (Issue)</t>
  </si>
  <si>
    <t>Superman #149 - The Arrival of...Strange Visitor ! (Issue)</t>
  </si>
  <si>
    <t>https://comicvine.gamespot.com/action-comics-759-who-is-strange-visitor-chapter-3/4000-114910/</t>
  </si>
  <si>
    <t>Superman: The Man of Steel (Vol 1, 1991)</t>
  </si>
  <si>
    <t>Superman: The Man of Steel #94 - Only One Man Can Stop The Strange Visitor</t>
  </si>
  <si>
    <t>Adventures of Superman (Vol 1)</t>
  </si>
  <si>
    <t>Simonson, Louise</t>
  </si>
  <si>
    <t>Collins, Mike</t>
  </si>
  <si>
    <t>Adventures of Superman #571 - It Came From Hollywood! (Issue)</t>
  </si>
  <si>
    <t>Superman #146 - Rough Day at the Office (Issue)</t>
  </si>
  <si>
    <t>Epting, Steve</t>
  </si>
  <si>
    <t>Superman #148 - Duel on a Distant World! (Issue)</t>
  </si>
  <si>
    <t>Vokes, Neil</t>
  </si>
  <si>
    <t>https://comicvine.gamespot.com/superman-adventures-48-the-believer/4000-241181/</t>
  </si>
  <si>
    <t>Michelinie, David</t>
  </si>
  <si>
    <t>Superman Adventures #32 - Sullivan's Girl Friend, Lois Lane (Issue)</t>
  </si>
  <si>
    <t>Superman Adventures #33 - Clark Kent Is Superman - And I Can Prove It! (Issue)</t>
  </si>
  <si>
    <t>Amâncio, Aluir</t>
  </si>
  <si>
    <t>Superman Adventures #44 - Law and Orders (Issue)</t>
  </si>
  <si>
    <t>https://comicvine.gamespot.com/superman-adventures-46-the-fallen/4000-241177/</t>
  </si>
  <si>
    <t>Superman Adventures #52 - A Death in the Family (Issue)</t>
  </si>
  <si>
    <t>Kryptonite No More (2)</t>
  </si>
  <si>
    <t>Motter, Dean</t>
  </si>
  <si>
    <t>Superman Adventures #55 - Kryptonite No More!, Part Two (Issue)</t>
  </si>
  <si>
    <t>Jolley, Dan</t>
  </si>
  <si>
    <t>http://www.comicvine.com/superman-adventures-59-war-with-the-spirit-world/4000-71040/</t>
  </si>
  <si>
    <t>http://www.comicvine.com/superman-adventures-41-22-stories-in-a-single-boun/4000-71024/</t>
  </si>
  <si>
    <t>Superman Adventures (Large)</t>
  </si>
  <si>
    <t>Superman Adventures #4 - Eye to Eye (Issue)</t>
  </si>
  <si>
    <t>Superman Adventures #5 - Balance of Power (Issue)</t>
  </si>
  <si>
    <t>Superman Adventures #10 - Don't Try This at Home (Issue)</t>
  </si>
  <si>
    <t>https://comicvine.gamespot.com/superman-adventures-13-grand-slam/4000-44284/</t>
  </si>
  <si>
    <t>Superman Adventures #27 - How Much Can One Man Hate? (Issue)</t>
  </si>
  <si>
    <t>Superman Adventures #3 - Distant Thunder (Issue)</t>
  </si>
  <si>
    <t>Superman Adventures #20 - Hide 'n' Seek (Issue)</t>
  </si>
  <si>
    <t>Superman Adventures (Series 2)</t>
  </si>
  <si>
    <t>Puckett, Kelley</t>
  </si>
  <si>
    <r>
      <rPr>
        <rFont val="Calibri"/>
        <color rgb="FF1155CC"/>
        <sz val="9.0"/>
        <u/>
      </rPr>
      <t>Superman Adventures #47 - Bigger than Big, Smaller than Small (Issue)</t>
    </r>
    <r>
      <rPr>
        <rFont val="Calibri"/>
        <color theme="1"/>
        <sz val="9.0"/>
      </rPr>
      <t>smaller-tha/4000-241179/</t>
    </r>
  </si>
  <si>
    <t>Bad Print</t>
  </si>
  <si>
    <t>Teen Titans</t>
  </si>
  <si>
    <t>Jericho (7)</t>
  </si>
  <si>
    <t>http://www.comicvine.com/teen-titans-3-a-kids-game/4000-111046/</t>
  </si>
  <si>
    <t>http://www.comicvine.com/teen-titans-4-breaking-the-rules/4000-111047/</t>
  </si>
  <si>
    <t>http://www.comicvine.com/teen-titans-5-clash-of-the-teen-titans/4000-111048/</t>
  </si>
  <si>
    <t>http://www.comicvine.com/teen-titans-6-war-and-peace/4000-111049/</t>
  </si>
  <si>
    <t>Grummett, Tom</t>
  </si>
  <si>
    <t>http://www.comicvine.com/teen-titans-7-wednesday/4000-111050/</t>
  </si>
  <si>
    <t>Raven Rising (3)</t>
  </si>
  <si>
    <t>http://www.comicvine.com/teen-titans-8-family-lost/4000-111051/</t>
  </si>
  <si>
    <t>http://www.comicvine.com/teen-titans-9-first-blood/4000-111052/</t>
  </si>
  <si>
    <t>http://www.comicvine.com/teen-titans-10-raven-rising-part-1/4000-111053/</t>
  </si>
  <si>
    <t>Teen Titans #11 - Raven Rising Part 2 (Issue)</t>
  </si>
  <si>
    <t>Teen Titans #12 - Raven Rising Part 3 (Issue)</t>
  </si>
  <si>
    <t>Beast Boys and Girls (3)</t>
  </si>
  <si>
    <t>Teen Titans #14 - Beast Boys and Girls Part 2: Wild Life (Issue)</t>
  </si>
  <si>
    <t>Teen Titans #15 - Beast Boys and Girls Part 3: Changelings (Issue)</t>
  </si>
  <si>
    <t>The Incredible Hulk</t>
  </si>
  <si>
    <t>Incredible Hulk (Vol 3)</t>
  </si>
  <si>
    <t>Incredible Hulk #35 - Silent Running (Issue)</t>
  </si>
  <si>
    <t>Garney, Ron</t>
  </si>
  <si>
    <t>https://comicvine.gamespot.com/hulk-1-the-gathering-storm/4000-48380/</t>
  </si>
  <si>
    <t>Hulk #2 - Holocaust in the Heartland! (Issue)</t>
  </si>
  <si>
    <t>Hulk #3 - Heart of Darkness, Soul of Fire (Issue)</t>
  </si>
  <si>
    <t>Hulk #5 - Yes, I Saw The Hulk! (Issue)</t>
  </si>
  <si>
    <t>Hulk #6 - New Lives for Old (Issue)</t>
  </si>
  <si>
    <t>Also collects a story from #1</t>
  </si>
  <si>
    <t>Hulk #7 - Trouble in Paradise (Issue)</t>
  </si>
  <si>
    <t>Larsen, Erik</t>
  </si>
  <si>
    <t>Hulk #8 - Death Match (Issue)</t>
  </si>
  <si>
    <t>Hulk #11 - Role Reversal (Issue)</t>
  </si>
  <si>
    <t>Marvel Fanfare</t>
  </si>
  <si>
    <t>Marvel Fanfare #29 - A Terrible Thing to Waste... (Issue)</t>
  </si>
  <si>
    <t>Snake Eyes (2)</t>
  </si>
  <si>
    <t>Incredible Hulk #12 - Snake Eyes, Part 1 (Issue)</t>
  </si>
  <si>
    <t>Snake Eyes (2), The Dogs of War (7)</t>
  </si>
  <si>
    <t>2,1</t>
  </si>
  <si>
    <t>Incredible Hulk #13 - Snake Eyes, Part 2 (Issue)</t>
  </si>
  <si>
    <t>"Incredible Hulk" The Dogs of War (Story Arc) - Comic Vine</t>
  </si>
  <si>
    <t>The Dogs of War (7)</t>
  </si>
  <si>
    <t>http://www.comicvine.com/incredible-hulk-17-the-dogs-of-war-part-4-codename/4000-46836/</t>
  </si>
  <si>
    <t>Incredible Hulk #18 - The Dogs of War, Part 5 (Issue)</t>
  </si>
  <si>
    <t>Incredible Hulk #19 - The Dogs of War, Part 6 (Issue)</t>
  </si>
  <si>
    <t>Tempest Fugit (5)</t>
  </si>
  <si>
    <t>Tempest Fugit (Story Arc) - Comic Vine</t>
  </si>
  <si>
    <t>Lee, Jae</t>
  </si>
  <si>
    <t>Incredible Hulk #82 - Dear Patricia (Issue)</t>
  </si>
  <si>
    <t>Peace in our Time (4)</t>
  </si>
  <si>
    <t>Way, Daniel</t>
  </si>
  <si>
    <t>Cha, Keu</t>
  </si>
  <si>
    <t>Incredible Hulk #89 - Peace In Our Time, Part 2 (Issue)</t>
  </si>
  <si>
    <t>The Powerpuff Girls</t>
  </si>
  <si>
    <t>Denson, Abby</t>
  </si>
  <si>
    <t>Gladden, Stephanie</t>
  </si>
  <si>
    <t>http://www.comicvine.com/the-powerpuff-girls-4-video-maim/4000-230406/</t>
  </si>
  <si>
    <t>The Sadhu</t>
  </si>
  <si>
    <t>Chopra, Gotham</t>
  </si>
  <si>
    <t>The Sadhu #1 (Issue)</t>
  </si>
  <si>
    <t>The Sadhu #2 (Issue)</t>
  </si>
  <si>
    <t>Thundercats</t>
  </si>
  <si>
    <t>Thundercats: Dogs of War</t>
  </si>
  <si>
    <t>Thundercats: Dogs of War (5)</t>
  </si>
  <si>
    <t>Layman, John</t>
  </si>
  <si>
    <t>Booth, Brett</t>
  </si>
  <si>
    <t>Thundercats: Dogs of War (Volume) - Comic Vine</t>
  </si>
  <si>
    <t>Tomb of Dracula</t>
  </si>
  <si>
    <t>Tomb of Dracula (2004)</t>
  </si>
  <si>
    <t>Tomb of Dracula (4)</t>
  </si>
  <si>
    <t>Rodi, Robert</t>
  </si>
  <si>
    <t>Tolagson, Jamie</t>
  </si>
  <si>
    <t>http://www.comicvine.com/tomb-of-dracula-1-tomb-of-dracula-part-one/4000-123642/</t>
  </si>
  <si>
    <t>http://www.comicvine.com/tomb-of-dracula-3-tomb-of-dracula-part-three/4000-123656/</t>
  </si>
  <si>
    <t>http://www.comicvine.com/tomb-of-dracula-4-tomb-of-dracula-part-four/4000-123657/</t>
  </si>
  <si>
    <t>Ultimate Fantastic Four</t>
  </si>
  <si>
    <t>The Fantastic (6)</t>
  </si>
  <si>
    <t>Bendis, Brian Michael; Millar, Mark</t>
  </si>
  <si>
    <t>http://www.comicvine.com/ultimate-fantastic-four-3-the-fantastic-part-3/4000-111712/</t>
  </si>
  <si>
    <t>http://www.comicvine.com/ultimate-fantastic-four-4-the-fantastic-part-4/4000-111715/</t>
  </si>
  <si>
    <t>http://www.comicvine.com/ultimate-fantastic-four-5-the-fantastic-part-5/4000-111716/</t>
  </si>
  <si>
    <t>Doom (6)</t>
  </si>
  <si>
    <t>Immonen, Stuart</t>
  </si>
  <si>
    <t>http://www.comicvine.com/ultimate-fantastic-four-7-doom-part-1/4000-111743/</t>
  </si>
  <si>
    <t>Ultimate Spider-Man</t>
  </si>
  <si>
    <t>Bagley, Mark</t>
  </si>
  <si>
    <t>Ultimate Spider-Man #11 - Discovery (Issue)</t>
  </si>
  <si>
    <t>Ultimate Spider-Man #18 - The Cycle (Issue)</t>
  </si>
  <si>
    <t>https://comicvine.gamespot.com/ultimate-spider-man-19-piece-of-work/4000-51630/</t>
  </si>
  <si>
    <t>Ultimate Spider-Man #20 - Live (Issue)</t>
  </si>
  <si>
    <t>Ultimate Spider-Man #21 - Hunted (Issue)</t>
  </si>
  <si>
    <t>http://www.comicvine.com/ultimate-spider-man-21-hunted/4000-74728/</t>
  </si>
  <si>
    <t>Doesn't have the secondary story</t>
  </si>
  <si>
    <t>Ultimate Spider-Man #23 - Responsible (Issue)</t>
  </si>
  <si>
    <t>Ultimate Spider-Man #25 - Plasmids (Issue)</t>
  </si>
  <si>
    <t>http://www.comicvine.com/ultimate-spider-man-27-illegal/4000-108162/</t>
  </si>
  <si>
    <t>http://www.comicvine.com/ultimate-spider-man-29-stolen-identity/4000-108164/</t>
  </si>
  <si>
    <t>http://www.comicvine.com/ultimate-spider-man-33-origins/4000-108168/</t>
  </si>
  <si>
    <t>http://www.comicvine.com/ultimate-spider-man-35-legacy/4000-108170/</t>
  </si>
  <si>
    <t>http://www.comicvine.com/ultimate-spider-man-37-still/4000-109905/</t>
  </si>
  <si>
    <t>Ultimate Spider-Man #41 - The Letter (Issue)</t>
  </si>
  <si>
    <t>Ultimate Spider-Man #42 - Temptations (Issue)</t>
  </si>
  <si>
    <t>Daughters (4)</t>
  </si>
  <si>
    <t>http://www.comicvine.com/ultimate-spider-man-51-shadow-puppets/4000-108073/</t>
  </si>
  <si>
    <t>http://www.comicvine.com/ultimate-spider-man-52-cat-fight/4000-108074/</t>
  </si>
  <si>
    <t>http://www.comicvine.com/ultimate-spider-man-53-daughters/4000-108076/</t>
  </si>
  <si>
    <t>Hollywood (6)</t>
  </si>
  <si>
    <t>Ultimate Spider-Man #54 - Hollywood: Part 1 (Issue)</t>
  </si>
  <si>
    <t>http://www.comicvine.com/ultimate-spider-man-55-hollywood-part-2/4000-108077/</t>
  </si>
  <si>
    <t>http://www.comicvine.com/ultimate-spider-man-56-hollywood-part-3/4000-108085/</t>
  </si>
  <si>
    <t>29a</t>
  </si>
  <si>
    <t>Ultimate Spider-Man #43 - Help (Issue)</t>
  </si>
  <si>
    <t>Ultimate Spider-Man #44 - Tampered (Issue)</t>
  </si>
  <si>
    <t>Ultimate Spider-Man (Large)</t>
  </si>
  <si>
    <t>Ultimate Spider-Man #1 - Powerless (Issue)</t>
  </si>
  <si>
    <t>Ultimate Spider-Man #2 - Growing Pains (Issue)</t>
  </si>
  <si>
    <t>Ultimate Spider-Man #3 - Wannabe (Issue)</t>
  </si>
  <si>
    <t>Ultimate Spider-Man #4 - With Great Power (Issue)</t>
  </si>
  <si>
    <t>Also collects #5</t>
  </si>
  <si>
    <t>The Tomorrow People (6)</t>
  </si>
  <si>
    <t>http://www.comicvine.com/ultimate-x-men-1-the-tomorrow-people/4000-51631/</t>
  </si>
  <si>
    <t>http://www.comicvine.com/ultimate-x-men-4-betrayal/4000-53567/</t>
  </si>
  <si>
    <t>Ultimate X-Men #6 - Invasion (Issue)</t>
  </si>
  <si>
    <t>Return to Weapon X (6)</t>
  </si>
  <si>
    <t>Ultimate X-Men #7 - Return to Weapon X (Issue)</t>
  </si>
  <si>
    <t>Ultimate X-Men #8 - First Strike (Issue)</t>
  </si>
  <si>
    <t>Raney, Tom</t>
  </si>
  <si>
    <t>https://comicvine.gamespot.com/ultimate-x-men-9-no-safe-haven/4000-53572/</t>
  </si>
  <si>
    <t>Ultimate X-Men #10 - In the Heart of Darkness (Issue)</t>
  </si>
  <si>
    <t>Ultimates</t>
  </si>
  <si>
    <t>The Ultimates</t>
  </si>
  <si>
    <t>The Ultimates (13)</t>
  </si>
  <si>
    <t>http://www.comicvine.com/the-ultimates-1-super-human/4000-107330/</t>
  </si>
  <si>
    <t>http://www.comicvine.com/the-ultimates-2-big/4000-107785/</t>
  </si>
  <si>
    <t>The Ultimates #3 - 21st Century Boy (Issue)</t>
  </si>
  <si>
    <t>http://www.comicvine.com/the-ultimates-4-thunder/4000-120039/</t>
  </si>
  <si>
    <t>http://www.comicvine.com/the-ultimates-5-hulk-does-manhattan/4000-120040/</t>
  </si>
  <si>
    <t>http://www.comicvine.com/the-ultimates-6-giant-man-vs-the-wasp/4000-120091/</t>
  </si>
  <si>
    <t>http://www.comicvine.com/the-ultimates-7-homeland-security/4000-120092/</t>
  </si>
  <si>
    <t>http://www.comicvine.com/the-ultimates-8-the-experts/4000-120301/</t>
  </si>
  <si>
    <t>Uncanny X-Men</t>
  </si>
  <si>
    <t>Dominant Species (4)</t>
  </si>
  <si>
    <t>Asamiya, Kia</t>
  </si>
  <si>
    <t>"The Uncanny X-Men" Dominant Species (Story Arc) - Comic Vine</t>
  </si>
  <si>
    <t>Rules of Engagement (2)</t>
  </si>
  <si>
    <t>https://comicvine.gamespot.com/the-uncanny-x-men-421-rules-of-engagement-pt-1/4000-108246/</t>
  </si>
  <si>
    <t>Wolverine (Vol 1)</t>
  </si>
  <si>
    <t>Nixon, Matt</t>
  </si>
  <si>
    <t>Lucas, Jorge</t>
  </si>
  <si>
    <t>Wolverine #180 - Everything's Zen (Issue)</t>
  </si>
  <si>
    <t>X-Men Unlimited</t>
  </si>
  <si>
    <t>Sakakibara, Mizuki</t>
  </si>
  <si>
    <t>X-Men Unlimited #44 - Can They Suffer? (Issue)</t>
  </si>
  <si>
    <t>X-Men Unlimited #50 - The Swordsmith (Issue)</t>
  </si>
  <si>
    <t>Holy War (2)</t>
  </si>
  <si>
    <t>"The Uncanny X-Men" Holy War (Story Arc) - Comic Vine</t>
  </si>
  <si>
    <t>Sacred Vows (2)</t>
  </si>
  <si>
    <t>Tan, Philip</t>
  </si>
  <si>
    <t>"The Uncanny X-Men" Sacred Vows (Story Arc) - Comic Vine</t>
  </si>
  <si>
    <t>Kim, Steve</t>
  </si>
  <si>
    <t>The Uncanny X-Men #427 - The Dead Have No Rights (Issue)</t>
  </si>
  <si>
    <t>Mhan, Pop</t>
  </si>
  <si>
    <t>https://comicvine.gamespot.com/x-men-unlimited-45-hero/4000-90017/</t>
  </si>
  <si>
    <t>Reaction to Sacred Vows 425,426</t>
  </si>
  <si>
    <t>New X-Men</t>
  </si>
  <si>
    <t>Planet X (5)</t>
  </si>
  <si>
    <t>Jiminez, Phil</t>
  </si>
  <si>
    <t>http://www.comicvine.com/new-x-men-146-planet-x/4000-114451/</t>
  </si>
  <si>
    <t>"New X-Men" Planet X (Story Arc) - Comic Vine</t>
  </si>
  <si>
    <t>Here Comes Tomorrow (4)</t>
  </si>
  <si>
    <t>Silvestri, Marc</t>
  </si>
  <si>
    <t>"New X-Men" Here Comes Tomorrow (Story Arc) - Comic Vine</t>
  </si>
  <si>
    <t>Bood Debt (4)</t>
  </si>
  <si>
    <t>Skroce, Steve</t>
  </si>
  <si>
    <t>Blood Debt (Story Arc) - Comic Vine</t>
  </si>
  <si>
    <t>Wolverine: Xisle</t>
  </si>
  <si>
    <t>Wolverine: Xisle (5)</t>
  </si>
  <si>
    <t>Wolverine: Xisle (Volume) - Comic Vine</t>
  </si>
  <si>
    <t>Wolverine (Vol 2)</t>
  </si>
  <si>
    <t>Return of the Native (7)</t>
  </si>
  <si>
    <t>Rucka, Gregg</t>
  </si>
  <si>
    <t>http://www.comicvine.com/wolverine-13-return-of-the-native-part-1/4000-92149/</t>
  </si>
  <si>
    <t>http://www.comicvine.com/wolverine-15-return-of-the-native-part-3/4000-92151/</t>
  </si>
  <si>
    <t>Enemy of the State (6)</t>
  </si>
  <si>
    <t>http://www.comicvine.com/wolverine-20-enemy-of-the-state-part-1/4000-96820/</t>
  </si>
  <si>
    <t>Wolverine #21 - Enemy Of The State, Part 2 (Issue)</t>
  </si>
  <si>
    <t>http://www.comicvine.com/wolverine-22-enemy-of-the-state-part-3/4000-97343/</t>
  </si>
  <si>
    <t>Wolverine #23 - Enemy Of The State, Part 4 (Issue)</t>
  </si>
  <si>
    <t>Wolverine #25 - Enemy Of The State, Part 6 (Issue)</t>
  </si>
  <si>
    <t>Wolverine: The End</t>
  </si>
  <si>
    <t>Wolverine: The End (6)</t>
  </si>
  <si>
    <t>Castellini, Claudio</t>
  </si>
  <si>
    <t>http://www.comicvine.com/wolverine-the-end-1-wolverine-the-end-part-1/4000-92157/</t>
  </si>
  <si>
    <t>http://www.comicvine.com/wolverine-the-end-2/4000-92158/</t>
  </si>
  <si>
    <t>http://www.comicvine.com/wolverine-the-end-3/4000-92159/</t>
  </si>
  <si>
    <t>http://www.comicvine.com/wolverine-the-end-4/4000-92160/</t>
  </si>
  <si>
    <t>Wolverine: The End #6 - Part 6 (Issue)</t>
  </si>
  <si>
    <t>Second Genesis (4)</t>
  </si>
  <si>
    <t>https://comicvine.gamespot.com/wonder-woman-second-genesis/4045-55993/</t>
  </si>
  <si>
    <t>Lifelines (4)</t>
  </si>
  <si>
    <t>https://comicvine.gamespot.com/lifelines/4045-55994/</t>
  </si>
  <si>
    <t>Level (4)</t>
  </si>
  <si>
    <t>Wonder Woman #109 - Level 1 (Issue)</t>
  </si>
  <si>
    <t>https://comicvine.gamespot.com/wonder-woman-110-level-2/4000-42483/</t>
  </si>
  <si>
    <t>Wonder Woman #111 - Level 3 (Issue)</t>
  </si>
  <si>
    <t>https://comicvine.gamespot.com/wonder-woman-112-game-over/4000-42690/</t>
  </si>
  <si>
    <t>Wonder Woman #113 - Are You Out of Your Minds (Issue)</t>
  </si>
  <si>
    <t>The Men Who Moved The World (3)</t>
  </si>
  <si>
    <t>Wonder Woman #114 - Nightmare Alley (Issue)</t>
  </si>
  <si>
    <r>
      <rPr>
        <rFont val="Calibri"/>
        <color rgb="FF1155CC"/>
        <sz val="9.0"/>
        <u/>
      </rPr>
      <t>Wonder Woman #115 - The Men Who Moved the World Part 1 (Issue)</t>
    </r>
    <r>
      <rPr>
        <rFont val="Calibri"/>
        <color rgb="FF000000"/>
        <sz val="9.0"/>
      </rPr>
      <t>part-/4000-42971/</t>
    </r>
  </si>
  <si>
    <r>
      <rPr>
        <rFont val="Calibri"/>
        <color rgb="FF1155CC"/>
        <sz val="9.0"/>
        <u/>
      </rPr>
      <t>Wonder Woman #116 - The Men Who Moved the World Part 2 (Issue)</t>
    </r>
    <r>
      <rPr>
        <rFont val="Calibri"/>
        <color rgb="FF000000"/>
        <sz val="9.0"/>
      </rPr>
      <t>part-/4000-43064/</t>
    </r>
  </si>
  <si>
    <r>
      <rPr>
        <rFont val="Calibri"/>
        <color rgb="FF1155CC"/>
        <sz val="9.0"/>
        <u/>
      </rPr>
      <t>Wonder Woman #117 - The Men Who Moved the World Part 3 (Issue)</t>
    </r>
    <r>
      <rPr>
        <rFont val="Calibri"/>
        <color rgb="FF000000"/>
        <sz val="9.0"/>
      </rPr>
      <t>part-/4000-43260/</t>
    </r>
  </si>
  <si>
    <t>Claws (2)</t>
  </si>
  <si>
    <t>Wonder Woman #118 - Claws (Issue)</t>
  </si>
  <si>
    <t>Wonder Woman #119 - In the Forest of the Night (Issue)</t>
  </si>
  <si>
    <t>Gardens of Stone (2)</t>
  </si>
  <si>
    <t>Wonder Woman #120 - Time Out of Mind (Issue)</t>
  </si>
  <si>
    <t>Wonder Woman #121 - Stone May Grow (Issue)</t>
  </si>
  <si>
    <t>Wonder Woman #122 - Judgment Of The Gods (Issue)</t>
  </si>
  <si>
    <t>Wonder Woman (Series 2)</t>
  </si>
  <si>
    <t>Johnson, Drew</t>
  </si>
  <si>
    <t>Wonder Woman #195 - The Mission (Issue)</t>
  </si>
  <si>
    <t>Down to Earth (5)</t>
  </si>
  <si>
    <r>
      <rPr>
        <rFont val="Calibri"/>
        <color rgb="FF1155CC"/>
        <sz val="9.0"/>
        <u/>
      </rPr>
      <t>Wonder Woman #196 - Down to Earth - Part One (Issue)</t>
    </r>
    <r>
      <rPr>
        <rFont val="Calibri"/>
        <color rgb="FF000000"/>
        <sz val="9.0"/>
      </rPr>
      <t>109040/</t>
    </r>
  </si>
  <si>
    <r>
      <rPr>
        <rFont val="Calibri"/>
        <color rgb="FF1155CC"/>
        <sz val="9.0"/>
        <u/>
      </rPr>
      <t>Wonder Woman #196 - Down to Earth - Part One (Issue)</t>
    </r>
    <r>
      <rPr>
        <rFont val="Calibri"/>
        <color rgb="FF000000"/>
        <sz val="9.0"/>
      </rPr>
      <t>109040/</t>
    </r>
  </si>
  <si>
    <t>X-Men 2: The Movie</t>
  </si>
  <si>
    <t>Zircher, Patrick</t>
  </si>
  <si>
    <t>X-Men 2: The Movie - Official Comic Book Adaptation (Issue)</t>
  </si>
  <si>
    <t>X-Men: The Hidden Years</t>
  </si>
  <si>
    <t>The Savage Land Saga (4)</t>
  </si>
  <si>
    <t>X-Men: The Hidden Years #1 - Once More The Savage Land (Issue)</t>
  </si>
  <si>
    <t>X-Men: The Hidden Years #4 - Escape To Oblivion (Issue)</t>
  </si>
  <si>
    <t>X-Men: The Hidden Years #6 - Behold A Goddess Rising..! (Issue)</t>
  </si>
  <si>
    <t>X-Men: The Hidden Years #7 - Power Play (Issue)</t>
  </si>
  <si>
    <t>X-Men: The Hidden Years #8 - Shadow On The Stars! (Issue)</t>
  </si>
  <si>
    <t>X-Men: The Hidden Years #9 - Dark Destiny (Issue)</t>
  </si>
  <si>
    <t>X-Men: The Hidden Years #10 - Home is Where The HURT Is... (Issue)</t>
  </si>
  <si>
    <t>X-Men: The Hidden Years #12 - And Death Alone Shall Know My Name (Issue)</t>
  </si>
  <si>
    <t>X-Men: The Hidden Years #13 - Blood and Circuses (Issue)</t>
  </si>
  <si>
    <t>https://comicvine.gamespot.com/x-men-the-hidden-years-14-yet-no-more-like-my-fath/4000-124315/</t>
  </si>
  <si>
    <t>Gotham Comics (S)</t>
  </si>
  <si>
    <t>JLA #53 - It Takes a Thief (Issue)</t>
  </si>
  <si>
    <t>https://comicvine.gamespot.com/jla-54-united-we-fall/4000-66959/</t>
  </si>
  <si>
    <t>Last Son</t>
  </si>
  <si>
    <t>Mcduffie, Dwayne</t>
  </si>
  <si>
    <t>Guedes, Renato</t>
  </si>
  <si>
    <t>Last Son (Story Arc) - Comic Vine</t>
  </si>
  <si>
    <t>Equivalent of Teen Titan #13</t>
  </si>
  <si>
    <t>http://www.comicvine.com/incredible-hulk-88-peace-in-our-time-part-1/4000-151586/</t>
  </si>
  <si>
    <t>Just before Planet Hulk</t>
  </si>
  <si>
    <t>29b</t>
  </si>
  <si>
    <t>http://www.comicvine.com/ultimate-spider-man-50-black-cat/4000-106375/</t>
  </si>
  <si>
    <r>
      <rPr>
        <rFont val="Calibri"/>
        <color rgb="FF1155CC"/>
        <sz val="9.0"/>
        <u/>
      </rPr>
      <t>Wonder Woman #196 - Down to Earth - Part One (Issue)</t>
    </r>
    <r>
      <rPr>
        <rFont val="Calibri"/>
        <color rgb="FF000000"/>
        <sz val="9.0"/>
      </rPr>
      <t>109040/</t>
    </r>
  </si>
  <si>
    <t>Cain</t>
  </si>
  <si>
    <t>Harris Comics</t>
  </si>
  <si>
    <t>Quinn, David</t>
  </si>
  <si>
    <t>King, Hannibal</t>
  </si>
  <si>
    <t>https://comicvine.gamespot.com/cain-1-cain/4000-142149/</t>
  </si>
  <si>
    <t>Aghori Annual</t>
  </si>
  <si>
    <t>V, Ram</t>
  </si>
  <si>
    <t>Aghori Book</t>
  </si>
  <si>
    <t>Aghori</t>
  </si>
  <si>
    <t>Cover erroneously says #7</t>
  </si>
  <si>
    <t>Were House</t>
  </si>
  <si>
    <t>Dhar Akshay; Das Soumya; Taneja Shweta</t>
  </si>
  <si>
    <t>Were House – Holy Cow Entertainment</t>
  </si>
  <si>
    <t>Has 3 stories</t>
  </si>
  <si>
    <t>Shadowhawks Volume Three</t>
  </si>
  <si>
    <t>Image</t>
  </si>
  <si>
    <t>Shadowhawks Volume Three (4)</t>
  </si>
  <si>
    <t>Valentino, Jim</t>
  </si>
  <si>
    <t>Shadowhawk III (Volume) - Comic Vine</t>
  </si>
  <si>
    <t>Spawn</t>
  </si>
  <si>
    <t>McFarlane, Todd</t>
  </si>
  <si>
    <t>Spawn #25 - Tremors (Issue)</t>
  </si>
  <si>
    <t>The Beast Legion</t>
  </si>
  <si>
    <t>Jazy Homavazir</t>
  </si>
  <si>
    <t>Homavazir, Jazyl</t>
  </si>
  <si>
    <t>Self Published</t>
  </si>
  <si>
    <t>Marvel Adventures Spider-Man</t>
  </si>
  <si>
    <t>Kids Animation</t>
  </si>
  <si>
    <t>Marvel Adventures: Spider-Man #8 - Rush Hour! (Issue)</t>
  </si>
  <si>
    <t>Eliopoulos, Chris</t>
  </si>
  <si>
    <t>Marvel Adventures: Spider-Man #9 - Doom with a View!; Franklin Richards, Son of a Genius: Weather or Not! (Issue)</t>
  </si>
  <si>
    <t>Franklin Richard Story from 9 is not available</t>
  </si>
  <si>
    <t>Judgement Day</t>
  </si>
  <si>
    <t>Lightning Comics</t>
  </si>
  <si>
    <t>Judgement Day (8)</t>
  </si>
  <si>
    <t>Zyskowski, Joesph A.</t>
  </si>
  <si>
    <t>Kerschl, Karl</t>
  </si>
  <si>
    <t>Judgment Day (Volume) - Comic Vine</t>
  </si>
  <si>
    <t>Lawrence, Terral</t>
  </si>
  <si>
    <t>Judgment Day #2 (Issue)</t>
  </si>
  <si>
    <t>Pence, Eric</t>
  </si>
  <si>
    <t>The Futurians</t>
  </si>
  <si>
    <t>Lodestone</t>
  </si>
  <si>
    <t>The Futurians (4)</t>
  </si>
  <si>
    <t>The Futurians #1 (Issue)</t>
  </si>
  <si>
    <r>
      <rPr>
        <rFont val="Calibri"/>
        <color rgb="FF1155CC"/>
        <sz val="9.0"/>
        <u/>
      </rPr>
      <t>Marvel Graphic Novel #9 - The Futurians (Issue)</t>
    </r>
    <r>
      <rPr>
        <rFont val="Calibri"/>
        <color theme="1"/>
        <sz val="9.0"/>
      </rPr>
      <t>-futurians/4000-122122/ Sequel of this from Marvel</t>
    </r>
  </si>
  <si>
    <t>Necroscope</t>
  </si>
  <si>
    <t>Malibu</t>
  </si>
  <si>
    <t>Necroscope (5)</t>
  </si>
  <si>
    <t>Powell, Martin</t>
  </si>
  <si>
    <t>Gröss, Daerick</t>
  </si>
  <si>
    <t>Necroscope #2 (Issue)</t>
  </si>
  <si>
    <t>Amazing Fantasy</t>
  </si>
  <si>
    <t>Ditko, Steve</t>
  </si>
  <si>
    <t>Amazing Fantasy #15 - Spider-Man!; The Bell Ringer; The Man in the Mummy Case; There are Martians Among Us (Issue)</t>
  </si>
  <si>
    <t>Daredevil (Vol 1)</t>
  </si>
  <si>
    <t>Fall from Grace (6)</t>
  </si>
  <si>
    <t>Chichester, D. G.</t>
  </si>
  <si>
    <t>"Daredevil" Fall from Grace (Story Arc) - Comic Vine</t>
  </si>
  <si>
    <t>Edge of Spider-verse</t>
  </si>
  <si>
    <t>Hine, David</t>
  </si>
  <si>
    <t>Isanove, Richard</t>
  </si>
  <si>
    <t>Edge of Spider-Verse #1 - Spider-Man: Noir (Issue)</t>
  </si>
  <si>
    <t>https://comicvine.gamespot.com/marvel-team-up-3-golden-child-part-3/4000-105569/</t>
  </si>
  <si>
    <t>Spider-Girl #14 - Defeated By Kaine (Issue)</t>
  </si>
  <si>
    <t>Spider-Girl #42 - Mother's Day (Issue)</t>
  </si>
  <si>
    <t>Spider-Man India Vol 2</t>
  </si>
  <si>
    <t>Seva (5)</t>
  </si>
  <si>
    <t>Shukla, Nikesh</t>
  </si>
  <si>
    <t>Malsuni, Abhishek</t>
  </si>
  <si>
    <t>Spider-Man: India (Volume) - Comic Vine</t>
  </si>
  <si>
    <t>The Incredible Hulk #1 - The Coming of the Hulk (Issue)</t>
  </si>
  <si>
    <t>The Infinity Gauntlet</t>
  </si>
  <si>
    <t>Infinity Gauntlet (6)</t>
  </si>
  <si>
    <t>The Infinity Gauntlet #1 - God (Issue)</t>
  </si>
  <si>
    <t>The Ultimates #9 - Captain America Vs. Giant Man (Issue)</t>
  </si>
  <si>
    <t>X-Force</t>
  </si>
  <si>
    <t>Liefeld, Rob</t>
  </si>
  <si>
    <t>X-Force #1 - A Force To Be Reckoned With (Issue)</t>
  </si>
  <si>
    <t>Sabotage (2)</t>
  </si>
  <si>
    <t>X-Force #3 - Battlecry (Issue)</t>
  </si>
  <si>
    <t>X-Force #7 - Under the Knife (Issue)</t>
  </si>
  <si>
    <t>Faust</t>
  </si>
  <si>
    <t>Northstar Productions</t>
  </si>
  <si>
    <t>Love of the Damned (15)</t>
  </si>
  <si>
    <t>Vigil, Tim</t>
  </si>
  <si>
    <t>Faust: Love of the Damned #1 - Papa's Got a Brand New Bag (Issue)</t>
  </si>
  <si>
    <t>Don The Origin</t>
  </si>
  <si>
    <t>Om Books</t>
  </si>
  <si>
    <t>Om Books Editorial Team</t>
  </si>
  <si>
    <t>Raj Special</t>
  </si>
  <si>
    <t>Raj Comics</t>
  </si>
  <si>
    <t>Sinha, Jolly</t>
  </si>
  <si>
    <t>Sinha, Anupam</t>
  </si>
  <si>
    <t>Dracula Series #1 - Dracula Ka Hamla (Issue)</t>
  </si>
  <si>
    <t>Mandrake The Magician</t>
  </si>
  <si>
    <t>Shakti Comics</t>
  </si>
  <si>
    <t>King Features Syndicate</t>
  </si>
  <si>
    <t>Fredricks, Fred</t>
  </si>
  <si>
    <t>Phantom</t>
  </si>
  <si>
    <t>DePaul, Tony</t>
  </si>
  <si>
    <t>Jack Kirby's Secret City Saga</t>
  </si>
  <si>
    <t>Topps Comics</t>
  </si>
  <si>
    <t>Secret City Saga (4)</t>
  </si>
  <si>
    <t>Jack Kirby's Secret City Saga (Volume) - Comic Vine</t>
  </si>
  <si>
    <t>Jack Kirby's Secret City Saga #4 - Let Sleeping Bojums Lie! (Issue)</t>
  </si>
  <si>
    <t>Doom Patrol</t>
  </si>
  <si>
    <t>Vertigo</t>
  </si>
  <si>
    <t>Kupperberg, Paul</t>
  </si>
  <si>
    <t>Doom Patrol (Volume) - Comic Vine</t>
  </si>
  <si>
    <t>Crawling from the Wreckage (4)</t>
  </si>
  <si>
    <t>Case, Richard</t>
  </si>
  <si>
    <t>Braithwaite, Doug</t>
  </si>
  <si>
    <t>Dringenberg, Mike</t>
  </si>
  <si>
    <t>Yeowell, Steve</t>
  </si>
  <si>
    <t>Pollack, Rachel</t>
  </si>
  <si>
    <t>Medley, Linda</t>
  </si>
  <si>
    <t>McKeever, Ted</t>
  </si>
  <si>
    <t>Doom Patrol Annual</t>
  </si>
  <si>
    <t>Fry, James; DuBurke, Randy</t>
  </si>
  <si>
    <t>Doom Patrol Annual #1 - Public Works!; That Darling Young Woman on the Flying Trapeze (Issue)</t>
  </si>
  <si>
    <t>The Children's Crusade (7)</t>
  </si>
  <si>
    <t>Wheatley, Mark</t>
  </si>
  <si>
    <t>Doom Patrol Annual #2 - The Wild, The Good, and the Grown-Up (Issue)</t>
  </si>
  <si>
    <t>Remaining</t>
  </si>
  <si>
    <t>Comics Issues</t>
  </si>
  <si>
    <t>Do Not Buy</t>
  </si>
  <si>
    <t>Already have large version</t>
  </si>
  <si>
    <t>Duplicate of 2</t>
  </si>
  <si>
    <t>Subj</t>
  </si>
  <si>
    <t>Readable</t>
  </si>
  <si>
    <t>Books</t>
  </si>
  <si>
    <t>Last Date</t>
  </si>
  <si>
    <t>Start Date</t>
  </si>
  <si>
    <t>Months</t>
  </si>
  <si>
    <t>Today</t>
  </si>
  <si>
    <t>Fraction</t>
  </si>
  <si>
    <t>Target</t>
  </si>
  <si>
    <t>Required till now</t>
  </si>
  <si>
    <t>Actual</t>
  </si>
  <si>
    <t>S.no</t>
  </si>
  <si>
    <t>Name</t>
  </si>
  <si>
    <t>Audiobook</t>
  </si>
  <si>
    <t>Hugo/Nebula</t>
  </si>
  <si>
    <t>Classics</t>
  </si>
  <si>
    <t>Hindi</t>
  </si>
  <si>
    <t>Indian (English)</t>
  </si>
  <si>
    <t>Indian Transl.</t>
  </si>
  <si>
    <t>Russian Transl.</t>
  </si>
  <si>
    <t>Any Transl.</t>
  </si>
  <si>
    <t>Diff. Culture</t>
  </si>
  <si>
    <t>Women Author*</t>
  </si>
  <si>
    <t>NF (Mgmt)</t>
  </si>
  <si>
    <t>NF (Other)</t>
  </si>
  <si>
    <t>Indie/New</t>
  </si>
  <si>
    <t>Owned</t>
  </si>
  <si>
    <t>Booker Winning</t>
  </si>
  <si>
    <t>Novella*</t>
  </si>
  <si>
    <t>Short Stories*</t>
  </si>
  <si>
    <t>Anabasis</t>
  </si>
  <si>
    <t>Seasons of Glass and Iron</t>
  </si>
  <si>
    <t>Crispin's Model</t>
  </si>
  <si>
    <t>Shivam's Story</t>
  </si>
  <si>
    <t>Nidhi's Stories</t>
  </si>
  <si>
    <t>The Night Circus</t>
  </si>
  <si>
    <t>HPMOR</t>
  </si>
  <si>
    <t>Born a Crime</t>
  </si>
  <si>
    <t>That Game We Played During the War</t>
  </si>
  <si>
    <t>A Fist of Permutations in Lightning and War</t>
  </si>
  <si>
    <t>Our Talons Can Crush Galaxies</t>
  </si>
  <si>
    <t>The City Born Great</t>
  </si>
  <si>
    <t>Batman Adv</t>
  </si>
  <si>
    <t>TDKR</t>
  </si>
  <si>
    <t>Superman Adv</t>
  </si>
  <si>
    <t>JLA Adv</t>
  </si>
  <si>
    <t>ASM</t>
  </si>
  <si>
    <t>Spider-Man Ind</t>
  </si>
  <si>
    <t>Marvel Presents</t>
  </si>
  <si>
    <t>Fantastic 4</t>
  </si>
  <si>
    <t>Hulk</t>
  </si>
  <si>
    <t>NA</t>
  </si>
  <si>
    <t>Marvel Age</t>
  </si>
  <si>
    <t>SM Adv.</t>
  </si>
  <si>
    <t>Book Status Types</t>
  </si>
  <si>
    <t>Missing</t>
  </si>
  <si>
    <t>Original/Pirated</t>
  </si>
  <si>
    <t>O</t>
  </si>
  <si>
    <t>P</t>
  </si>
  <si>
    <t>Shelves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</si>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</sst>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mmm&quot;, &quot;yyyy"/>
    <numFmt numFmtId="166" formatCode="mmm, yyyy"/>
    <numFmt numFmtId="167" formatCode="0.0%"/>
  </numFmts>
  <fonts count="41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u/>
      <sz val="9.0"/>
      <color rgb="FF0000FF"/>
      <name val="Calibri"/>
    </font>
    <font>
      <u/>
      <sz val="9.0"/>
      <color theme="1"/>
      <name val="Calibri"/>
    </font>
    <font>
      <u/>
      <sz val="9.0"/>
      <color rgb="FF000000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sz val="9.0"/>
      <color rgb="FF000000"/>
      <name val="Calibri"/>
    </font>
    <font>
      <u/>
      <sz val="9.0"/>
      <color theme="1"/>
      <name val="Calibri"/>
    </font>
    <font>
      <u/>
      <sz val="9.0"/>
      <color rgb="FF000000"/>
      <name val="Calibri"/>
    </font>
    <font>
      <u/>
      <sz val="9.0"/>
      <color theme="1"/>
      <name val="Calibri"/>
    </font>
    <font>
      <u/>
      <sz val="9.0"/>
      <color rgb="FF0000FF"/>
      <name val="Calibri"/>
    </font>
    <font>
      <u/>
      <sz val="9.0"/>
      <color rgb="FF0563C1"/>
      <name val="Calibri"/>
    </font>
    <font>
      <color theme="1"/>
      <name val="Calibri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563C1"/>
      <name val="Calibri"/>
    </font>
    <font>
      <u/>
      <sz val="9.0"/>
      <color theme="1"/>
      <name val="Calibri"/>
    </font>
    <font>
      <u/>
      <sz val="9.0"/>
      <color theme="1"/>
      <name val="Calibri"/>
    </font>
    <font>
      <sz val="11.0"/>
      <color theme="1"/>
      <name val="Calibri"/>
    </font>
    <font>
      <u/>
      <sz val="9.0"/>
      <color rgb="FF0563C1"/>
      <name val="Calibri"/>
    </font>
    <font>
      <u/>
      <sz val="9.0"/>
      <color theme="1"/>
      <name val="Calibri"/>
    </font>
    <font>
      <u/>
      <sz val="9.0"/>
      <color rgb="FF0000FF"/>
      <name val="Calibri"/>
    </font>
    <font>
      <u/>
      <sz val="9.0"/>
      <color rgb="FF000000"/>
      <name val="Calibri"/>
    </font>
    <font>
      <u/>
      <sz val="9.0"/>
      <color rgb="FF0563C1"/>
      <name val="Calibri"/>
    </font>
    <font>
      <u/>
      <sz val="9.0"/>
      <color theme="1"/>
      <name val="Calibri"/>
    </font>
    <font>
      <b/>
      <color theme="1"/>
      <name val="Calibri"/>
      <scheme val="minor"/>
    </font>
    <font>
      <b/>
      <sz val="9.0"/>
      <color rgb="FFC55A11"/>
      <name val="Calibri"/>
    </font>
    <font>
      <b/>
      <sz val="9.0"/>
      <color rgb="FF8EAADB"/>
      <name val="Calibri"/>
    </font>
    <font>
      <b/>
      <sz val="9.0"/>
      <color rgb="FFFFC000"/>
      <name val="Calibri"/>
    </font>
    <font>
      <b/>
      <sz val="9.0"/>
      <color rgb="FF2E75B5"/>
      <name val="Calibri"/>
    </font>
    <font>
      <b/>
      <sz val="9.0"/>
      <color rgb="FF222A35"/>
      <name val="Calibri"/>
    </font>
    <font>
      <b/>
      <sz val="9.0"/>
      <color rgb="FFFF66CC"/>
      <name val="Calibri"/>
    </font>
    <font>
      <b/>
      <sz val="9.0"/>
      <color rgb="FFFF5D5D"/>
      <name val="Calibri"/>
    </font>
    <font>
      <b/>
      <sz val="9.0"/>
      <color rgb="FF92D050"/>
      <name val="Calibri"/>
    </font>
    <font>
      <b/>
      <sz val="9.0"/>
      <color rgb="FFBF9000"/>
      <name val="Calibri"/>
    </font>
    <font>
      <b/>
      <sz val="9.0"/>
      <color rgb="FF757070"/>
      <name val="Calibri"/>
    </font>
    <font>
      <b/>
      <sz val="9.0"/>
      <color rgb="FF00B0F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7B7B7B"/>
        <bgColor rgb="FF7B7B7B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49" xfId="0" applyAlignment="1" applyBorder="1" applyFont="1" applyNumberFormat="1">
      <alignment horizontal="center"/>
    </xf>
    <xf borderId="2" fillId="3" fontId="1" numFmtId="0" xfId="0" applyAlignment="1" applyBorder="1" applyFill="1" applyFont="1">
      <alignment horizontal="center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3" fontId="2" numFmtId="49" xfId="0" applyBorder="1" applyFont="1" applyNumberFormat="1"/>
    <xf borderId="1" fillId="3" fontId="2" numFmtId="1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center"/>
    </xf>
    <xf borderId="2" fillId="3" fontId="2" numFmtId="0" xfId="0" applyBorder="1" applyFont="1"/>
    <xf borderId="1" fillId="3" fontId="2" numFmtId="49" xfId="0" applyAlignment="1" applyBorder="1" applyFont="1" applyNumberFormat="1">
      <alignment horizont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49" xfId="0" applyAlignment="1" applyBorder="1" applyFont="1" applyNumberFormat="1">
      <alignment readingOrder="0"/>
    </xf>
    <xf borderId="1" fillId="3" fontId="3" numFmtId="49" xfId="0" applyAlignment="1" applyBorder="1" applyFont="1" applyNumberFormat="1">
      <alignment readingOrder="0"/>
    </xf>
    <xf borderId="1" fillId="3" fontId="2" numFmtId="2" xfId="0" applyAlignment="1" applyBorder="1" applyFont="1" applyNumberFormat="1">
      <alignment horizontal="center" readingOrder="0"/>
    </xf>
    <xf borderId="1" fillId="3" fontId="4" numFmtId="49" xfId="0" applyAlignment="1" applyBorder="1" applyFont="1" applyNumberFormat="1">
      <alignment readingOrder="0"/>
    </xf>
    <xf borderId="1" fillId="3" fontId="5" numFmtId="49" xfId="0" applyAlignment="1" applyBorder="1" applyFont="1" applyNumberFormat="1">
      <alignment readingOrder="0"/>
    </xf>
    <xf borderId="1" fillId="3" fontId="2" numFmtId="1" xfId="0" applyAlignment="1" applyBorder="1" applyFont="1" applyNumberFormat="1">
      <alignment horizontal="center" readingOrder="0"/>
    </xf>
    <xf borderId="1" fillId="3" fontId="6" numFmtId="49" xfId="0" applyBorder="1" applyFont="1" applyNumberFormat="1"/>
    <xf borderId="1" fillId="3" fontId="7" numFmtId="49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horizontal="center" readingOrder="0"/>
    </xf>
    <xf borderId="1" fillId="3" fontId="8" numFmtId="0" xfId="0" applyBorder="1" applyFont="1"/>
    <xf borderId="1" fillId="3" fontId="8" numFmtId="0" xfId="0" applyAlignment="1" applyBorder="1" applyFont="1">
      <alignment horizontal="center"/>
    </xf>
    <xf borderId="1" fillId="3" fontId="8" numFmtId="49" xfId="0" applyBorder="1" applyFont="1" applyNumberFormat="1"/>
    <xf borderId="3" fillId="3" fontId="2" numFmtId="0" xfId="0" applyBorder="1" applyFont="1"/>
    <xf borderId="3" fillId="3" fontId="2" numFmtId="49" xfId="0" applyBorder="1" applyFont="1" applyNumberFormat="1"/>
    <xf borderId="2" fillId="3" fontId="2" numFmtId="0" xfId="0" applyAlignment="1" applyBorder="1" applyFont="1">
      <alignment horizontal="center"/>
    </xf>
    <xf borderId="2" fillId="3" fontId="2" numFmtId="49" xfId="0" applyBorder="1" applyFont="1" applyNumberFormat="1"/>
    <xf borderId="4" fillId="2" fontId="1" numFmtId="0" xfId="0" applyAlignment="1" applyBorder="1" applyFont="1">
      <alignment horizontal="center"/>
    </xf>
    <xf borderId="4" fillId="2" fontId="1" numFmtId="49" xfId="0" applyAlignment="1" applyBorder="1" applyFont="1" applyNumberFormat="1">
      <alignment horizontal="center"/>
    </xf>
    <xf borderId="5" fillId="2" fontId="1" numFmtId="0" xfId="0" applyAlignment="1" applyBorder="1" applyFont="1">
      <alignment horizontal="center"/>
    </xf>
    <xf borderId="0" fillId="0" fontId="2" numFmtId="0" xfId="0" applyFont="1"/>
    <xf borderId="6" fillId="3" fontId="2" numFmtId="0" xfId="0" applyBorder="1" applyFont="1"/>
    <xf borderId="7" fillId="2" fontId="1" numFmtId="0" xfId="0" applyAlignment="1" applyBorder="1" applyFont="1">
      <alignment horizontal="center"/>
    </xf>
    <xf borderId="7" fillId="2" fontId="1" numFmtId="49" xfId="0" applyAlignment="1" applyBorder="1" applyFont="1" applyNumberFormat="1">
      <alignment horizontal="center"/>
    </xf>
    <xf borderId="8" fillId="2" fontId="1" numFmtId="49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10" fillId="3" fontId="2" numFmtId="0" xfId="0" applyBorder="1" applyFont="1"/>
    <xf borderId="11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3" fontId="2" numFmtId="0" xfId="0" applyAlignment="1" applyBorder="1" applyFont="1">
      <alignment horizontal="center" readingOrder="0"/>
    </xf>
    <xf borderId="3" fillId="3" fontId="2" numFmtId="49" xfId="0" applyAlignment="1" applyBorder="1" applyFont="1" applyNumberFormat="1">
      <alignment readingOrder="0"/>
    </xf>
    <xf borderId="3" fillId="3" fontId="9" numFmtId="49" xfId="0" applyAlignment="1" applyBorder="1" applyFont="1" applyNumberFormat="1">
      <alignment readingOrder="0"/>
    </xf>
    <xf borderId="3" fillId="3" fontId="10" numFmtId="49" xfId="0" applyAlignment="1" applyBorder="1" applyFont="1" applyNumberFormat="1">
      <alignment readingOrder="0"/>
    </xf>
    <xf borderId="3" fillId="3" fontId="11" numFmtId="49" xfId="0" applyBorder="1" applyFont="1" applyNumberFormat="1"/>
    <xf borderId="10" fillId="3" fontId="2" numFmtId="0" xfId="0" applyAlignment="1" applyBorder="1" applyFont="1">
      <alignment readingOrder="0"/>
    </xf>
    <xf borderId="6" fillId="3" fontId="2" numFmtId="0" xfId="0" applyAlignment="1" applyBorder="1" applyFont="1">
      <alignment readingOrder="0"/>
    </xf>
    <xf borderId="3" fillId="3" fontId="8" numFmtId="0" xfId="0" applyBorder="1" applyFont="1"/>
    <xf borderId="3" fillId="3" fontId="8" numFmtId="49" xfId="0" applyBorder="1" applyFont="1" applyNumberFormat="1"/>
    <xf borderId="3" fillId="3" fontId="12" numFmtId="49" xfId="0" applyAlignment="1" applyBorder="1" applyFont="1" applyNumberFormat="1">
      <alignment readingOrder="0"/>
    </xf>
    <xf borderId="12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 readingOrder="0"/>
    </xf>
    <xf borderId="13" fillId="3" fontId="2" numFmtId="0" xfId="0" applyAlignment="1" applyBorder="1" applyFont="1">
      <alignment horizontal="right" readingOrder="0"/>
    </xf>
    <xf borderId="3" fillId="3" fontId="2" numFmtId="1" xfId="0" applyAlignment="1" applyBorder="1" applyFont="1" applyNumberFormat="1">
      <alignment readingOrder="0"/>
    </xf>
    <xf borderId="3" fillId="3" fontId="2" numFmtId="165" xfId="0" applyAlignment="1" applyBorder="1" applyFont="1" applyNumberFormat="1">
      <alignment horizontal="center" readingOrder="0"/>
    </xf>
    <xf borderId="3" fillId="3" fontId="2" numFmtId="166" xfId="0" applyAlignment="1" applyBorder="1" applyFont="1" applyNumberFormat="1">
      <alignment horizontal="center" readingOrder="0"/>
    </xf>
    <xf borderId="3" fillId="3" fontId="8" numFmtId="0" xfId="0" applyAlignment="1" applyBorder="1" applyFont="1">
      <alignment readingOrder="0"/>
    </xf>
    <xf borderId="3" fillId="3" fontId="8" numFmtId="1" xfId="0" applyAlignment="1" applyBorder="1" applyFont="1" applyNumberFormat="1">
      <alignment readingOrder="0"/>
    </xf>
    <xf borderId="13" fillId="3" fontId="2" numFmtId="0" xfId="0" applyAlignment="1" applyBorder="1" applyFont="1">
      <alignment horizontal="right"/>
    </xf>
    <xf borderId="3" fillId="3" fontId="2" numFmtId="1" xfId="0" applyBorder="1" applyFont="1" applyNumberFormat="1"/>
    <xf borderId="3" fillId="3" fontId="8" numFmtId="1" xfId="0" applyBorder="1" applyFont="1" applyNumberFormat="1"/>
    <xf borderId="2" fillId="3" fontId="2" numFmtId="1" xfId="0" applyBorder="1" applyFont="1" applyNumberFormat="1"/>
    <xf borderId="4" fillId="2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/>
    </xf>
    <xf borderId="2" fillId="4" fontId="2" numFmtId="0" xfId="0" applyBorder="1" applyFont="1"/>
    <xf borderId="1" fillId="3" fontId="13" numFmtId="49" xfId="0" applyAlignment="1" applyBorder="1" applyFont="1" applyNumberFormat="1">
      <alignment readingOrder="0"/>
    </xf>
    <xf borderId="1" fillId="0" fontId="14" numFmtId="0" xfId="0" applyBorder="1" applyFont="1"/>
    <xf borderId="0" fillId="3" fontId="15" numFmtId="49" xfId="0" applyAlignment="1" applyFont="1" applyNumberFormat="1">
      <alignment readingOrder="0"/>
    </xf>
    <xf borderId="1" fillId="3" fontId="2" numFmtId="49" xfId="0" applyAlignment="1" applyBorder="1" applyFont="1" applyNumberFormat="1">
      <alignment readingOrder="0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left" readingOrder="0" vertical="center"/>
    </xf>
    <xf borderId="4" fillId="2" fontId="1" numFmtId="49" xfId="0" applyAlignment="1" applyBorder="1" applyFont="1" applyNumberFormat="1">
      <alignment horizontal="left" vertical="center"/>
    </xf>
    <xf borderId="4" fillId="2" fontId="1" numFmtId="49" xfId="0" applyAlignment="1" applyBorder="1" applyFont="1" applyNumberFormat="1">
      <alignment horizontal="left" readingOrder="0" shrinkToFit="0" vertical="center" wrapText="0"/>
    </xf>
    <xf borderId="5" fillId="2" fontId="1" numFmtId="0" xfId="0" applyAlignment="1" applyBorder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14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shrinkToFit="0" wrapText="0"/>
    </xf>
    <xf borderId="15" fillId="3" fontId="2" numFmtId="0" xfId="0" applyBorder="1" applyFont="1"/>
    <xf borderId="1" fillId="3" fontId="2" numFmtId="0" xfId="0" applyAlignment="1" applyBorder="1" applyFont="1">
      <alignment horizontal="right" readingOrder="0"/>
    </xf>
    <xf borderId="1" fillId="3" fontId="16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readingOrder="0" shrinkToFit="0" wrapText="0"/>
    </xf>
    <xf borderId="1" fillId="4" fontId="2" numFmtId="0" xfId="0" applyBorder="1" applyFont="1"/>
    <xf borderId="1" fillId="4" fontId="2" numFmtId="0" xfId="0" applyAlignment="1" applyBorder="1" applyFont="1">
      <alignment shrinkToFit="0" wrapText="0"/>
    </xf>
    <xf borderId="3" fillId="4" fontId="2" numFmtId="0" xfId="0" applyBorder="1" applyFont="1"/>
    <xf borderId="6" fillId="4" fontId="2" numFmtId="0" xfId="0" applyBorder="1" applyFont="1"/>
    <xf borderId="15" fillId="4" fontId="2" numFmtId="0" xfId="0" applyBorder="1" applyFont="1"/>
    <xf borderId="15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17" numFmtId="0" xfId="0" applyAlignment="1" applyBorder="1" applyFont="1">
      <alignment readingOrder="0" shrinkToFit="0" wrapText="0"/>
    </xf>
    <xf borderId="1" fillId="3" fontId="18" numFmtId="0" xfId="0" applyAlignment="1" applyBorder="1" applyFont="1">
      <alignment readingOrder="0" shrinkToFit="0" wrapText="0"/>
    </xf>
    <xf borderId="1" fillId="3" fontId="19" numFmtId="0" xfId="0" applyAlignment="1" applyBorder="1" applyFont="1">
      <alignment readingOrder="0" shrinkToFit="0" wrapText="0"/>
    </xf>
    <xf borderId="1" fillId="5" fontId="2" numFmtId="0" xfId="0" applyAlignment="1" applyBorder="1" applyFill="1" applyFont="1">
      <alignment vertical="bottom"/>
    </xf>
    <xf borderId="11" fillId="3" fontId="2" numFmtId="0" xfId="0" applyBorder="1" applyFont="1"/>
    <xf borderId="14" fillId="3" fontId="2" numFmtId="0" xfId="0" applyBorder="1" applyFont="1"/>
    <xf borderId="1" fillId="3" fontId="20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vertical="bottom"/>
    </xf>
    <xf borderId="14" fillId="5" fontId="2" numFmtId="0" xfId="0" applyAlignment="1" applyBorder="1" applyFont="1">
      <alignment vertical="bottom"/>
    </xf>
    <xf borderId="3" fillId="6" fontId="21" numFmtId="0" xfId="0" applyAlignment="1" applyBorder="1" applyFill="1" applyFont="1">
      <alignment vertical="bottom"/>
    </xf>
    <xf borderId="1" fillId="6" fontId="21" numFmtId="0" xfId="0" applyAlignment="1" applyBorder="1" applyFont="1">
      <alignment vertical="bottom"/>
    </xf>
    <xf borderId="1" fillId="6" fontId="21" numFmtId="0" xfId="0" applyAlignment="1" applyBorder="1" applyFont="1">
      <alignment vertical="bottom"/>
    </xf>
    <xf borderId="1" fillId="5" fontId="22" numFmtId="0" xfId="0" applyAlignment="1" applyBorder="1" applyFont="1">
      <alignment readingOrder="0" shrinkToFit="0" vertical="bottom" wrapText="0"/>
    </xf>
    <xf borderId="3" fillId="5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15" fillId="5" fontId="21" numFmtId="0" xfId="0" applyAlignment="1" applyBorder="1" applyFont="1">
      <alignment vertical="bottom"/>
    </xf>
    <xf borderId="1" fillId="5" fontId="21" numFmtId="0" xfId="0" applyAlignment="1" applyBorder="1" applyFont="1">
      <alignment vertical="bottom"/>
    </xf>
    <xf borderId="2" fillId="4" fontId="21" numFmtId="0" xfId="0" applyAlignment="1" applyBorder="1" applyFont="1">
      <alignment vertical="bottom"/>
    </xf>
    <xf borderId="1" fillId="5" fontId="2" numFmtId="0" xfId="0" applyAlignment="1" applyBorder="1" applyFont="1">
      <alignment readingOrder="0"/>
    </xf>
    <xf borderId="3" fillId="5" fontId="2" numFmtId="0" xfId="0" applyBorder="1" applyFont="1"/>
    <xf borderId="14" fillId="5" fontId="2" numFmtId="0" xfId="0" applyAlignment="1" applyBorder="1" applyFont="1">
      <alignment readingOrder="0"/>
    </xf>
    <xf borderId="1" fillId="5" fontId="2" numFmtId="0" xfId="0" applyBorder="1" applyFont="1"/>
    <xf borderId="1" fillId="5" fontId="2" numFmtId="0" xfId="0" applyAlignment="1" applyBorder="1" applyFont="1">
      <alignment horizontal="right"/>
    </xf>
    <xf borderId="1" fillId="5" fontId="23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shrinkToFit="0" wrapText="0"/>
    </xf>
    <xf borderId="6" fillId="5" fontId="2" numFmtId="0" xfId="0" applyAlignment="1" applyBorder="1" applyFont="1">
      <alignment readingOrder="0"/>
    </xf>
    <xf borderId="15" fillId="5" fontId="2" numFmtId="0" xfId="0" applyBorder="1" applyFont="1"/>
    <xf borderId="2" fillId="5" fontId="2" numFmtId="0" xfId="0" applyBorder="1" applyFont="1"/>
    <xf borderId="1" fillId="7" fontId="2" numFmtId="0" xfId="0" applyBorder="1" applyFill="1" applyFont="1"/>
    <xf borderId="3" fillId="7" fontId="2" numFmtId="0" xfId="0" applyBorder="1" applyFont="1"/>
    <xf borderId="14" fillId="7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7" fontId="2" numFmtId="0" xfId="0" applyAlignment="1" applyBorder="1" applyFont="1">
      <alignment horizontal="right" readingOrder="0"/>
    </xf>
    <xf borderId="1" fillId="7" fontId="24" numFmtId="0" xfId="0" applyAlignment="1" applyBorder="1" applyFont="1">
      <alignment readingOrder="0" shrinkToFit="0" wrapText="0"/>
    </xf>
    <xf borderId="6" fillId="7" fontId="2" numFmtId="0" xfId="0" applyBorder="1" applyFont="1"/>
    <xf borderId="15" fillId="7" fontId="2" numFmtId="0" xfId="0" applyBorder="1" applyFont="1"/>
    <xf borderId="1" fillId="7" fontId="25" numFmtId="0" xfId="0" applyAlignment="1" applyBorder="1" applyFont="1">
      <alignment readingOrder="0" shrinkToFit="0" wrapText="0"/>
    </xf>
    <xf borderId="2" fillId="7" fontId="2" numFmtId="0" xfId="0" applyBorder="1" applyFont="1"/>
    <xf borderId="14" fillId="5" fontId="2" numFmtId="0" xfId="0" applyAlignment="1" applyBorder="1" applyFont="1">
      <alignment readingOrder="0" vertical="bottom"/>
    </xf>
    <xf borderId="1" fillId="5" fontId="26" numFmtId="0" xfId="0" applyAlignment="1" applyBorder="1" applyFont="1">
      <alignment shrinkToFit="0" vertical="bottom" wrapText="0"/>
    </xf>
    <xf borderId="15" fillId="5" fontId="21" numFmtId="0" xfId="0" applyAlignment="1" applyBorder="1" applyFont="1">
      <alignment vertical="bottom"/>
    </xf>
    <xf borderId="1" fillId="3" fontId="27" numFmtId="0" xfId="0" applyAlignment="1" applyBorder="1" applyFont="1">
      <alignment readingOrder="0"/>
    </xf>
    <xf borderId="2" fillId="3" fontId="2" numFmtId="0" xfId="0" applyAlignment="1" applyBorder="1" applyFont="1">
      <alignment shrinkToFit="0" wrapText="0"/>
    </xf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readingOrder="0"/>
    </xf>
    <xf borderId="2" fillId="4" fontId="2" numFmtId="0" xfId="0" applyAlignment="1" applyBorder="1" applyFont="1">
      <alignment horizontal="right"/>
    </xf>
    <xf borderId="2" fillId="4" fontId="2" numFmtId="0" xfId="0" applyAlignment="1" applyBorder="1" applyFont="1">
      <alignment shrinkToFit="0" wrapText="0"/>
    </xf>
    <xf borderId="0" fillId="0" fontId="14" numFmtId="0" xfId="0" applyFont="1"/>
    <xf borderId="0" fillId="0" fontId="14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4" numFmtId="9" xfId="0" applyFont="1" applyNumberFormat="1"/>
    <xf borderId="0" fillId="0" fontId="28" numFmtId="9" xfId="0" applyFont="1" applyNumberFormat="1"/>
    <xf borderId="0" fillId="0" fontId="14" numFmtId="9" xfId="0" applyAlignment="1" applyFont="1" applyNumberFormat="1">
      <alignment readingOrder="0"/>
    </xf>
    <xf borderId="16" fillId="3" fontId="2" numFmtId="0" xfId="0" applyBorder="1" applyFont="1"/>
    <xf borderId="17" fillId="3" fontId="2" numFmtId="0" xfId="0" applyBorder="1" applyFont="1"/>
    <xf borderId="18" fillId="3" fontId="2" numFmtId="14" xfId="0" applyBorder="1" applyFont="1" applyNumberFormat="1"/>
    <xf borderId="2" fillId="3" fontId="2" numFmtId="14" xfId="0" applyBorder="1" applyFont="1" applyNumberFormat="1"/>
    <xf borderId="19" fillId="3" fontId="2" numFmtId="0" xfId="0" applyBorder="1" applyFont="1"/>
    <xf borderId="20" fillId="3" fontId="2" numFmtId="14" xfId="0" applyBorder="1" applyFont="1" applyNumberFormat="1"/>
    <xf borderId="2" fillId="3" fontId="2" numFmtId="167" xfId="0" applyBorder="1" applyFont="1" applyNumberFormat="1"/>
    <xf borderId="21" fillId="3" fontId="1" numFmtId="0" xfId="0" applyBorder="1" applyFont="1"/>
    <xf borderId="17" fillId="3" fontId="2" numFmtId="0" xfId="0" applyAlignment="1" applyBorder="1" applyFont="1">
      <alignment horizontal="center"/>
    </xf>
    <xf borderId="18" fillId="3" fontId="2" numFmtId="0" xfId="0" applyAlignment="1" applyBorder="1" applyFont="1">
      <alignment horizontal="center"/>
    </xf>
    <xf borderId="1" fillId="3" fontId="1" numFmtId="0" xfId="0" applyBorder="1" applyFont="1"/>
    <xf borderId="22" fillId="3" fontId="2" numFmtId="0" xfId="0" applyAlignment="1" applyBorder="1" applyFont="1">
      <alignment horizontal="center"/>
    </xf>
    <xf borderId="23" fillId="3" fontId="2" numFmtId="0" xfId="0" applyAlignment="1" applyBorder="1" applyFont="1">
      <alignment horizontal="center"/>
    </xf>
    <xf borderId="3" fillId="3" fontId="1" numFmtId="0" xfId="0" applyBorder="1" applyFont="1"/>
    <xf borderId="19" fillId="3" fontId="2" numFmtId="0" xfId="0" applyAlignment="1" applyBorder="1" applyFont="1">
      <alignment horizontal="center"/>
    </xf>
    <xf borderId="20" fillId="3" fontId="2" numFmtId="0" xfId="0" applyAlignment="1" applyBorder="1" applyFont="1">
      <alignment horizontal="center"/>
    </xf>
    <xf borderId="2" fillId="3" fontId="1" numFmtId="0" xfId="0" applyBorder="1" applyFont="1"/>
    <xf borderId="16" fillId="3" fontId="1" numFmtId="0" xfId="0" applyBorder="1" applyFont="1"/>
    <xf borderId="18" fillId="3" fontId="1" numFmtId="0" xfId="0" applyBorder="1" applyFont="1"/>
    <xf borderId="17" fillId="3" fontId="29" numFmtId="0" xfId="0" applyBorder="1" applyFont="1"/>
    <xf borderId="17" fillId="3" fontId="30" numFmtId="0" xfId="0" applyBorder="1" applyFont="1"/>
    <xf borderId="17" fillId="3" fontId="1" numFmtId="0" xfId="0" applyBorder="1" applyFont="1"/>
    <xf borderId="17" fillId="3" fontId="31" numFmtId="0" xfId="0" applyBorder="1" applyFont="1"/>
    <xf borderId="17" fillId="3" fontId="32" numFmtId="0" xfId="0" applyBorder="1" applyFont="1"/>
    <xf borderId="17" fillId="3" fontId="33" numFmtId="0" xfId="0" applyBorder="1" applyFont="1"/>
    <xf borderId="17" fillId="3" fontId="34" numFmtId="0" xfId="0" applyBorder="1" applyFont="1"/>
    <xf borderId="17" fillId="3" fontId="35" numFmtId="0" xfId="0" applyBorder="1" applyFont="1"/>
    <xf borderId="17" fillId="3" fontId="36" numFmtId="0" xfId="0" applyBorder="1" applyFont="1"/>
    <xf borderId="17" fillId="3" fontId="37" numFmtId="0" xfId="0" applyBorder="1" applyFont="1"/>
    <xf borderId="17" fillId="3" fontId="38" numFmtId="0" xfId="0" applyBorder="1" applyFont="1"/>
    <xf borderId="17" fillId="3" fontId="39" numFmtId="0" xfId="0" applyBorder="1" applyFont="1"/>
    <xf borderId="18" fillId="3" fontId="39" numFmtId="0" xfId="0" applyBorder="1" applyFont="1"/>
    <xf borderId="18" fillId="3" fontId="2" numFmtId="0" xfId="0" applyBorder="1" applyFont="1"/>
    <xf borderId="24" fillId="3" fontId="2" numFmtId="0" xfId="0" applyBorder="1" applyFont="1"/>
    <xf borderId="25" fillId="3" fontId="2" numFmtId="0" xfId="0" applyBorder="1" applyFont="1"/>
    <xf borderId="20" fillId="3" fontId="2" numFmtId="0" xfId="0" applyBorder="1" applyFont="1"/>
    <xf borderId="0" fillId="8" fontId="14" numFmtId="0" xfId="0" applyAlignment="1" applyFill="1" applyFont="1">
      <alignment readingOrder="0"/>
    </xf>
    <xf borderId="0" fillId="9" fontId="14" numFmtId="0" xfId="0" applyFill="1" applyFont="1"/>
    <xf borderId="0" fillId="7" fontId="14" numFmtId="0" xfId="0" applyAlignment="1" applyFont="1">
      <alignment readingOrder="0"/>
    </xf>
    <xf borderId="0" fillId="9" fontId="14" numFmtId="0" xfId="0" applyAlignment="1" applyFont="1">
      <alignment readingOrder="0"/>
    </xf>
    <xf borderId="0" fillId="0" fontId="40" numFmtId="0" xfId="0" applyFont="1"/>
  </cellXfs>
  <cellStyles count="1">
    <cellStyle xfId="0" name="Normal" builtinId="0"/>
  </cellStyles>
  <dxfs count="12">
    <dxf>
      <font/>
      <fill>
        <patternFill patternType="solid">
          <fgColor rgb="FFFF6D6D"/>
          <bgColor rgb="FFFF6D6D"/>
        </patternFill>
      </fill>
      <border/>
    </dxf>
    <dxf>
      <font/>
      <fill>
        <patternFill patternType="solid">
          <fgColor rgb="FFFFFFA7"/>
          <bgColor rgb="FFFFFFA7"/>
        </patternFill>
      </fill>
      <border/>
    </dxf>
    <dxf>
      <font/>
      <fill>
        <patternFill patternType="solid">
          <fgColor rgb="FFDADADA"/>
          <bgColor rgb="FFDADAD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7B7B7B"/>
          <bgColor rgb="FF7B7B7B"/>
        </patternFill>
      </fill>
      <border/>
    </dxf>
    <dxf>
      <font/>
      <fill>
        <patternFill patternType="solid">
          <fgColor rgb="FFFFFFAB"/>
          <bgColor rgb="FFFFFFAB"/>
        </patternFill>
      </fill>
      <border/>
    </dxf>
    <dxf>
      <font/>
      <fill>
        <patternFill patternType="solid">
          <fgColor rgb="FFFF5D5D"/>
          <bgColor rgb="FFFF5D5D"/>
        </patternFill>
      </fill>
      <border/>
    </dxf>
    <dxf>
      <font/>
      <fill>
        <patternFill patternType="solid">
          <fgColor rgb="FFFF6565"/>
          <bgColor rgb="FFFF656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66FF99"/>
      </font>
      <fill>
        <patternFill patternType="solid">
          <fgColor rgb="FF66FF99"/>
          <bgColor rgb="FF66FF9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customschemas.google.com/relationships/workbookmetadata" Target="metadata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dreads.com/book/show/44428616-circe" TargetMode="External"/><Relationship Id="rId83" Type="http://schemas.openxmlformats.org/officeDocument/2006/relationships/vmlDrawing" Target="../drawings/vmlDrawing1.vml"/><Relationship Id="rId42" Type="http://schemas.openxmlformats.org/officeDocument/2006/relationships/hyperlink" Target="https://www.goodreads.com/book/show/52427699-kafka-on-the-shore?ac=1&amp;from_search=true&amp;qid=21O5lTAUtG&amp;rank=1" TargetMode="External"/><Relationship Id="rId41" Type="http://schemas.openxmlformats.org/officeDocument/2006/relationships/hyperlink" Target="https://www.goodreads.com/book/show/820666.Song_of_Solomon" TargetMode="External"/><Relationship Id="rId44" Type="http://schemas.openxmlformats.org/officeDocument/2006/relationships/hyperlink" Target="https://www.goodreads.com/book/show/1193735.Better_Than_Life" TargetMode="External"/><Relationship Id="rId43" Type="http://schemas.openxmlformats.org/officeDocument/2006/relationships/hyperlink" Target="https://www.goodreads.com/book/show/17161156-norwegian-wood" TargetMode="External"/><Relationship Id="rId46" Type="http://schemas.openxmlformats.org/officeDocument/2006/relationships/hyperlink" Target="https://www.goodreads.com/book/show/20493673-the-time-traveler-s-wife" TargetMode="External"/><Relationship Id="rId45" Type="http://schemas.openxmlformats.org/officeDocument/2006/relationships/hyperlink" Target="https://www.goodreads.com/book/show/1012884.Five_Children_and_It" TargetMode="External"/><Relationship Id="rId80" Type="http://schemas.openxmlformats.org/officeDocument/2006/relationships/hyperlink" Target="https://www.goodreads.com/book/show/222806857-the-blaft-book-of-anti-caste-sf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www.goodreads.com/book/show/220137071-frankenstein-hb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goodreads.com/book/show/13183153-harbart" TargetMode="External"/><Relationship Id="rId3" Type="http://schemas.openxmlformats.org/officeDocument/2006/relationships/hyperlink" Target="https://www.goodreads.com/book/show/36175224-the-blue-umbrella" TargetMode="External"/><Relationship Id="rId4" Type="http://schemas.openxmlformats.org/officeDocument/2006/relationships/hyperlink" Target="https://www.goodreads.com/book/show/6971719-jane-eyre" TargetMode="External"/><Relationship Id="rId9" Type="http://schemas.openxmlformats.org/officeDocument/2006/relationships/hyperlink" Target="https://www.goodreads.com/book/show/278499.The_Mystery_of_the_Melted_Coins" TargetMode="External"/><Relationship Id="rId48" Type="http://schemas.openxmlformats.org/officeDocument/2006/relationships/hyperlink" Target="https://www.goodreads.com/book/show/42614095-mary-ventura-and-the-ninth-kingdom" TargetMode="External"/><Relationship Id="rId47" Type="http://schemas.openxmlformats.org/officeDocument/2006/relationships/hyperlink" Target="https://www.goodreads.com/book/show/14060211-animal-farm" TargetMode="External"/><Relationship Id="rId49" Type="http://schemas.openxmlformats.org/officeDocument/2006/relationships/hyperlink" Target="https://www.goodreads.com/book/show/63122382-night-watch" TargetMode="External"/><Relationship Id="rId5" Type="http://schemas.openxmlformats.org/officeDocument/2006/relationships/hyperlink" Target="https://www.goodreads.com/book/show/9598224-a-clockwork-orange?ac=1&amp;from_search=true&amp;qid=NWGjaCY5sd&amp;rank=1" TargetMode="External"/><Relationship Id="rId6" Type="http://schemas.openxmlformats.org/officeDocument/2006/relationships/hyperlink" Target="https://www.goodreads.com/book/show/2449935.Sleepers" TargetMode="External"/><Relationship Id="rId7" Type="http://schemas.openxmlformats.org/officeDocument/2006/relationships/hyperlink" Target="https://www.goodreads.com/book/show/150737430-the-comeback" TargetMode="External"/><Relationship Id="rId8" Type="http://schemas.openxmlformats.org/officeDocument/2006/relationships/hyperlink" Target="https://www.goodreads.com/book/show/971751.One_Hundred_and_One_Folktales_from_India" TargetMode="External"/><Relationship Id="rId73" Type="http://schemas.openxmlformats.org/officeDocument/2006/relationships/hyperlink" Target="https://www.goodreads.com/book/show/628722.Silent_Night_2" TargetMode="External"/><Relationship Id="rId72" Type="http://schemas.openxmlformats.org/officeDocument/2006/relationships/hyperlink" Target="https://www.goodreads.com/book/show/125665.Hocus_Pocus_Horror" TargetMode="External"/><Relationship Id="rId31" Type="http://schemas.openxmlformats.org/officeDocument/2006/relationships/hyperlink" Target="https://www.goodreads.com/book/show/44064449-the-girl-with-the-dragon-tattoo" TargetMode="External"/><Relationship Id="rId75" Type="http://schemas.openxmlformats.org/officeDocument/2006/relationships/hyperlink" Target="https://www.goodreads.com/book/show/22383535-beowulf" TargetMode="External"/><Relationship Id="rId30" Type="http://schemas.openxmlformats.org/officeDocument/2006/relationships/hyperlink" Target="https://www.goodreads.com/book/show/821872.The_Namesake" TargetMode="External"/><Relationship Id="rId74" Type="http://schemas.openxmlformats.org/officeDocument/2006/relationships/hyperlink" Target="https://www.goodreads.com/book/show/870994.Q_and_A" TargetMode="External"/><Relationship Id="rId33" Type="http://schemas.openxmlformats.org/officeDocument/2006/relationships/hyperlink" Target="https://www.goodreads.com/book/show/6979651-the-girl-who-kicked-the-hornet-s-nest" TargetMode="External"/><Relationship Id="rId77" Type="http://schemas.openxmlformats.org/officeDocument/2006/relationships/hyperlink" Target="https://www.goodreads.com/book/show/5641747-a-fraction-of-the-whole" TargetMode="External"/><Relationship Id="rId32" Type="http://schemas.openxmlformats.org/officeDocument/2006/relationships/hyperlink" Target="https://www.goodreads.com/book/show/6087991-the-girl-who-played-with-fire" TargetMode="External"/><Relationship Id="rId76" Type="http://schemas.openxmlformats.org/officeDocument/2006/relationships/hyperlink" Target="https://www.goodreads.com/book/show/57561341-the-lord-of-the-rings-illustrated-edition" TargetMode="External"/><Relationship Id="rId35" Type="http://schemas.openxmlformats.org/officeDocument/2006/relationships/hyperlink" Target="https://www.goodreads.com/book/show/43708884-the-boy-the-mole-the-fox-and-the-horse" TargetMode="External"/><Relationship Id="rId79" Type="http://schemas.openxmlformats.org/officeDocument/2006/relationships/hyperlink" Target="https://www.goodreads.com/book/show/55134162-japanese-short-stories-for-beginners" TargetMode="External"/><Relationship Id="rId34" Type="http://schemas.openxmlformats.org/officeDocument/2006/relationships/hyperlink" Target="https://www.goodreads.com/book/show/865293.The_Lies_of_Locke_Lamora" TargetMode="External"/><Relationship Id="rId78" Type="http://schemas.openxmlformats.org/officeDocument/2006/relationships/hyperlink" Target="https://www.goodreads.com/book/show/57057750-cain-s-jawbone" TargetMode="External"/><Relationship Id="rId71" Type="http://schemas.openxmlformats.org/officeDocument/2006/relationships/hyperlink" Target="https://www.goodreads.com/book/show/125609.Welcome_to_the_Wicked_Wax_Museum?ac=1&amp;from_search=true&amp;qid=6CtlggtDVS&amp;rank=1" TargetMode="External"/><Relationship Id="rId70" Type="http://schemas.openxmlformats.org/officeDocument/2006/relationships/hyperlink" Target="https://www.goodreads.com/book/show/125571.Escape_from_the_Carnival_of_Horrors?ac=1&amp;from_search=true&amp;qid=gZeZ5mp15C&amp;rank=1" TargetMode="External"/><Relationship Id="rId37" Type="http://schemas.openxmlformats.org/officeDocument/2006/relationships/hyperlink" Target="https://www.goodreads.com/book/show/60826761-one-last-stop" TargetMode="External"/><Relationship Id="rId36" Type="http://schemas.openxmlformats.org/officeDocument/2006/relationships/hyperlink" Target="https://www.goodreads.com/book/show/477725.Life_of_Pi" TargetMode="External"/><Relationship Id="rId39" Type="http://schemas.openxmlformats.org/officeDocument/2006/relationships/hyperlink" Target="https://www.goodreads.com/book/show/41734114-moby-dick-or-the-whale" TargetMode="External"/><Relationship Id="rId38" Type="http://schemas.openxmlformats.org/officeDocument/2006/relationships/hyperlink" Target="https://www.goodreads.com/book/show/60812779-red-white-royal-blue" TargetMode="External"/><Relationship Id="rId62" Type="http://schemas.openxmlformats.org/officeDocument/2006/relationships/hyperlink" Target="https://www.goodreads.com/book/show/2640673-the-reader" TargetMode="External"/><Relationship Id="rId61" Type="http://schemas.openxmlformats.org/officeDocument/2006/relationships/hyperlink" Target="https://www.goodreads.com/book/show/223214746-wind-and-truth" TargetMode="External"/><Relationship Id="rId20" Type="http://schemas.openxmlformats.org/officeDocument/2006/relationships/hyperlink" Target="https://www.goodreads.com/book/show/17725604-the-reluctant-fundamentalist" TargetMode="External"/><Relationship Id="rId64" Type="http://schemas.openxmlformats.org/officeDocument/2006/relationships/hyperlink" Target="https://www.goodreads.com/book/show/5163858-the-lovely-bones" TargetMode="External"/><Relationship Id="rId63" Type="http://schemas.openxmlformats.org/officeDocument/2006/relationships/hyperlink" Target="https://www.goodreads.com/book/show/59736782-after-sappho" TargetMode="External"/><Relationship Id="rId22" Type="http://schemas.openxmlformats.org/officeDocument/2006/relationships/hyperlink" Target="https://www.goodreads.com/book/show/106609.Catch_22" TargetMode="External"/><Relationship Id="rId66" Type="http://schemas.openxmlformats.org/officeDocument/2006/relationships/hyperlink" Target="https://www.goodreads.com/book/show/75485015-othello" TargetMode="External"/><Relationship Id="rId21" Type="http://schemas.openxmlformats.org/officeDocument/2006/relationships/hyperlink" Target="https://www.goodreads.com/book/show/123256448-weyward" TargetMode="External"/><Relationship Id="rId65" Type="http://schemas.openxmlformats.org/officeDocument/2006/relationships/hyperlink" Target="https://www.goodreads.com/book/show/23271929-hamlet" TargetMode="External"/><Relationship Id="rId24" Type="http://schemas.openxmlformats.org/officeDocument/2006/relationships/hyperlink" Target="https://www.goodreads.com/book/show/62978339-black-panther" TargetMode="External"/><Relationship Id="rId68" Type="http://schemas.openxmlformats.org/officeDocument/2006/relationships/hyperlink" Target="https://www.goodreads.com/book/show/20575869-blue-shoes-and-happiness" TargetMode="External"/><Relationship Id="rId23" Type="http://schemas.openxmlformats.org/officeDocument/2006/relationships/hyperlink" Target="https://www.goodreads.com/book/show/58660518-the-great-dune-trilogy" TargetMode="External"/><Relationship Id="rId67" Type="http://schemas.openxmlformats.org/officeDocument/2006/relationships/hyperlink" Target="https://www.goodreads.com/book/show/111210853-lost-in-my-labyrinth" TargetMode="External"/><Relationship Id="rId60" Type="http://schemas.openxmlformats.org/officeDocument/2006/relationships/hyperlink" Target="https://www.goodreads.com/book/show/49021976-rhythm-of-war" TargetMode="External"/><Relationship Id="rId26" Type="http://schemas.openxmlformats.org/officeDocument/2006/relationships/hyperlink" Target="https://www.goodreads.com/book/show/9539.The_Shadow_Rising" TargetMode="External"/><Relationship Id="rId25" Type="http://schemas.openxmlformats.org/officeDocument/2006/relationships/hyperlink" Target="https://www.goodreads.com/book/show/1260765.The_Warlock_of_Firetop_Mountain_Citadel_of_Chaos_Deathtrap_Dungeon_Creature_of_Havoc" TargetMode="External"/><Relationship Id="rId69" Type="http://schemas.openxmlformats.org/officeDocument/2006/relationships/hyperlink" Target="https://www.goodreads.com/book/show/820598.Treasure_Island" TargetMode="External"/><Relationship Id="rId28" Type="http://schemas.openxmlformats.org/officeDocument/2006/relationships/hyperlink" Target="https://www.goodreads.com/book/show/16481608-sandman-slim" TargetMode="External"/><Relationship Id="rId27" Type="http://schemas.openxmlformats.org/officeDocument/2006/relationships/hyperlink" Target="https://www.goodreads.com/book/show/40861007-ulysses" TargetMode="External"/><Relationship Id="rId29" Type="http://schemas.openxmlformats.org/officeDocument/2006/relationships/hyperlink" Target="https://www.goodreads.com/book/show/1013357.Never_Say_Die" TargetMode="External"/><Relationship Id="rId51" Type="http://schemas.openxmlformats.org/officeDocument/2006/relationships/hyperlink" Target="https://www.goodreads.com/book/show/45893850-good-omens" TargetMode="External"/><Relationship Id="rId50" Type="http://schemas.openxmlformats.org/officeDocument/2006/relationships/hyperlink" Target="https://www.goodreads.com/book/show/16127247-dodger" TargetMode="External"/><Relationship Id="rId53" Type="http://schemas.openxmlformats.org/officeDocument/2006/relationships/hyperlink" Target="https://www.goodreads.com/book/show/28492027-the-revenant" TargetMode="External"/><Relationship Id="rId52" Type="http://schemas.openxmlformats.org/officeDocument/2006/relationships/hyperlink" Target="https://www.goodreads.com/book/show/832144.The_Subtle_Knife" TargetMode="External"/><Relationship Id="rId11" Type="http://schemas.openxmlformats.org/officeDocument/2006/relationships/hyperlink" Target="https://www.goodreads.com/book/show/53870787-this-is-how-you-lose-the-time-war" TargetMode="External"/><Relationship Id="rId55" Type="http://schemas.openxmlformats.org/officeDocument/2006/relationships/hyperlink" Target="https://www.goodreads.com/book/show/215585837-normal-people" TargetMode="External"/><Relationship Id="rId10" Type="http://schemas.openxmlformats.org/officeDocument/2006/relationships/hyperlink" Target="https://www.goodreads.com/book/show/52459772" TargetMode="External"/><Relationship Id="rId54" Type="http://schemas.openxmlformats.org/officeDocument/2006/relationships/hyperlink" Target="https://www.goodreads.com/book/show/44319036-the-apu-trilogy" TargetMode="External"/><Relationship Id="rId13" Type="http://schemas.openxmlformats.org/officeDocument/2006/relationships/hyperlink" Target="https://www.goodreads.com/book/show/58678702-simple-passion" TargetMode="External"/><Relationship Id="rId57" Type="http://schemas.openxmlformats.org/officeDocument/2006/relationships/hyperlink" Target="https://www.goodreads.com/book/show/16685141-midnight-s-children" TargetMode="External"/><Relationship Id="rId12" Type="http://schemas.openxmlformats.org/officeDocument/2006/relationships/hyperlink" Target="https://www.goodreads.com/book/show/44032417-pet" TargetMode="External"/><Relationship Id="rId56" Type="http://schemas.openxmlformats.org/officeDocument/2006/relationships/hyperlink" Target="https://www.goodreads.com/book/show/57307172-tell-me-i-m-worthless" TargetMode="External"/><Relationship Id="rId15" Type="http://schemas.openxmlformats.org/officeDocument/2006/relationships/hyperlink" Target="https://www.goodreads.com/book/show/208917762-acts-of-god" TargetMode="External"/><Relationship Id="rId59" Type="http://schemas.openxmlformats.org/officeDocument/2006/relationships/hyperlink" Target="https://www.goodreads.com/book/show/34002132-oathbringer" TargetMode="External"/><Relationship Id="rId14" Type="http://schemas.openxmlformats.org/officeDocument/2006/relationships/hyperlink" Target="https://www.goodreads.com/book/show/20395.The_Prophet" TargetMode="External"/><Relationship Id="rId58" Type="http://schemas.openxmlformats.org/officeDocument/2006/relationships/hyperlink" Target="https://www.goodreads.com/book/show/7178.The_Catcher_in_the_Rye" TargetMode="External"/><Relationship Id="rId17" Type="http://schemas.openxmlformats.org/officeDocument/2006/relationships/hyperlink" Target="https://www.goodreads.com/book/show/29752904-star-wars" TargetMode="External"/><Relationship Id="rId16" Type="http://schemas.openxmlformats.org/officeDocument/2006/relationships/hyperlink" Target="https://www.goodreads.com/book/show/25067046-lost-stars" TargetMode="External"/><Relationship Id="rId19" Type="http://schemas.openxmlformats.org/officeDocument/2006/relationships/hyperlink" Target="https://www.goodreads.com/book/show/1275387.Moth_Smoke" TargetMode="External"/><Relationship Id="rId18" Type="http://schemas.openxmlformats.org/officeDocument/2006/relationships/hyperlink" Target="https://www.goodreads.com/book/show/61161884-earthse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oodreads.com/book/show/45834036-paper-chor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oodreads.com/book/show/216223893-philosophy-of-hinduism" TargetMode="External"/><Relationship Id="rId3" Type="http://schemas.openxmlformats.org/officeDocument/2006/relationships/hyperlink" Target="https://www.goodreads.com/book/show/216224290-the-mini-rough-guide-to-contemporary-film-classics" TargetMode="External"/><Relationship Id="rId4" Type="http://schemas.openxmlformats.org/officeDocument/2006/relationships/hyperlink" Target="https://www.goodreads.com/book/show/64633531-dk-eyewitness-france" TargetMode="External"/><Relationship Id="rId9" Type="http://schemas.openxmlformats.org/officeDocument/2006/relationships/hyperlink" Target="https://www.goodreads.com/book/show/55922803-the-anthropocene-reviewed" TargetMode="External"/><Relationship Id="rId5" Type="http://schemas.openxmlformats.org/officeDocument/2006/relationships/hyperlink" Target="https://www.goodreads.com/book/show/846937.The_Teachings_Of_Buddha" TargetMode="External"/><Relationship Id="rId6" Type="http://schemas.openxmlformats.org/officeDocument/2006/relationships/hyperlink" Target="https://www.goodreads.com/book/show/57194560-bollygeek?ac=1&amp;from_search=true&amp;qid=whRr8jUCKo&amp;rank=1" TargetMode="External"/><Relationship Id="rId7" Type="http://schemas.openxmlformats.org/officeDocument/2006/relationships/hyperlink" Target="https://www.goodreads.com/book/show/49858537-i-am-c-3po" TargetMode="External"/><Relationship Id="rId8" Type="http://schemas.openxmlformats.org/officeDocument/2006/relationships/hyperlink" Target="https://www.goodreads.com/book/show/55517946-the-etymologicon" TargetMode="External"/><Relationship Id="rId20" Type="http://schemas.openxmlformats.org/officeDocument/2006/relationships/hyperlink" Target="https://www.goodreads.com/book/show/38464941-slugfest" TargetMode="External"/><Relationship Id="rId22" Type="http://schemas.openxmlformats.org/officeDocument/2006/relationships/hyperlink" Target="https://www.biblio.com/book/voest-illustrated/d/1477431117" TargetMode="External"/><Relationship Id="rId21" Type="http://schemas.openxmlformats.org/officeDocument/2006/relationships/hyperlink" Target="https://www.goodreads.com/book/show/25053756-ultimate-family-visual-dictionary" TargetMode="External"/><Relationship Id="rId24" Type="http://schemas.openxmlformats.org/officeDocument/2006/relationships/hyperlink" Target="https://www.goodreads.com/book/show/216733966-the-many-lives-of-syeda-x" TargetMode="External"/><Relationship Id="rId23" Type="http://schemas.openxmlformats.org/officeDocument/2006/relationships/hyperlink" Target="https://www.goodreads.com/book/show/30736658-never-split-the-difference" TargetMode="External"/><Relationship Id="rId26" Type="http://schemas.openxmlformats.org/officeDocument/2006/relationships/hyperlink" Target="https://www.goodreads.com/book/show/35501528-india-and-communism?ref=nav_sb_ss_1_13" TargetMode="External"/><Relationship Id="rId25" Type="http://schemas.openxmlformats.org/officeDocument/2006/relationships/hyperlink" Target="https://www.goodreads.com/book/show/54968807-masala-lab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https://www.goodreads.com/book/show/42721114-imperialism-the-highest-stage-of-capitalism?ref=nav_sb_ss_1_13" TargetMode="External"/><Relationship Id="rId29" Type="http://schemas.openxmlformats.org/officeDocument/2006/relationships/vmlDrawing" Target="../drawings/vmlDrawing3.vml"/><Relationship Id="rId11" Type="http://schemas.openxmlformats.org/officeDocument/2006/relationships/hyperlink" Target="https://www.goodreads.com/book/show/51161266-periodic-table" TargetMode="External"/><Relationship Id="rId10" Type="http://schemas.openxmlformats.org/officeDocument/2006/relationships/hyperlink" Target="https://www.goodreads.com/book/show/43890744-taskmaster" TargetMode="External"/><Relationship Id="rId13" Type="http://schemas.openxmlformats.org/officeDocument/2006/relationships/hyperlink" Target="https://www.goodreads.com/book/show/4443234-indira-gandhi" TargetMode="External"/><Relationship Id="rId12" Type="http://schemas.openxmlformats.org/officeDocument/2006/relationships/hyperlink" Target="https://www.goodreads.com/book/show/59721028-midnight-musings" TargetMode="External"/><Relationship Id="rId15" Type="http://schemas.openxmlformats.org/officeDocument/2006/relationships/hyperlink" Target="https://www.goodreads.com/book/show/26361184-the-world-of-hrishikesh-mukherjee?ref=nav_sb_ss_1_13" TargetMode="External"/><Relationship Id="rId14" Type="http://schemas.openxmlformats.org/officeDocument/2006/relationships/hyperlink" Target="https://www.goodreads.com/book/show/40504114-everybody-loves-a-good-drought" TargetMode="External"/><Relationship Id="rId17" Type="http://schemas.openxmlformats.org/officeDocument/2006/relationships/hyperlink" Target="https://www.goodreads.com/book/show/15768906-history-of-early-india" TargetMode="External"/><Relationship Id="rId16" Type="http://schemas.openxmlformats.org/officeDocument/2006/relationships/hyperlink" Target="https://www.goodreads.com/book/show/39097926-indian-cultures-as-heritage" TargetMode="External"/><Relationship Id="rId19" Type="http://schemas.openxmlformats.org/officeDocument/2006/relationships/hyperlink" Target="https://www.goodreads.com/book/show/1050125.Bollywood_Dreams" TargetMode="External"/><Relationship Id="rId18" Type="http://schemas.openxmlformats.org/officeDocument/2006/relationships/hyperlink" Target="https://www.goodreads.com/book/show/5216342-the-anatomy-of-stor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dreads.com/book/show/899108.Bone_Vol_6" TargetMode="External"/><Relationship Id="rId42" Type="http://schemas.openxmlformats.org/officeDocument/2006/relationships/hyperlink" Target="https://www.goodreads.com/book/show/92144.Bone_Vol_5?ref=nav_sb_ss_1_10" TargetMode="External"/><Relationship Id="rId41" Type="http://schemas.openxmlformats.org/officeDocument/2006/relationships/hyperlink" Target="https://www.goodreads.com/book/show/106134.Bone_Vol_1" TargetMode="External"/><Relationship Id="rId44" Type="http://schemas.openxmlformats.org/officeDocument/2006/relationships/hyperlink" Target="https://www.goodreads.com/book/show/3174768-kari?ref=nav_sb_ss_1_13" TargetMode="External"/><Relationship Id="rId43" Type="http://schemas.openxmlformats.org/officeDocument/2006/relationships/hyperlink" Target="https://www.goodreads.com/book/show/28412217-bone" TargetMode="External"/><Relationship Id="rId46" Type="http://schemas.openxmlformats.org/officeDocument/2006/relationships/hyperlink" Target="https://www.goodreads.com/book/show/20320863-the-skull-rosary" TargetMode="External"/><Relationship Id="rId45" Type="http://schemas.openxmlformats.org/officeDocument/2006/relationships/hyperlink" Target="https://www.goodreads.com/book/show/34532356-ravanayan-volume-1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www.goodreads.com/book/show/25852959-archie-vol-1?ref=nav_sb_ss_1_13" TargetMode="External"/><Relationship Id="rId3" Type="http://schemas.openxmlformats.org/officeDocument/2006/relationships/hyperlink" Target="https://www.goodreads.com/book/show/22554204-lumberjanes-vol-1" TargetMode="External"/><Relationship Id="rId4" Type="http://schemas.openxmlformats.org/officeDocument/2006/relationships/hyperlink" Target="https://www.goodreads.com/book/show/19546047-hellboy-in-hell-vol-1" TargetMode="External"/><Relationship Id="rId9" Type="http://schemas.openxmlformats.org/officeDocument/2006/relationships/hyperlink" Target="https://www.goodreads.com/book/show/106151.Batman" TargetMode="External"/><Relationship Id="rId48" Type="http://schemas.openxmlformats.org/officeDocument/2006/relationships/hyperlink" Target="https://www.goodreads.com/book/show/57541.Palestine" TargetMode="External"/><Relationship Id="rId47" Type="http://schemas.openxmlformats.org/officeDocument/2006/relationships/hyperlink" Target="https://www.goodreads.com/book/show/44313716-saga-compendium-one" TargetMode="External"/><Relationship Id="rId49" Type="http://schemas.openxmlformats.org/officeDocument/2006/relationships/hyperlink" Target="https://www.goodreads.com/book/show/123617194-the-librarian-of-auschwitz?ref=nav_sb_ss_1_13" TargetMode="External"/><Relationship Id="rId5" Type="http://schemas.openxmlformats.org/officeDocument/2006/relationships/hyperlink" Target="https://www.goodreads.com/book/show/201306687-all-star-superman?ac=1&amp;from_search=true&amp;qid=iSxZvsCBO6&amp;rank=1" TargetMode="External"/><Relationship Id="rId6" Type="http://schemas.openxmlformats.org/officeDocument/2006/relationships/hyperlink" Target="https://www.goodreads.com/book/show/204642479-american-vampire?ref=nav_sb_ss_1_13" TargetMode="External"/><Relationship Id="rId7" Type="http://schemas.openxmlformats.org/officeDocument/2006/relationships/hyperlink" Target="https://www.goodreads.com/book/show/13228436-batgirl-volume-1" TargetMode="External"/><Relationship Id="rId8" Type="http://schemas.openxmlformats.org/officeDocument/2006/relationships/hyperlink" Target="https://www.goodreads.com/book/show/58921752-batman?ref=nav_sb_ss_1_13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www.goodreads.com/book/show/60311462-sauptik?ref=nav_sb_ss_1_13" TargetMode="External"/><Relationship Id="rId31" Type="http://schemas.openxmlformats.org/officeDocument/2006/relationships/hyperlink" Target="https://comicvine.gamespot.com/thor-by-dan-jurgens-and-john-romita-jr-4-volume-4/4000-258715/" TargetMode="External"/><Relationship Id="rId30" Type="http://schemas.openxmlformats.org/officeDocument/2006/relationships/hyperlink" Target="https://comicvine.gamespot.com/incredible-hulk-hide-in-plain-sight-1-tpb/4000-234867/" TargetMode="External"/><Relationship Id="rId74" Type="http://schemas.openxmlformats.org/officeDocument/2006/relationships/vmlDrawing" Target="../drawings/vmlDrawing4.vml"/><Relationship Id="rId33" Type="http://schemas.openxmlformats.org/officeDocument/2006/relationships/hyperlink" Target="https://www.goodreads.com/book/show/160562.Ultimate_X_Men_Vol_3" TargetMode="External"/><Relationship Id="rId32" Type="http://schemas.openxmlformats.org/officeDocument/2006/relationships/hyperlink" Target="https://www.goodreads.com/book/show/267794.Ultimate_X_Men_Vol_2" TargetMode="External"/><Relationship Id="rId35" Type="http://schemas.openxmlformats.org/officeDocument/2006/relationships/hyperlink" Target="https://www.goodreads.com/series/239877-x-men-ronin" TargetMode="External"/><Relationship Id="rId34" Type="http://schemas.openxmlformats.org/officeDocument/2006/relationships/hyperlink" Target="https://www.goodreads.com/book/show/703792.Ultimate_X_Men_Vol_4" TargetMode="External"/><Relationship Id="rId71" Type="http://schemas.openxmlformats.org/officeDocument/2006/relationships/hyperlink" Target="https://www.goodreads.com/book/show/60316207-adi-parva" TargetMode="External"/><Relationship Id="rId70" Type="http://schemas.openxmlformats.org/officeDocument/2006/relationships/hyperlink" Target="https://www.goodreads.com/book/show/568614.The_Barn_Owl_s_Wondrous_Capers" TargetMode="External"/><Relationship Id="rId37" Type="http://schemas.openxmlformats.org/officeDocument/2006/relationships/hyperlink" Target="https://www.goodreads.com/book/show/59021445-amulet-book-3" TargetMode="External"/><Relationship Id="rId36" Type="http://schemas.openxmlformats.org/officeDocument/2006/relationships/hyperlink" Target="https://www.goodreads.com/book/show/40211405-sabrina" TargetMode="External"/><Relationship Id="rId39" Type="http://schemas.openxmlformats.org/officeDocument/2006/relationships/hyperlink" Target="https://www.goodreads.com/book/show/106125.Bone_Vol_3" TargetMode="External"/><Relationship Id="rId38" Type="http://schemas.openxmlformats.org/officeDocument/2006/relationships/hyperlink" Target="https://www.goodreads.com/book/show/3760960-bone-vol-9" TargetMode="External"/><Relationship Id="rId62" Type="http://schemas.openxmlformats.org/officeDocument/2006/relationships/hyperlink" Target="https://www.goodreads.com/book/show/59652608-munkeeman" TargetMode="External"/><Relationship Id="rId61" Type="http://schemas.openxmlformats.org/officeDocument/2006/relationships/hyperlink" Target="https://www.goodreads.com/book/show/59652578-munkeeman" TargetMode="External"/><Relationship Id="rId20" Type="http://schemas.openxmlformats.org/officeDocument/2006/relationships/hyperlink" Target="https://www.goodreads.com/book/show/43020745-tintin-paperback-boxed-set-23-titles?ref=nav_sb_ss_1_13" TargetMode="External"/><Relationship Id="rId64" Type="http://schemas.openxmlformats.org/officeDocument/2006/relationships/hyperlink" Target="https://www.goodreads.com/book/show/22037447-satya-police" TargetMode="External"/><Relationship Id="rId63" Type="http://schemas.openxmlformats.org/officeDocument/2006/relationships/hyperlink" Target="https://www.goodreads.com/book/show/59652599-munkeeman" TargetMode="External"/><Relationship Id="rId22" Type="http://schemas.openxmlformats.org/officeDocument/2006/relationships/hyperlink" Target="https://www.goodreads.com/book/show/649731.Batman" TargetMode="External"/><Relationship Id="rId66" Type="http://schemas.openxmlformats.org/officeDocument/2006/relationships/hyperlink" Target="https://www.goodreads.com/book/show/871807.Calvin_and_Hobbes_2" TargetMode="External"/><Relationship Id="rId21" Type="http://schemas.openxmlformats.org/officeDocument/2006/relationships/hyperlink" Target="https://comicvine.gamespot.com/batman-joker-time/4050-33285/" TargetMode="External"/><Relationship Id="rId65" Type="http://schemas.openxmlformats.org/officeDocument/2006/relationships/hyperlink" Target="https://www.goodreads.com/book/show/982247.Calvin_and_Hobbes_3" TargetMode="External"/><Relationship Id="rId24" Type="http://schemas.openxmlformats.org/officeDocument/2006/relationships/hyperlink" Target="https://comicvine.gamespot.com/fantastic-four-flesh-and-stone-1-fantastic-four-fl/4000-259582/" TargetMode="External"/><Relationship Id="rId68" Type="http://schemas.openxmlformats.org/officeDocument/2006/relationships/hyperlink" Target="https://www.goodreads.com/book/show/28432395-caravan?ref=nav_sb_ss_1_13" TargetMode="External"/><Relationship Id="rId23" Type="http://schemas.openxmlformats.org/officeDocument/2006/relationships/hyperlink" Target="https://comicvine.gamespot.com/green-lantern-dragon-lord/4050-6978/" TargetMode="External"/><Relationship Id="rId67" Type="http://schemas.openxmlformats.org/officeDocument/2006/relationships/hyperlink" Target="https://www.goodreads.com/book/show/231199097-technicolour-lovers?ref=nav_sb_ss_1_13" TargetMode="External"/><Relationship Id="rId60" Type="http://schemas.openxmlformats.org/officeDocument/2006/relationships/hyperlink" Target="https://www.goodreads.com/book/show/28119719-chairman-meow-and-the-protectors-of-the-proletariat" TargetMode="External"/><Relationship Id="rId26" Type="http://schemas.openxmlformats.org/officeDocument/2006/relationships/hyperlink" Target="https://www.goodreads.com/en/book/show/5253773" TargetMode="External"/><Relationship Id="rId25" Type="http://schemas.openxmlformats.org/officeDocument/2006/relationships/hyperlink" Target="https://www.goodreads.com/book/show/555241.Jla_Jsa" TargetMode="External"/><Relationship Id="rId69" Type="http://schemas.openxmlformats.org/officeDocument/2006/relationships/hyperlink" Target="https://www.goodreads.com/book/show/27262909-munnu?ac=1&amp;from_search=true&amp;qid=n5Zw7dQccn&amp;rank=1" TargetMode="External"/><Relationship Id="rId28" Type="http://schemas.openxmlformats.org/officeDocument/2006/relationships/hyperlink" Target="https://www.goodreads.com/book/show/16982.Marvels" TargetMode="External"/><Relationship Id="rId27" Type="http://schemas.openxmlformats.org/officeDocument/2006/relationships/hyperlink" Target="https://comicvine.gamespot.com/sentinel-salvage/4050-37564/" TargetMode="External"/><Relationship Id="rId29" Type="http://schemas.openxmlformats.org/officeDocument/2006/relationships/hyperlink" Target="https://www.goodreads.com/book/show/40652575-marvel-knights-daredevil" TargetMode="External"/><Relationship Id="rId51" Type="http://schemas.openxmlformats.org/officeDocument/2006/relationships/hyperlink" Target="https://www.goodreads.com/book/show/59485252-fantastic-four?ref=nav_sb_ss_1_13" TargetMode="External"/><Relationship Id="rId50" Type="http://schemas.openxmlformats.org/officeDocument/2006/relationships/hyperlink" Target="https://www.goodreads.com/book/show/20898009-all-new-ghost-rider-vol-1?ref=nav_sb_ss_1_13" TargetMode="External"/><Relationship Id="rId53" Type="http://schemas.openxmlformats.org/officeDocument/2006/relationships/hyperlink" Target="https://www.goodreads.com/book/show/7296174-marvel-adventures-spider-man-volume-14" TargetMode="External"/><Relationship Id="rId52" Type="http://schemas.openxmlformats.org/officeDocument/2006/relationships/hyperlink" Target="https://www.goodreads.com/book/show/9531534-the-invincible-iron-man-vol-5" TargetMode="External"/><Relationship Id="rId11" Type="http://schemas.openxmlformats.org/officeDocument/2006/relationships/hyperlink" Target="https://www.goodreads.com/book/show/8477057-daytripper" TargetMode="External"/><Relationship Id="rId55" Type="http://schemas.openxmlformats.org/officeDocument/2006/relationships/hyperlink" Target="https://www.goodreads.com/book/show/6877571-the-uncanny-x-men" TargetMode="External"/><Relationship Id="rId10" Type="http://schemas.openxmlformats.org/officeDocument/2006/relationships/hyperlink" Target="https://www.goodreads.com/book/show/27209297-batman" TargetMode="External"/><Relationship Id="rId54" Type="http://schemas.openxmlformats.org/officeDocument/2006/relationships/hyperlink" Target="https://www.goodreads.com/book/show/53094591-hilda-and-the-troll" TargetMode="External"/><Relationship Id="rId13" Type="http://schemas.openxmlformats.org/officeDocument/2006/relationships/hyperlink" Target="https://www.goodreads.com/book/show/201306681-far-sector?ref=nav_sb_ss_1_13" TargetMode="External"/><Relationship Id="rId57" Type="http://schemas.openxmlformats.org/officeDocument/2006/relationships/hyperlink" Target="https://www.goodreads.com/book/show/7779197-the-uncanny-x-men?ac=1&amp;from_search=true&amp;qid=LY0wd2sM5x&amp;rank=1" TargetMode="External"/><Relationship Id="rId12" Type="http://schemas.openxmlformats.org/officeDocument/2006/relationships/hyperlink" Target="https://www.goodreads.com/book/show/221774338-dc?ref=nav_sb_ss_1_13" TargetMode="External"/><Relationship Id="rId56" Type="http://schemas.openxmlformats.org/officeDocument/2006/relationships/hyperlink" Target="https://www.goodreads.com/book/show/8508464-the-uncanny-x-men" TargetMode="External"/><Relationship Id="rId15" Type="http://schemas.openxmlformats.org/officeDocument/2006/relationships/hyperlink" Target="https://www.goodreads.com/book/show/39208001-mister-miracle" TargetMode="External"/><Relationship Id="rId59" Type="http://schemas.openxmlformats.org/officeDocument/2006/relationships/hyperlink" Target="https://www.goodreads.com/book/show/15195.The_Complete_Maus" TargetMode="External"/><Relationship Id="rId14" Type="http://schemas.openxmlformats.org/officeDocument/2006/relationships/hyperlink" Target="https://www.goodreads.com/book/show/203166770-joker?ref=nav_sb_ss_1_13" TargetMode="External"/><Relationship Id="rId58" Type="http://schemas.openxmlformats.org/officeDocument/2006/relationships/hyperlink" Target="https://www.goodreads.com/book/show/568612.Corridor?ref=nav_sb_ss_1_13" TargetMode="External"/><Relationship Id="rId17" Type="http://schemas.openxmlformats.org/officeDocument/2006/relationships/hyperlink" Target="https://www.goodreads.com/book/show/59854151-supergirl" TargetMode="External"/><Relationship Id="rId16" Type="http://schemas.openxmlformats.org/officeDocument/2006/relationships/hyperlink" Target="https://www.goodreads.com/book/show/51996742-sandman-box-set" TargetMode="External"/><Relationship Id="rId19" Type="http://schemas.openxmlformats.org/officeDocument/2006/relationships/hyperlink" Target="https://www.goodreads.com/book/show/45889346-watchmen-international" TargetMode="External"/><Relationship Id="rId18" Type="http://schemas.openxmlformats.org/officeDocument/2006/relationships/hyperlink" Target="https://www.goodreads.com/book/show/31224381-superman-vol-1?ac=1&amp;from_search=true&amp;qid=R5eORFbl46&amp;rank=1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comicvine.gamespot.com/fantastic-four-520-rising-storm-part-1/4000-150992/" TargetMode="External"/><Relationship Id="rId194" Type="http://schemas.openxmlformats.org/officeDocument/2006/relationships/hyperlink" Target="https://comicvine.gamespot.com/fantastic-four-524-tag/4000-162122/" TargetMode="External"/><Relationship Id="rId193" Type="http://schemas.openxmlformats.org/officeDocument/2006/relationships/hyperlink" Target="https://comicvine.gamespot.com/fantastic-four-523-rising-storm-part-4/4000-162121/" TargetMode="External"/><Relationship Id="rId192" Type="http://schemas.openxmlformats.org/officeDocument/2006/relationships/hyperlink" Target="https://comicvine.gamespot.com/fantastic-four-522-rising-storm-part-3/4000-162120/" TargetMode="External"/><Relationship Id="rId191" Type="http://schemas.openxmlformats.org/officeDocument/2006/relationships/hyperlink" Target="https://comicvine.gamespot.com/fantastic-four-521-rising-storm-part-2/4000-162119/" TargetMode="External"/><Relationship Id="rId187" Type="http://schemas.openxmlformats.org/officeDocument/2006/relationships/hyperlink" Target="https://comicvine.gamespot.com/fantastic-four-513-spider-sense-part-2/4000-139109/" TargetMode="External"/><Relationship Id="rId186" Type="http://schemas.openxmlformats.org/officeDocument/2006/relationships/hyperlink" Target="https://comicvine.gamespot.com/fantastic-four-513-spider-sense-part-2/4000-139109/" TargetMode="External"/><Relationship Id="rId185" Type="http://schemas.openxmlformats.org/officeDocument/2006/relationships/hyperlink" Target="https://comicvine.gamespot.com/fantastic-four-511-hereafter-part-3/4000-139107/" TargetMode="External"/><Relationship Id="rId184" Type="http://schemas.openxmlformats.org/officeDocument/2006/relationships/hyperlink" Target="https://comicvine.gamespot.com/fantastic-four-510-hereafter-part-2/4000-139106/" TargetMode="External"/><Relationship Id="rId189" Type="http://schemas.openxmlformats.org/officeDocument/2006/relationships/hyperlink" Target="https://comicvine.gamespot.com/fantastic-four-519-fourtitude-part-3-of-3/4000-139113/" TargetMode="External"/><Relationship Id="rId188" Type="http://schemas.openxmlformats.org/officeDocument/2006/relationships/hyperlink" Target="https://comicvine.gamespot.com/fantastic-four-517-fortitude-part-1-of-3/4000-132606/" TargetMode="External"/><Relationship Id="rId183" Type="http://schemas.openxmlformats.org/officeDocument/2006/relationships/hyperlink" Target="https://comicvine.gamespot.com/fantastic-four-509-hereafter-part-1/4000-120361/" TargetMode="External"/><Relationship Id="rId182" Type="http://schemas.openxmlformats.org/officeDocument/2006/relationships/hyperlink" Target="https://comicvine.gamespot.com/fantastic-four-unthinkable/4045-47439/" TargetMode="External"/><Relationship Id="rId181" Type="http://schemas.openxmlformats.org/officeDocument/2006/relationships/hyperlink" Target="https://comicvine.gamespot.com/fantastic-four-64-sentient-part-3/4000-139078/" TargetMode="External"/><Relationship Id="rId180" Type="http://schemas.openxmlformats.org/officeDocument/2006/relationships/hyperlink" Target="https://comicvine.gamespot.com/fantastic-four-63-sentient-part-2/4000-139077/" TargetMode="External"/><Relationship Id="rId176" Type="http://schemas.openxmlformats.org/officeDocument/2006/relationships/hyperlink" Target="https://en.wikipedia.org/wiki/Tarzan_vs._Predator:_At_the_Earth%27s_Core" TargetMode="External"/><Relationship Id="rId297" Type="http://schemas.openxmlformats.org/officeDocument/2006/relationships/hyperlink" Target="https://comicvine.gamespot.com/the-supergirl-from-krypton/4045-56607/" TargetMode="External"/><Relationship Id="rId175" Type="http://schemas.openxmlformats.org/officeDocument/2006/relationships/hyperlink" Target="https://en.wikipedia.org/wiki/Tarzan_vs._Predator:_At_the_Earth%27s_Core" TargetMode="External"/><Relationship Id="rId296" Type="http://schemas.openxmlformats.org/officeDocument/2006/relationships/hyperlink" Target="https://comicvine.gamespot.com/the-supergirl-from-krypton/4045-56607/" TargetMode="External"/><Relationship Id="rId174" Type="http://schemas.openxmlformats.org/officeDocument/2006/relationships/hyperlink" Target="https://comicvine.gamespot.com/edgar-rice-burroughs-tarzan-of-the-apes-167-incred/4000-9346/" TargetMode="External"/><Relationship Id="rId295" Type="http://schemas.openxmlformats.org/officeDocument/2006/relationships/hyperlink" Target="https://comicvine.gamespot.com/action-comics-820-wail-of-the-banshee/4000-113170/" TargetMode="External"/><Relationship Id="rId173" Type="http://schemas.openxmlformats.org/officeDocument/2006/relationships/hyperlink" Target="https://comicvine.gamespot.com/edgar-rice-burroughs-tarzan-of-the-apes-166-tarzan/4000-9286/" TargetMode="External"/><Relationship Id="rId294" Type="http://schemas.openxmlformats.org/officeDocument/2006/relationships/hyperlink" Target="https://comicvine.gamespot.com/action-comics-819-sodom-and-gomorrah/4000-113173/" TargetMode="External"/><Relationship Id="rId179" Type="http://schemas.openxmlformats.org/officeDocument/2006/relationships/hyperlink" Target="https://comicvine.gamespot.com/fantastic-four-62-sentient-part-1/4000-139076/" TargetMode="External"/><Relationship Id="rId178" Type="http://schemas.openxmlformats.org/officeDocument/2006/relationships/hyperlink" Target="https://comicvine.gamespot.com/elektra-the-hand-5-the-last-straw/4000-104436/" TargetMode="External"/><Relationship Id="rId299" Type="http://schemas.openxmlformats.org/officeDocument/2006/relationships/hyperlink" Target="https://comicvine.gamespot.com/the-supergirl-from-krypton/4045-56607/" TargetMode="External"/><Relationship Id="rId177" Type="http://schemas.openxmlformats.org/officeDocument/2006/relationships/hyperlink" Target="http://www.comicvine.com/elektra-the-hand-2-the-first-blow/4000-104433/" TargetMode="External"/><Relationship Id="rId298" Type="http://schemas.openxmlformats.org/officeDocument/2006/relationships/hyperlink" Target="https://comicvine.gamespot.com/the-supergirl-from-krypton/4045-56607/" TargetMode="External"/><Relationship Id="rId198" Type="http://schemas.openxmlformats.org/officeDocument/2006/relationships/hyperlink" Target="https://comicvine.gamespot.com/marvel-adventures-fantastic-four-5-shortcut/4000-118823/" TargetMode="External"/><Relationship Id="rId197" Type="http://schemas.openxmlformats.org/officeDocument/2006/relationships/hyperlink" Target="https://comicvine.gamespot.com/marvel-adventures-fantastic-four-2-a-plague-of-one/4000-110455/" TargetMode="External"/><Relationship Id="rId196" Type="http://schemas.openxmlformats.org/officeDocument/2006/relationships/hyperlink" Target="https://comicvine.gamespot.com/marvel-adventures-fantastic-four-4-his-latest-flam/4000-118216/" TargetMode="External"/><Relationship Id="rId195" Type="http://schemas.openxmlformats.org/officeDocument/2006/relationships/hyperlink" Target="https://comicvine.gamespot.com/marvel-adventures-fantastic-four-3-the-diabolical-/4000-115603/" TargetMode="External"/><Relationship Id="rId199" Type="http://schemas.openxmlformats.org/officeDocument/2006/relationships/hyperlink" Target="https://comicvine.gamespot.com/marvel-adventures-fantastic-four-7-women-are-from-/4000-118826/" TargetMode="External"/><Relationship Id="rId150" Type="http://schemas.openxmlformats.org/officeDocument/2006/relationships/hyperlink" Target="https://comicvine.gamespot.com/cartoon-cartoons-5-the-delivery-boy-scream-a-littl/4000-271683/" TargetMode="External"/><Relationship Id="rId271" Type="http://schemas.openxmlformats.org/officeDocument/2006/relationships/hyperlink" Target="https://comicvine.gamespot.com/superman-1-heart-of-stone/4000-27645/" TargetMode="External"/><Relationship Id="rId392" Type="http://schemas.openxmlformats.org/officeDocument/2006/relationships/hyperlink" Target="https://comicvine.gamespot.com/x-men-unlimited-44-can-they-suffer/4000-90016/" TargetMode="External"/><Relationship Id="rId270" Type="http://schemas.openxmlformats.org/officeDocument/2006/relationships/hyperlink" Target="https://comicvine.gamespot.com/spider-man-india/4050-22673/" TargetMode="External"/><Relationship Id="rId391" Type="http://schemas.openxmlformats.org/officeDocument/2006/relationships/hyperlink" Target="https://comicvine.gamespot.com/wolverine-180-everythings-zen/4000-93791/" TargetMode="External"/><Relationship Id="rId390" Type="http://schemas.openxmlformats.org/officeDocument/2006/relationships/hyperlink" Target="https://comicvine.gamespot.com/the-uncanny-x-men-421-rules-of-engagement-pt-1/4000-108246/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comicvine.gamespot.com/batman-455-identity-crisis-part-one/4000-33268/" TargetMode="External"/><Relationship Id="rId3" Type="http://schemas.openxmlformats.org/officeDocument/2006/relationships/hyperlink" Target="https://comicvine.gamespot.com/batman-456-identity-crisis-part-two-without-fear-o/4000-33384/" TargetMode="External"/><Relationship Id="rId149" Type="http://schemas.openxmlformats.org/officeDocument/2006/relationships/hyperlink" Target="https://comicvine.gamespot.com/dexters-laboratory-23/4000-240668/" TargetMode="External"/><Relationship Id="rId4" Type="http://schemas.openxmlformats.org/officeDocument/2006/relationships/hyperlink" Target="https://comicvine.gamespot.com/batman-457-master-of-fear/4000-33486/" TargetMode="External"/><Relationship Id="rId148" Type="http://schemas.openxmlformats.org/officeDocument/2006/relationships/hyperlink" Target="https://comicvine.gamespot.com/batman-the-dark-knight-1-the-dark-knight-returns/4000-26264/" TargetMode="External"/><Relationship Id="rId269" Type="http://schemas.openxmlformats.org/officeDocument/2006/relationships/hyperlink" Target="https://comicvine.gamespot.com/spider-man-india/4050-22673/" TargetMode="External"/><Relationship Id="rId9" Type="http://schemas.openxmlformats.org/officeDocument/2006/relationships/hyperlink" Target="https://comicvine.gamespot.com/archies-story-and-game-digest-magazine-16/4000-938125/" TargetMode="External"/><Relationship Id="rId143" Type="http://schemas.openxmlformats.org/officeDocument/2006/relationships/hyperlink" Target="https://comicvine.gamespot.com/batman-gotham-adventures-18-like-a-bat-outta-gotha/4000-46124/" TargetMode="External"/><Relationship Id="rId264" Type="http://schemas.openxmlformats.org/officeDocument/2006/relationships/hyperlink" Target="https://comicvine.gamespot.com/marvel-adventures-spider-man-4-goom-got-game/4000-105976/" TargetMode="External"/><Relationship Id="rId385" Type="http://schemas.openxmlformats.org/officeDocument/2006/relationships/hyperlink" Target="https://comicvine.gamespot.com/the-ultimates-3-21st-century-boy/4000-120038/" TargetMode="External"/><Relationship Id="rId142" Type="http://schemas.openxmlformats.org/officeDocument/2006/relationships/hyperlink" Target="https://comicvine.gamespot.com/batman-gotham-adventures-5-polar-opposites/4000-45419/" TargetMode="External"/><Relationship Id="rId263" Type="http://schemas.openxmlformats.org/officeDocument/2006/relationships/hyperlink" Target="https://comicvine.gamespot.com/operation-octopus/4045-57101/" TargetMode="External"/><Relationship Id="rId384" Type="http://schemas.openxmlformats.org/officeDocument/2006/relationships/hyperlink" Target="https://comicvine.gamespot.com/ultimate-x-men-10-in-the-heart-of-darkness/4000-53573/" TargetMode="External"/><Relationship Id="rId141" Type="http://schemas.openxmlformats.org/officeDocument/2006/relationships/hyperlink" Target="https://comicvine.gamespot.com/batman-gotham-adventures-9-a-league-of-his-own/4000-134935/" TargetMode="External"/><Relationship Id="rId262" Type="http://schemas.openxmlformats.org/officeDocument/2006/relationships/hyperlink" Target="https://comicvine.gamespot.com/peter-parker-spider-man-37-snow-day/4000-68514/" TargetMode="External"/><Relationship Id="rId383" Type="http://schemas.openxmlformats.org/officeDocument/2006/relationships/hyperlink" Target="https://comicvine.gamespot.com/ultimate-x-men-9-no-safe-haven/4000-53572/" TargetMode="External"/><Relationship Id="rId140" Type="http://schemas.openxmlformats.org/officeDocument/2006/relationships/hyperlink" Target="https://comicvine.gamespot.com/batman-gotham-adventures-4-claws/4000-45355/" TargetMode="External"/><Relationship Id="rId261" Type="http://schemas.openxmlformats.org/officeDocument/2006/relationships/hyperlink" Target="https://comicvine.gamespot.com/spider-man-chapter-one-9/4000-45944/" TargetMode="External"/><Relationship Id="rId382" Type="http://schemas.openxmlformats.org/officeDocument/2006/relationships/hyperlink" Target="https://comicvine.gamespot.com/ultimate-x-men-8-first-strike/4000-53571/" TargetMode="External"/><Relationship Id="rId5" Type="http://schemas.openxmlformats.org/officeDocument/2006/relationships/hyperlink" Target="https://comicvine.gamespot.com/archie-504/4000-151556/" TargetMode="External"/><Relationship Id="rId147" Type="http://schemas.openxmlformats.org/officeDocument/2006/relationships/hyperlink" Target="https://comicvine.gamespot.com/batman-gotham-adventures-26-in-arms/4000-46387/" TargetMode="External"/><Relationship Id="rId268" Type="http://schemas.openxmlformats.org/officeDocument/2006/relationships/hyperlink" Target="https://comicvine.gamespot.com/spider-man-india/4050-22673/" TargetMode="External"/><Relationship Id="rId389" Type="http://schemas.openxmlformats.org/officeDocument/2006/relationships/hyperlink" Target="https://comicvine.gamespot.com/the-uncanny-x-men-dominant-species/4045-57178/" TargetMode="External"/><Relationship Id="rId6" Type="http://schemas.openxmlformats.org/officeDocument/2006/relationships/hyperlink" Target="https://comicvine.gamespot.com/archie-515/4000-172008/" TargetMode="External"/><Relationship Id="rId146" Type="http://schemas.openxmlformats.org/officeDocument/2006/relationships/hyperlink" Target="https://comicvine.gamespot.com/batman-gotham-adventures-23-do-the-wrong-thing/4000-46335/" TargetMode="External"/><Relationship Id="rId267" Type="http://schemas.openxmlformats.org/officeDocument/2006/relationships/hyperlink" Target="https://comicvine.gamespot.com/marvel-adventures-spider-man-7-vulture-hunt/4000-106017/" TargetMode="External"/><Relationship Id="rId388" Type="http://schemas.openxmlformats.org/officeDocument/2006/relationships/hyperlink" Target="https://comicvine.gamespot.com/the-uncanny-x-men-dominant-species/4045-57178/" TargetMode="External"/><Relationship Id="rId7" Type="http://schemas.openxmlformats.org/officeDocument/2006/relationships/hyperlink" Target="https://comicvine.gamespot.com/archie-friends-66/4000-154052/" TargetMode="External"/><Relationship Id="rId145" Type="http://schemas.openxmlformats.org/officeDocument/2006/relationships/hyperlink" Target="https://comicvine.gamespot.com/the-batman-and-robin-adventures-8-harley-and-ivy-a/4000-42569/" TargetMode="External"/><Relationship Id="rId266" Type="http://schemas.openxmlformats.org/officeDocument/2006/relationships/hyperlink" Target="https://comicvine.gamespot.com/marvel-adventures-spider-man-6-picture-perfect-per/4000-121357/" TargetMode="External"/><Relationship Id="rId387" Type="http://schemas.openxmlformats.org/officeDocument/2006/relationships/hyperlink" Target="https://comicvine.gamespot.com/the-uncanny-x-men-dominant-species/4045-57178/" TargetMode="External"/><Relationship Id="rId8" Type="http://schemas.openxmlformats.org/officeDocument/2006/relationships/hyperlink" Target="https://comicvine.gamespot.com/archies-double-digest-magazine-123/4000-204064/" TargetMode="External"/><Relationship Id="rId144" Type="http://schemas.openxmlformats.org/officeDocument/2006/relationships/hyperlink" Target="https://comicvine.gamespot.com/batman-gotham-adventures-11-the-oldest-one-in-the-/4000-45808/" TargetMode="External"/><Relationship Id="rId265" Type="http://schemas.openxmlformats.org/officeDocument/2006/relationships/hyperlink" Target="https://comicvine.gamespot.com/marvel-adventures-spider-man-5-power-struggle/4000-121353/" TargetMode="External"/><Relationship Id="rId386" Type="http://schemas.openxmlformats.org/officeDocument/2006/relationships/hyperlink" Target="https://comicvine.gamespot.com/the-uncanny-x-men-dominant-species/4045-57178/" TargetMode="External"/><Relationship Id="rId260" Type="http://schemas.openxmlformats.org/officeDocument/2006/relationships/hyperlink" Target="https://comicvine.gamespot.com/spider-girl-40-a-death-in-the-family/4000-116509/" TargetMode="External"/><Relationship Id="rId381" Type="http://schemas.openxmlformats.org/officeDocument/2006/relationships/hyperlink" Target="https://comicvine.gamespot.com/ultimate-x-men-7-return-to-weapon-x/4000-53570/" TargetMode="External"/><Relationship Id="rId380" Type="http://schemas.openxmlformats.org/officeDocument/2006/relationships/hyperlink" Target="https://comicvine.gamespot.com/ultimate-x-men-6-invasion/4000-53569/" TargetMode="External"/><Relationship Id="rId139" Type="http://schemas.openxmlformats.org/officeDocument/2006/relationships/hyperlink" Target="https://comicvine.gamespot.com/the-batman-and-robin-adventures-12-to-live-and-die/4000-42951/" TargetMode="External"/><Relationship Id="rId138" Type="http://schemas.openxmlformats.org/officeDocument/2006/relationships/hyperlink" Target="https://comicvine.gamespot.com/the-batman-and-robin-adventures-23-crocodile-tears/4000-44160/" TargetMode="External"/><Relationship Id="rId259" Type="http://schemas.openxmlformats.org/officeDocument/2006/relationships/hyperlink" Target="https://comicvine.gamespot.com/spider-girl-39-duty-calls/4000-116508/" TargetMode="External"/><Relationship Id="rId137" Type="http://schemas.openxmlformats.org/officeDocument/2006/relationships/hyperlink" Target="https://comicvine.gamespot.com/the-batman-and-robin-adventures-16-it-takes-a-cat/4000-43455/" TargetMode="External"/><Relationship Id="rId258" Type="http://schemas.openxmlformats.org/officeDocument/2006/relationships/hyperlink" Target="https://comicvine.gamespot.com/spider-girl-38-a-new-lease-on-life/4000-116507/" TargetMode="External"/><Relationship Id="rId379" Type="http://schemas.openxmlformats.org/officeDocument/2006/relationships/hyperlink" Target="https://comicvine.gamespot.com/ultimate-spider-man-4-with-great-power/4000-51622/" TargetMode="External"/><Relationship Id="rId132" Type="http://schemas.openxmlformats.org/officeDocument/2006/relationships/hyperlink" Target="https://comicvine.gamespot.com/the-batman-strikes-6-the-cats-prize/4000-100895/" TargetMode="External"/><Relationship Id="rId253" Type="http://schemas.openxmlformats.org/officeDocument/2006/relationships/hyperlink" Target="https://comicvine.gamespot.com/planetary-5-the-good-doctor/4000-54532/" TargetMode="External"/><Relationship Id="rId374" Type="http://schemas.openxmlformats.org/officeDocument/2006/relationships/hyperlink" Target="https://comicvine.gamespot.com/ultimate-spider-man-43-help/4000-110201/" TargetMode="External"/><Relationship Id="rId495" Type="http://schemas.openxmlformats.org/officeDocument/2006/relationships/hyperlink" Target="https://comicvine.gamespot.com/doom-patrol/4050-3786/" TargetMode="External"/><Relationship Id="rId131" Type="http://schemas.openxmlformats.org/officeDocument/2006/relationships/hyperlink" Target="https://comicvine.gamespot.com/the-batman-strikes-5-deadly-partner/4000-97913/" TargetMode="External"/><Relationship Id="rId252" Type="http://schemas.openxmlformats.org/officeDocument/2006/relationships/hyperlink" Target="http://www.comicvine.com/planetary-4-strange-harbours/4000-54531/" TargetMode="External"/><Relationship Id="rId373" Type="http://schemas.openxmlformats.org/officeDocument/2006/relationships/hyperlink" Target="https://comicvine.gamespot.com/ultimate-spider-man-54-hollywood-part-1/4000-108075/" TargetMode="External"/><Relationship Id="rId494" Type="http://schemas.openxmlformats.org/officeDocument/2006/relationships/hyperlink" Target="https://comicvine.gamespot.com/doom-patrol/4050-3786/" TargetMode="External"/><Relationship Id="rId130" Type="http://schemas.openxmlformats.org/officeDocument/2006/relationships/hyperlink" Target="https://comicvine.gamespot.com/the-batman-strikes-4-without-a-chance/4000-97912/" TargetMode="External"/><Relationship Id="rId251" Type="http://schemas.openxmlformats.org/officeDocument/2006/relationships/hyperlink" Target="http://www.comicvine.com/planetary-2-island/4000-105479/" TargetMode="External"/><Relationship Id="rId372" Type="http://schemas.openxmlformats.org/officeDocument/2006/relationships/hyperlink" Target="https://comicvine.gamespot.com/ultimate-spider-man-42-temptations/4000-110202/" TargetMode="External"/><Relationship Id="rId493" Type="http://schemas.openxmlformats.org/officeDocument/2006/relationships/hyperlink" Target="https://comicvine.gamespot.com/doom-patrol/4050-3786/" TargetMode="External"/><Relationship Id="rId250" Type="http://schemas.openxmlformats.org/officeDocument/2006/relationships/hyperlink" Target="http://www.comicvine.com/planetary-1-all-over-the-world/4000-54528/" TargetMode="External"/><Relationship Id="rId371" Type="http://schemas.openxmlformats.org/officeDocument/2006/relationships/hyperlink" Target="https://comicvine.gamespot.com/ultimate-spider-man-41-the-letter/4000-110203/" TargetMode="External"/><Relationship Id="rId492" Type="http://schemas.openxmlformats.org/officeDocument/2006/relationships/hyperlink" Target="https://comicvine.gamespot.com/doom-patrol/4050-3786/" TargetMode="External"/><Relationship Id="rId136" Type="http://schemas.openxmlformats.org/officeDocument/2006/relationships/hyperlink" Target="https://comicvine.gamespot.com/the-batman-and-robin-adventures-10-blood-of-the-de/4000-42767/" TargetMode="External"/><Relationship Id="rId257" Type="http://schemas.openxmlformats.org/officeDocument/2006/relationships/hyperlink" Target="https://comicvine.gamespot.com/spider-girl-37-betrayed/4000-116505/" TargetMode="External"/><Relationship Id="rId378" Type="http://schemas.openxmlformats.org/officeDocument/2006/relationships/hyperlink" Target="https://comicvine.gamespot.com/ultimate-spider-man-3-wannabe/4000-51621/" TargetMode="External"/><Relationship Id="rId499" Type="http://schemas.openxmlformats.org/officeDocument/2006/relationships/hyperlink" Target="https://comicvine.gamespot.com/doom-patrol/4050-3786/" TargetMode="External"/><Relationship Id="rId135" Type="http://schemas.openxmlformats.org/officeDocument/2006/relationships/hyperlink" Target="https://comicvine.gamespot.com/the-batman-and-robin-adventures-4-bird-cage/4000-42059/" TargetMode="External"/><Relationship Id="rId256" Type="http://schemas.openxmlformats.org/officeDocument/2006/relationships/hyperlink" Target="http://www.comicvine.com/spider-girl-36-getting-involved/4000-116504" TargetMode="External"/><Relationship Id="rId377" Type="http://schemas.openxmlformats.org/officeDocument/2006/relationships/hyperlink" Target="https://comicvine.gamespot.com/ultimate-spider-man-2-growing-pains/4000-51620/" TargetMode="External"/><Relationship Id="rId498" Type="http://schemas.openxmlformats.org/officeDocument/2006/relationships/hyperlink" Target="https://comicvine.gamespot.com/doom-patrol/4050-3786/" TargetMode="External"/><Relationship Id="rId134" Type="http://schemas.openxmlformats.org/officeDocument/2006/relationships/hyperlink" Target="https://comicvine.gamespot.com/the-batman-strikes-8-firefall/4000-100897/" TargetMode="External"/><Relationship Id="rId255" Type="http://schemas.openxmlformats.org/officeDocument/2006/relationships/hyperlink" Target="https://comicvine.gamespot.com/spider-girl-7-secrets/4000-45784/" TargetMode="External"/><Relationship Id="rId376" Type="http://schemas.openxmlformats.org/officeDocument/2006/relationships/hyperlink" Target="https://comicvine.gamespot.com/ultimate-spider-man-1-powerless/4000-51619/" TargetMode="External"/><Relationship Id="rId497" Type="http://schemas.openxmlformats.org/officeDocument/2006/relationships/hyperlink" Target="https://comicvine.gamespot.com/doom-patrol/4050-3786/" TargetMode="External"/><Relationship Id="rId133" Type="http://schemas.openxmlformats.org/officeDocument/2006/relationships/hyperlink" Target="https://comicvine.gamespot.com/the-batman-strikes-7-icestorm/4000-100896/" TargetMode="External"/><Relationship Id="rId254" Type="http://schemas.openxmlformats.org/officeDocument/2006/relationships/hyperlink" Target="https://comicvine.gamespot.com/spider-girl-6-look-out-for-ladyhawk/4000-45735/" TargetMode="External"/><Relationship Id="rId375" Type="http://schemas.openxmlformats.org/officeDocument/2006/relationships/hyperlink" Target="https://comicvine.gamespot.com/ultimate-spider-man-44-tampered/4000-110200/" TargetMode="External"/><Relationship Id="rId496" Type="http://schemas.openxmlformats.org/officeDocument/2006/relationships/hyperlink" Target="https://comicvine.gamespot.com/doom-patrol/4050-3786/" TargetMode="External"/><Relationship Id="rId172" Type="http://schemas.openxmlformats.org/officeDocument/2006/relationships/hyperlink" Target="https://comicvine.gamespot.com/edgar-rice-burroughs-tarzan-of-the-apes-164-the-li/4000-9145/" TargetMode="External"/><Relationship Id="rId293" Type="http://schemas.openxmlformats.org/officeDocument/2006/relationships/hyperlink" Target="https://comicvine.gamespot.com/action-comics-818-enemies-as-numerous-as-grains-of/4000-113196/" TargetMode="External"/><Relationship Id="rId171" Type="http://schemas.openxmlformats.org/officeDocument/2006/relationships/hyperlink" Target="https://comicvine.gamespot.com/edgar-rice-burroughs-tarzan-of-the-apes-157-the-be/4000-8485/" TargetMode="External"/><Relationship Id="rId292" Type="http://schemas.openxmlformats.org/officeDocument/2006/relationships/hyperlink" Target="https://comicvine.gamespot.com/action-comics-817-weapons-of-revelation/4000-113244/" TargetMode="External"/><Relationship Id="rId170" Type="http://schemas.openxmlformats.org/officeDocument/2006/relationships/hyperlink" Target="https://comicvine.gamespot.com/dexters-laboratory-27-whos-asking/4000-240671/" TargetMode="External"/><Relationship Id="rId291" Type="http://schemas.openxmlformats.org/officeDocument/2006/relationships/hyperlink" Target="https://comicvine.gamespot.com/action-comics-814-another-day-at-the-office/4000-113272/" TargetMode="External"/><Relationship Id="rId290" Type="http://schemas.openxmlformats.org/officeDocument/2006/relationships/hyperlink" Target="https://comicvine.gamespot.com/superman-birthright/4050-18926/" TargetMode="External"/><Relationship Id="rId165" Type="http://schemas.openxmlformats.org/officeDocument/2006/relationships/hyperlink" Target="https://comicvine.gamespot.com/legends-of-the-dc-universe-38-tragedy-of-the-trait/4000-66689/" TargetMode="External"/><Relationship Id="rId286" Type="http://schemas.openxmlformats.org/officeDocument/2006/relationships/hyperlink" Target="https://comicvine.gamespot.com/superman-birthright/4050-18926/" TargetMode="External"/><Relationship Id="rId164" Type="http://schemas.openxmlformats.org/officeDocument/2006/relationships/hyperlink" Target="https://comicvine.gamespot.com/the-flash-177-event-horizion/4000-84891/" TargetMode="External"/><Relationship Id="rId285" Type="http://schemas.openxmlformats.org/officeDocument/2006/relationships/hyperlink" Target="https://comicvine.gamespot.com/superman-the-man-of-steel-103-what-he-didnt-do/4000-115276/" TargetMode="External"/><Relationship Id="rId163" Type="http://schemas.openxmlformats.org/officeDocument/2006/relationships/hyperlink" Target="https://comicvine.gamespot.com/green-lantern-127-burning-desire/4000-46397/" TargetMode="External"/><Relationship Id="rId284" Type="http://schemas.openxmlformats.org/officeDocument/2006/relationships/hyperlink" Target="https://comicvine.gamespot.com/superman-birthright/4050-18926/" TargetMode="External"/><Relationship Id="rId162" Type="http://schemas.openxmlformats.org/officeDocument/2006/relationships/hyperlink" Target="https://comicvine.gamespot.com/dc-first-flashsuperman-1-speeding-bullets/4000-199171/" TargetMode="External"/><Relationship Id="rId283" Type="http://schemas.openxmlformats.org/officeDocument/2006/relationships/hyperlink" Target="https://comicvine.gamespot.com/adventures-of-superman-607-inner-demon/4000-89263/" TargetMode="External"/><Relationship Id="rId169" Type="http://schemas.openxmlformats.org/officeDocument/2006/relationships/hyperlink" Target="https://comicvine.gamespot.com/justice-league-identity-crisis/4045-48398/" TargetMode="External"/><Relationship Id="rId168" Type="http://schemas.openxmlformats.org/officeDocument/2006/relationships/hyperlink" Target="https://comicvine.gamespot.com/justice-league-identity-crisis/4045-48398/" TargetMode="External"/><Relationship Id="rId289" Type="http://schemas.openxmlformats.org/officeDocument/2006/relationships/hyperlink" Target="https://comicvine.gamespot.com/superman-birthright/4050-18926/" TargetMode="External"/><Relationship Id="rId167" Type="http://schemas.openxmlformats.org/officeDocument/2006/relationships/hyperlink" Target="http://www.comicvine.com/green-lantern-annual-7-the-corpse-corps/4000-45478" TargetMode="External"/><Relationship Id="rId288" Type="http://schemas.openxmlformats.org/officeDocument/2006/relationships/hyperlink" Target="https://comicvine.gamespot.com/superman-birthright/4050-18926/" TargetMode="External"/><Relationship Id="rId166" Type="http://schemas.openxmlformats.org/officeDocument/2006/relationships/hyperlink" Target="https://comicvine.gamespot.com/green-lantern-125-tomb-raider/4000-46359/" TargetMode="External"/><Relationship Id="rId287" Type="http://schemas.openxmlformats.org/officeDocument/2006/relationships/hyperlink" Target="https://comicvine.gamespot.com/superman-birthright/4050-18926/" TargetMode="External"/><Relationship Id="rId161" Type="http://schemas.openxmlformats.org/officeDocument/2006/relationships/hyperlink" Target="https://comicvine.gamespot.com/marvel-knights-10-the-good-with-the-bad/4000-66981/" TargetMode="External"/><Relationship Id="rId282" Type="http://schemas.openxmlformats.org/officeDocument/2006/relationships/hyperlink" Target="https://comicvine.gamespot.com/superman-birthright/4050-18926/" TargetMode="External"/><Relationship Id="rId160" Type="http://schemas.openxmlformats.org/officeDocument/2006/relationships/hyperlink" Target="http://www.comicvine.com/marvel-knights-8-dark-matters/4000-66979/" TargetMode="External"/><Relationship Id="rId281" Type="http://schemas.openxmlformats.org/officeDocument/2006/relationships/hyperlink" Target="https://comicvine.gamespot.com/superman-188-kicking-the-dog-a-life-less-ordinary/4000-119396/" TargetMode="External"/><Relationship Id="rId280" Type="http://schemas.openxmlformats.org/officeDocument/2006/relationships/hyperlink" Target="https://comicvine.gamespot.com/superman-birthright/4050-18926/" TargetMode="External"/><Relationship Id="rId159" Type="http://schemas.openxmlformats.org/officeDocument/2006/relationships/hyperlink" Target="https://comicvine.gamespot.com/marvel-knights-6-the-reckoning/4000-66977/" TargetMode="External"/><Relationship Id="rId154" Type="http://schemas.openxmlformats.org/officeDocument/2006/relationships/hyperlink" Target="https://comicvine.gamespot.com/catwoman-when-in-rome/4050-19181/" TargetMode="External"/><Relationship Id="rId275" Type="http://schemas.openxmlformats.org/officeDocument/2006/relationships/hyperlink" Target="https://comicvine.gamespot.com/martian-manhunter-20-revelations-one-strange-visit/4000-46379/" TargetMode="External"/><Relationship Id="rId396" Type="http://schemas.openxmlformats.org/officeDocument/2006/relationships/hyperlink" Target="https://comicvine.gamespot.com/the-uncanny-x-men-sacred-vows/4045-57182/" TargetMode="External"/><Relationship Id="rId153" Type="http://schemas.openxmlformats.org/officeDocument/2006/relationships/hyperlink" Target="https://comicvine.gamespot.com/catwoman-when-in-rome/4050-19181/" TargetMode="External"/><Relationship Id="rId274" Type="http://schemas.openxmlformats.org/officeDocument/2006/relationships/hyperlink" Target="https://comicvine.gamespot.com/jla-tower-of-babel/4045-49895/" TargetMode="External"/><Relationship Id="rId395" Type="http://schemas.openxmlformats.org/officeDocument/2006/relationships/hyperlink" Target="https://comicvine.gamespot.com/holy-war/4045-57181/" TargetMode="External"/><Relationship Id="rId152" Type="http://schemas.openxmlformats.org/officeDocument/2006/relationships/hyperlink" Target="https://comicvine.gamespot.com/catwoman-when-in-rome/4050-19181/" TargetMode="External"/><Relationship Id="rId273" Type="http://schemas.openxmlformats.org/officeDocument/2006/relationships/hyperlink" Target="https://comicvine.gamespot.com/showcase-4-mystery-of-the-human-thunderbolt-the-ma/4000-2653/" TargetMode="External"/><Relationship Id="rId394" Type="http://schemas.openxmlformats.org/officeDocument/2006/relationships/hyperlink" Target="https://comicvine.gamespot.com/holy-war/4045-57181/" TargetMode="External"/><Relationship Id="rId151" Type="http://schemas.openxmlformats.org/officeDocument/2006/relationships/hyperlink" Target="https://comicvine.gamespot.com/catwoman-when-in-rome/4050-19181/" TargetMode="External"/><Relationship Id="rId272" Type="http://schemas.openxmlformats.org/officeDocument/2006/relationships/hyperlink" Target="https://comicvine.gamespot.com/superman-12-lost-love/4000-28888/" TargetMode="External"/><Relationship Id="rId393" Type="http://schemas.openxmlformats.org/officeDocument/2006/relationships/hyperlink" Target="https://comicvine.gamespot.com/x-men-unlimited-50-the-swordsmith/4000-90022/" TargetMode="External"/><Relationship Id="rId158" Type="http://schemas.openxmlformats.org/officeDocument/2006/relationships/hyperlink" Target="https://comicvine.gamespot.com/marvel-knights-5-family-and-friends/4000-66976/" TargetMode="External"/><Relationship Id="rId279" Type="http://schemas.openxmlformats.org/officeDocument/2006/relationships/hyperlink" Target="https://comicvine.gamespot.com/superman-vs-darkseid-apokolips-now-1-apokolips-now/4000-199226/" TargetMode="External"/><Relationship Id="rId157" Type="http://schemas.openxmlformats.org/officeDocument/2006/relationships/hyperlink" Target="https://comicvine.gamespot.com/marvel-knights-4-zaran/4000-66975/" TargetMode="External"/><Relationship Id="rId278" Type="http://schemas.openxmlformats.org/officeDocument/2006/relationships/hyperlink" Target="https://comicvine.gamespot.com/action-comics-786-red/4000-114088/" TargetMode="External"/><Relationship Id="rId399" Type="http://schemas.openxmlformats.org/officeDocument/2006/relationships/hyperlink" Target="https://comicvine.gamespot.com/x-men-unlimited-45-hero/4000-90017/" TargetMode="External"/><Relationship Id="rId156" Type="http://schemas.openxmlformats.org/officeDocument/2006/relationships/hyperlink" Target="https://comicvine.gamespot.com/marvel-knights-3-the-destroyers/4000-66974/" TargetMode="External"/><Relationship Id="rId277" Type="http://schemas.openxmlformats.org/officeDocument/2006/relationships/hyperlink" Target="https://comicvine.gamespot.com/superman-183-clark-kent-youre-fired/4000-113907/" TargetMode="External"/><Relationship Id="rId398" Type="http://schemas.openxmlformats.org/officeDocument/2006/relationships/hyperlink" Target="https://comicvine.gamespot.com/the-uncanny-x-men-427-the-dead-have-no-rights/4000-114899/" TargetMode="External"/><Relationship Id="rId155" Type="http://schemas.openxmlformats.org/officeDocument/2006/relationships/hyperlink" Target="https://comicvine.gamespot.com/catwoman-when-in-rome/4050-19181/" TargetMode="External"/><Relationship Id="rId276" Type="http://schemas.openxmlformats.org/officeDocument/2006/relationships/hyperlink" Target="https://comicvine.gamespot.com/superman-170-bad-dog/4000-70874/" TargetMode="External"/><Relationship Id="rId397" Type="http://schemas.openxmlformats.org/officeDocument/2006/relationships/hyperlink" Target="https://comicvine.gamespot.com/the-uncanny-x-men-sacred-vows/4045-57182/" TargetMode="External"/><Relationship Id="rId40" Type="http://schemas.openxmlformats.org/officeDocument/2006/relationships/hyperlink" Target="https://comicvine.gamespot.com/batman-shadow-of-the-bat-26-falls-upon-creatures-o/4000-38976/" TargetMode="External"/><Relationship Id="rId42" Type="http://schemas.openxmlformats.org/officeDocument/2006/relationships/hyperlink" Target="https://comicvine.gamespot.com/batman-shadow-of-the-bat-22-bruce-wayne-part-two-a/4000-38293/" TargetMode="External"/><Relationship Id="rId41" Type="http://schemas.openxmlformats.org/officeDocument/2006/relationships/hyperlink" Target="https://comicvine.gamespot.com/batman-shadow-of-the-bat-21-bruce-wayne-part-one-t/4000-38160/" TargetMode="External"/><Relationship Id="rId44" Type="http://schemas.openxmlformats.org/officeDocument/2006/relationships/hyperlink" Target="https://comicvine.gamespot.com/batman-509-knightsend-part-1-spirit-of-the-bat/4000-39315/" TargetMode="External"/><Relationship Id="rId43" Type="http://schemas.openxmlformats.org/officeDocument/2006/relationships/hyperlink" Target="https://comicvine.gamespot.com/batman-shadow-of-the-bat-23-bruce-wayne-part-three/4000-38549/" TargetMode="External"/><Relationship Id="rId46" Type="http://schemas.openxmlformats.org/officeDocument/2006/relationships/hyperlink" Target="https://comicvine.gamespot.com/batman-shadow-of-the-bat-30-wild-knights-wild-city/4000-39561/" TargetMode="External"/><Relationship Id="rId45" Type="http://schemas.openxmlformats.org/officeDocument/2006/relationships/hyperlink" Target="https://comicvine.gamespot.com/detective-comics-676-too-many-ninjas/4000-108529/" TargetMode="External"/><Relationship Id="rId509" Type="http://schemas.openxmlformats.org/officeDocument/2006/relationships/hyperlink" Target="https://comicvine.gamespot.com/doom-patrol/4050-3786/" TargetMode="External"/><Relationship Id="rId508" Type="http://schemas.openxmlformats.org/officeDocument/2006/relationships/hyperlink" Target="https://comicvine.gamespot.com/doom-patrol/4050-3786/" TargetMode="External"/><Relationship Id="rId503" Type="http://schemas.openxmlformats.org/officeDocument/2006/relationships/hyperlink" Target="https://comicvine.gamespot.com/doom-patrol/4050-3786/" TargetMode="External"/><Relationship Id="rId502" Type="http://schemas.openxmlformats.org/officeDocument/2006/relationships/hyperlink" Target="https://comicvine.gamespot.com/doom-patrol/4050-3786/" TargetMode="External"/><Relationship Id="rId501" Type="http://schemas.openxmlformats.org/officeDocument/2006/relationships/hyperlink" Target="https://comicvine.gamespot.com/doom-patrol/4050-3786/" TargetMode="External"/><Relationship Id="rId500" Type="http://schemas.openxmlformats.org/officeDocument/2006/relationships/hyperlink" Target="https://comicvine.gamespot.com/doom-patrol/4050-3786/" TargetMode="External"/><Relationship Id="rId507" Type="http://schemas.openxmlformats.org/officeDocument/2006/relationships/hyperlink" Target="https://comicvine.gamespot.com/doom-patrol/4050-3786/" TargetMode="External"/><Relationship Id="rId506" Type="http://schemas.openxmlformats.org/officeDocument/2006/relationships/hyperlink" Target="https://comicvine.gamespot.com/doom-patrol/4050-3786/" TargetMode="External"/><Relationship Id="rId505" Type="http://schemas.openxmlformats.org/officeDocument/2006/relationships/hyperlink" Target="https://comicvine.gamespot.com/doom-patrol/4050-3786/" TargetMode="External"/><Relationship Id="rId504" Type="http://schemas.openxmlformats.org/officeDocument/2006/relationships/hyperlink" Target="https://comicvine.gamespot.com/doom-patrol/4050-3786/" TargetMode="External"/><Relationship Id="rId48" Type="http://schemas.openxmlformats.org/officeDocument/2006/relationships/hyperlink" Target="https://comicvine.gamespot.com/justice-league-identity-crisis/4045-48398/" TargetMode="External"/><Relationship Id="rId47" Type="http://schemas.openxmlformats.org/officeDocument/2006/relationships/hyperlink" Target="https://comicvine.gamespot.com/green-lantern-rebirth/4045-54588/" TargetMode="External"/><Relationship Id="rId49" Type="http://schemas.openxmlformats.org/officeDocument/2006/relationships/hyperlink" Target="https://comicvine.gamespot.com/superman-adventures-50-murderer/4000-241180/" TargetMode="External"/><Relationship Id="rId31" Type="http://schemas.openxmlformats.org/officeDocument/2006/relationships/hyperlink" Target="https://comicvine.gamespot.com/detective-comics-665-lightning-changes/4000-108498/" TargetMode="External"/><Relationship Id="rId30" Type="http://schemas.openxmlformats.org/officeDocument/2006/relationships/hyperlink" Target="https://comicvine.gamespot.com/showcase-93-7-two-face-2-face-double-cross-acute-s/4000-107456/" TargetMode="External"/><Relationship Id="rId33" Type="http://schemas.openxmlformats.org/officeDocument/2006/relationships/hyperlink" Target="https://comicvine.gamespot.com/detective-comics-666-the-devil-you-know/4000-108499/" TargetMode="External"/><Relationship Id="rId32" Type="http://schemas.openxmlformats.org/officeDocument/2006/relationships/hyperlink" Target="https://comicvine.gamespot.com/batman-499-the-venom-connection/4000-37735/" TargetMode="External"/><Relationship Id="rId35" Type="http://schemas.openxmlformats.org/officeDocument/2006/relationships/hyperlink" Target="https://comicvine.gamespot.com/detective-comics-667-wild-wild-east/4000-108519/" TargetMode="External"/><Relationship Id="rId34" Type="http://schemas.openxmlformats.org/officeDocument/2006/relationships/hyperlink" Target="https://comicvine.gamespot.com/batman-500-dark-angel/4000-37881/" TargetMode="External"/><Relationship Id="rId37" Type="http://schemas.openxmlformats.org/officeDocument/2006/relationships/hyperlink" Target="https://comicvine.gamespot.com/detective-comics-670-cold-cases/4000-106839/" TargetMode="External"/><Relationship Id="rId36" Type="http://schemas.openxmlformats.org/officeDocument/2006/relationships/hyperlink" Target="https://comicvine.gamespot.com/batman-shadow-of-the-bat-19-the-tally-man-part-one/4000-37997/" TargetMode="External"/><Relationship Id="rId39" Type="http://schemas.openxmlformats.org/officeDocument/2006/relationships/hyperlink" Target="https://comicvine.gamespot.com/batman-shadow-of-the-bat-24-the-immigrant-rosemary/4000-38688/" TargetMode="External"/><Relationship Id="rId38" Type="http://schemas.openxmlformats.org/officeDocument/2006/relationships/hyperlink" Target="https://comicvine.gamespot.com/batman-503-night-becomes-woman/4000-38440/" TargetMode="External"/><Relationship Id="rId20" Type="http://schemas.openxmlformats.org/officeDocument/2006/relationships/hyperlink" Target="https://comicvine.gamespot.com/detective-comics-659-puppets/4000-105926/" TargetMode="External"/><Relationship Id="rId22" Type="http://schemas.openxmlformats.org/officeDocument/2006/relationships/hyperlink" Target="https://comicvine.gamespot.com/detective-comics-661-city-on-fire/4000-108494/" TargetMode="External"/><Relationship Id="rId21" Type="http://schemas.openxmlformats.org/officeDocument/2006/relationships/hyperlink" Target="https://comicvine.gamespot.com/detective-comics-660-crocodile-tears/4000-108471/" TargetMode="External"/><Relationship Id="rId24" Type="http://schemas.openxmlformats.org/officeDocument/2006/relationships/hyperlink" Target="https://comicvine.gamespot.com/batman-496-die-laughing/4000-37457/" TargetMode="External"/><Relationship Id="rId23" Type="http://schemas.openxmlformats.org/officeDocument/2006/relationships/hyperlink" Target="https://comicvine.gamespot.com/detective-comics-662-burning-questions/4000-108495/" TargetMode="External"/><Relationship Id="rId409" Type="http://schemas.openxmlformats.org/officeDocument/2006/relationships/hyperlink" Target="https://comicvine.gamespot.com/blood-debt/4045-56434/" TargetMode="External"/><Relationship Id="rId404" Type="http://schemas.openxmlformats.org/officeDocument/2006/relationships/hyperlink" Target="https://comicvine.gamespot.com/new-x-men-here-comes-tomorrow/4045-41708/" TargetMode="External"/><Relationship Id="rId403" Type="http://schemas.openxmlformats.org/officeDocument/2006/relationships/hyperlink" Target="https://comicvine.gamespot.com/new-x-men-planet-x/4045-50498/" TargetMode="External"/><Relationship Id="rId402" Type="http://schemas.openxmlformats.org/officeDocument/2006/relationships/hyperlink" Target="https://comicvine.gamespot.com/new-x-men-planet-x/4045-50498/" TargetMode="External"/><Relationship Id="rId401" Type="http://schemas.openxmlformats.org/officeDocument/2006/relationships/hyperlink" Target="https://comicvine.gamespot.com/new-x-men-planet-x/4045-50498/" TargetMode="External"/><Relationship Id="rId522" Type="http://schemas.openxmlformats.org/officeDocument/2006/relationships/vmlDrawing" Target="../drawings/vmlDrawing5.vml"/><Relationship Id="rId408" Type="http://schemas.openxmlformats.org/officeDocument/2006/relationships/hyperlink" Target="https://comicvine.gamespot.com/blood-debt/4045-56434/" TargetMode="External"/><Relationship Id="rId407" Type="http://schemas.openxmlformats.org/officeDocument/2006/relationships/hyperlink" Target="https://comicvine.gamespot.com/blood-debt/4045-56434/" TargetMode="External"/><Relationship Id="rId406" Type="http://schemas.openxmlformats.org/officeDocument/2006/relationships/hyperlink" Target="https://comicvine.gamespot.com/blood-debt/4045-56434/" TargetMode="External"/><Relationship Id="rId405" Type="http://schemas.openxmlformats.org/officeDocument/2006/relationships/hyperlink" Target="https://comicvine.gamespot.com/new-x-men-here-comes-tomorrow/4045-41708/" TargetMode="External"/><Relationship Id="rId26" Type="http://schemas.openxmlformats.org/officeDocument/2006/relationships/hyperlink" Target="https://comicvine.gamespot.com/batman-beyond-13-commissioner-of-fear/4000-47785/" TargetMode="External"/><Relationship Id="rId25" Type="http://schemas.openxmlformats.org/officeDocument/2006/relationships/hyperlink" Target="https://comicvine.gamespot.com/batman-beyond-12-the-madness-of-terminal/4000-47784/" TargetMode="External"/><Relationship Id="rId28" Type="http://schemas.openxmlformats.org/officeDocument/2006/relationships/hyperlink" Target="https://comicvine.gamespot.com/batman-gotham-adventures-52-hard-knock-life/4000-134952/" TargetMode="External"/><Relationship Id="rId27" Type="http://schemas.openxmlformats.org/officeDocument/2006/relationships/hyperlink" Target="https://comicvine.gamespot.com/batman-gotham-adventures-31-madness-and-chaos-and-/4000-78288/" TargetMode="External"/><Relationship Id="rId400" Type="http://schemas.openxmlformats.org/officeDocument/2006/relationships/hyperlink" Target="https://comicvine.gamespot.com/new-x-men-planet-x/4045-50498/" TargetMode="External"/><Relationship Id="rId521" Type="http://schemas.openxmlformats.org/officeDocument/2006/relationships/drawing" Target="../drawings/drawing6.xml"/><Relationship Id="rId29" Type="http://schemas.openxmlformats.org/officeDocument/2006/relationships/hyperlink" Target="https://comicvine.gamespot.com/detective-comics-664-who-rules-the-night/4000-108497/" TargetMode="External"/><Relationship Id="rId520" Type="http://schemas.openxmlformats.org/officeDocument/2006/relationships/hyperlink" Target="https://comicvine.gamespot.com/doom-patrol-annual-2-the-wild-the-good-and-the-gro/4000-38360/" TargetMode="External"/><Relationship Id="rId11" Type="http://schemas.openxmlformats.org/officeDocument/2006/relationships/hyperlink" Target="https://comicvine.gamespot.com/jetsons-1-journey-back-park/4000-96551/" TargetMode="External"/><Relationship Id="rId10" Type="http://schemas.openxmlformats.org/officeDocument/2006/relationships/hyperlink" Target="https://comicvine.gamespot.com/sabrina-the-teenage-witch-13/4000-322701/" TargetMode="External"/><Relationship Id="rId13" Type="http://schemas.openxmlformats.org/officeDocument/2006/relationships/hyperlink" Target="https://www.goodreads.com/book/show/204812276-kachchhaman" TargetMode="External"/><Relationship Id="rId12" Type="http://schemas.openxmlformats.org/officeDocument/2006/relationships/hyperlink" Target="https://comicvine.gamespot.com/your-pal-archie-1-the-road-worrier-a-night-at-the-/4000-610557/" TargetMode="External"/><Relationship Id="rId519" Type="http://schemas.openxmlformats.org/officeDocument/2006/relationships/hyperlink" Target="https://comicvine.gamespot.com/doom-patrol-annual-1-public-works-that-darling-you/4000-28999/" TargetMode="External"/><Relationship Id="rId514" Type="http://schemas.openxmlformats.org/officeDocument/2006/relationships/hyperlink" Target="https://comicvine.gamespot.com/doom-patrol/4050-3786/" TargetMode="External"/><Relationship Id="rId513" Type="http://schemas.openxmlformats.org/officeDocument/2006/relationships/hyperlink" Target="https://comicvine.gamespot.com/doom-patrol/4050-3786/" TargetMode="External"/><Relationship Id="rId512" Type="http://schemas.openxmlformats.org/officeDocument/2006/relationships/hyperlink" Target="https://comicvine.gamespot.com/doom-patrol/4050-3786/" TargetMode="External"/><Relationship Id="rId511" Type="http://schemas.openxmlformats.org/officeDocument/2006/relationships/hyperlink" Target="https://comicvine.gamespot.com/doom-patrol/4050-3786/" TargetMode="External"/><Relationship Id="rId518" Type="http://schemas.openxmlformats.org/officeDocument/2006/relationships/hyperlink" Target="https://comicvine.gamespot.com/doom-patrol/4050-3786/" TargetMode="External"/><Relationship Id="rId517" Type="http://schemas.openxmlformats.org/officeDocument/2006/relationships/hyperlink" Target="https://comicvine.gamespot.com/doom-patrol/4050-3786/" TargetMode="External"/><Relationship Id="rId516" Type="http://schemas.openxmlformats.org/officeDocument/2006/relationships/hyperlink" Target="https://comicvine.gamespot.com/doom-patrol/4050-3786/" TargetMode="External"/><Relationship Id="rId515" Type="http://schemas.openxmlformats.org/officeDocument/2006/relationships/hyperlink" Target="https://comicvine.gamespot.com/doom-patrol/4050-3786/" TargetMode="External"/><Relationship Id="rId15" Type="http://schemas.openxmlformats.org/officeDocument/2006/relationships/hyperlink" Target="https://comicvine.gamespot.com/captain-power-and-the-soldiers-of-the-future-2/4000-149573/" TargetMode="External"/><Relationship Id="rId14" Type="http://schemas.openxmlformats.org/officeDocument/2006/relationships/hyperlink" Target="https://comicvine.gamespot.com/captain-power-and-the-soldiers-of-the-future-1-a-s/4000-149572/" TargetMode="External"/><Relationship Id="rId17" Type="http://schemas.openxmlformats.org/officeDocument/2006/relationships/hyperlink" Target="https://comicvine.gamespot.com/adventures-of-superman-572-who-is-strange-visitor-/4000-70957/" TargetMode="External"/><Relationship Id="rId16" Type="http://schemas.openxmlformats.org/officeDocument/2006/relationships/hyperlink" Target="https://comicvine.gamespot.com/action-comics-1-superman-champion-of-the-oppressed/4000-105403/" TargetMode="External"/><Relationship Id="rId19" Type="http://schemas.openxmlformats.org/officeDocument/2006/relationships/hyperlink" Target="https://comicvine.gamespot.com/absolute-wonder-woman-1-the-last-amazon-part-1-of-/4000-1074563/" TargetMode="External"/><Relationship Id="rId510" Type="http://schemas.openxmlformats.org/officeDocument/2006/relationships/hyperlink" Target="https://comicvine.gamespot.com/doom-patrol/4050-3786/" TargetMode="External"/><Relationship Id="rId18" Type="http://schemas.openxmlformats.org/officeDocument/2006/relationships/hyperlink" Target="https://comicvine.gamespot.com/absolute-batman-1-vol-1-the-zoo/4000-1136229/" TargetMode="External"/><Relationship Id="rId84" Type="http://schemas.openxmlformats.org/officeDocument/2006/relationships/hyperlink" Target="https://comicvine.gamespot.com/avengers-11-always-an-avenger/4000-50770/" TargetMode="External"/><Relationship Id="rId83" Type="http://schemas.openxmlformats.org/officeDocument/2006/relationships/hyperlink" Target="https://comicvine.gamespot.com/avengers-9-the-villain-who-fell-from-grace-with-th/4000-50768/" TargetMode="External"/><Relationship Id="rId86" Type="http://schemas.openxmlformats.org/officeDocument/2006/relationships/hyperlink" Target="http://www.comicvine.com/avengers-15-the-three-fold-path/4000-50774/" TargetMode="External"/><Relationship Id="rId85" Type="http://schemas.openxmlformats.org/officeDocument/2006/relationships/hyperlink" Target="https://comicvine.gamespot.com/avengers-14-hi-honey-i-m-hooooome/4000-50773/" TargetMode="External"/><Relationship Id="rId88" Type="http://schemas.openxmlformats.org/officeDocument/2006/relationships/hyperlink" Target="https://comicvine.gamespot.com/breakout/4045-55505/" TargetMode="External"/><Relationship Id="rId87" Type="http://schemas.openxmlformats.org/officeDocument/2006/relationships/hyperlink" Target="https://comicvine.gamespot.com/breakout/4045-55505/" TargetMode="External"/><Relationship Id="rId89" Type="http://schemas.openxmlformats.org/officeDocument/2006/relationships/hyperlink" Target="https://comicvine.gamespot.com/breakout/4045-55505/" TargetMode="External"/><Relationship Id="rId80" Type="http://schemas.openxmlformats.org/officeDocument/2006/relationships/hyperlink" Target="https://comicvine.gamespot.com/astonishing-x-men-torn/4045-54577/" TargetMode="External"/><Relationship Id="rId82" Type="http://schemas.openxmlformats.org/officeDocument/2006/relationships/hyperlink" Target="https://comicvine.gamespot.com/avengers-8-turbulence/4000-50767/" TargetMode="External"/><Relationship Id="rId81" Type="http://schemas.openxmlformats.org/officeDocument/2006/relationships/hyperlink" Target="https://comicvine.gamespot.com/avengers-4-too-many-avengers/4000-50763/" TargetMode="External"/><Relationship Id="rId73" Type="http://schemas.openxmlformats.org/officeDocument/2006/relationships/hyperlink" Target="https://comicvine.gamespot.com/gifted/4045-54617/" TargetMode="External"/><Relationship Id="rId72" Type="http://schemas.openxmlformats.org/officeDocument/2006/relationships/hyperlink" Target="https://comicvine.gamespot.com/gifted/4045-54617/" TargetMode="External"/><Relationship Id="rId75" Type="http://schemas.openxmlformats.org/officeDocument/2006/relationships/hyperlink" Target="https://comicvine.gamespot.com/dangerous/4045-55752/" TargetMode="External"/><Relationship Id="rId74" Type="http://schemas.openxmlformats.org/officeDocument/2006/relationships/hyperlink" Target="https://comicvine.gamespot.com/dangerous/4045-55752/" TargetMode="External"/><Relationship Id="rId77" Type="http://schemas.openxmlformats.org/officeDocument/2006/relationships/hyperlink" Target="https://comicvine.gamespot.com/dangerous/4045-55752/" TargetMode="External"/><Relationship Id="rId76" Type="http://schemas.openxmlformats.org/officeDocument/2006/relationships/hyperlink" Target="https://comicvine.gamespot.com/dangerous/4045-55752/" TargetMode="External"/><Relationship Id="rId79" Type="http://schemas.openxmlformats.org/officeDocument/2006/relationships/hyperlink" Target="https://comicvine.gamespot.com/astonishing-x-men-torn/4045-54577/" TargetMode="External"/><Relationship Id="rId78" Type="http://schemas.openxmlformats.org/officeDocument/2006/relationships/hyperlink" Target="https://comicvine.gamespot.com/dangerous/4045-55752/" TargetMode="External"/><Relationship Id="rId71" Type="http://schemas.openxmlformats.org/officeDocument/2006/relationships/hyperlink" Target="https://comicvine.gamespot.com/gifted/4045-54617/" TargetMode="External"/><Relationship Id="rId70" Type="http://schemas.openxmlformats.org/officeDocument/2006/relationships/hyperlink" Target="https://comicvine.gamespot.com/gifted/4045-54617/" TargetMode="External"/><Relationship Id="rId62" Type="http://schemas.openxmlformats.org/officeDocument/2006/relationships/hyperlink" Target="https://comicvine.gamespot.com/the-amazing-spider-man-40-sensitive-issues/4000-113471/" TargetMode="External"/><Relationship Id="rId61" Type="http://schemas.openxmlformats.org/officeDocument/2006/relationships/hyperlink" Target="https://comicvine.gamespot.com/the-amazing-spider-man-38-the-conversation/4000-113469/" TargetMode="External"/><Relationship Id="rId64" Type="http://schemas.openxmlformats.org/officeDocument/2006/relationships/hyperlink" Target="https://comicvine.gamespot.com/the-amazing-spider-man-46-unnatural-enemies/4000-113477/" TargetMode="External"/><Relationship Id="rId63" Type="http://schemas.openxmlformats.org/officeDocument/2006/relationships/hyperlink" Target="http://www.comicvine.com/the-amazing-spider-man-45-until-the-stars-turn-col/4000-113476/" TargetMode="External"/><Relationship Id="rId66" Type="http://schemas.openxmlformats.org/officeDocument/2006/relationships/hyperlink" Target="https://comicvine.gamespot.com/the-amazing-spider-man-48-a-spider-s-tale/4000-113479/" TargetMode="External"/><Relationship Id="rId65" Type="http://schemas.openxmlformats.org/officeDocument/2006/relationships/hyperlink" Target="https://comicvine.gamespot.com/the-amazing-spider-man-47-the-life-death-of-spider/4000-113478/" TargetMode="External"/><Relationship Id="rId68" Type="http://schemas.openxmlformats.org/officeDocument/2006/relationships/hyperlink" Target="http://www.comicvine.com/the-amazing-spider-man-52-dig-this/4000-113483/" TargetMode="External"/><Relationship Id="rId67" Type="http://schemas.openxmlformats.org/officeDocument/2006/relationships/hyperlink" Target="https://comicvine.gamespot.com/the-amazing-spider-man-51-digger/4000-113482/" TargetMode="External"/><Relationship Id="rId60" Type="http://schemas.openxmlformats.org/officeDocument/2006/relationships/hyperlink" Target="https://comicvine.gamespot.com/the-amazing-spider-man-35-coming-out/4000-113466/" TargetMode="External"/><Relationship Id="rId69" Type="http://schemas.openxmlformats.org/officeDocument/2006/relationships/hyperlink" Target="https://comicvine.gamespot.com/the-amazing-spider-man-501-saturday-in-the-park-wi/4000-113490/" TargetMode="External"/><Relationship Id="rId51" Type="http://schemas.openxmlformats.org/officeDocument/2006/relationships/hyperlink" Target="https://comicvine.gamespot.com/devashard-1-at-first-light/4000-141586/" TargetMode="External"/><Relationship Id="rId50" Type="http://schemas.openxmlformats.org/officeDocument/2006/relationships/hyperlink" Target="https://comicvine.gamespot.com/lone-wolf-and-cub-35/4000-74008/" TargetMode="External"/><Relationship Id="rId53" Type="http://schemas.openxmlformats.org/officeDocument/2006/relationships/hyperlink" Target="https://comicvine.gamespot.com/for-tomorrow/4045-56217/" TargetMode="External"/><Relationship Id="rId52" Type="http://schemas.openxmlformats.org/officeDocument/2006/relationships/hyperlink" Target="https://comicvine.gamespot.com/for-tomorrow/4045-56217/" TargetMode="External"/><Relationship Id="rId55" Type="http://schemas.openxmlformats.org/officeDocument/2006/relationships/hyperlink" Target="https://comicvine.gamespot.com/for-tomorrow/4045-56217/" TargetMode="External"/><Relationship Id="rId54" Type="http://schemas.openxmlformats.org/officeDocument/2006/relationships/hyperlink" Target="https://comicvine.gamespot.com/for-tomorrow/4045-56217/" TargetMode="External"/><Relationship Id="rId57" Type="http://schemas.openxmlformats.org/officeDocument/2006/relationships/hyperlink" Target="https://comicvine.gamespot.com/for-tomorrow/4045-56217/" TargetMode="External"/><Relationship Id="rId56" Type="http://schemas.openxmlformats.org/officeDocument/2006/relationships/hyperlink" Target="https://comicvine.gamespot.com/for-tomorrow/4045-56217/" TargetMode="External"/><Relationship Id="rId59" Type="http://schemas.openxmlformats.org/officeDocument/2006/relationships/hyperlink" Target="https://comicvine.gamespot.com/the-amazing-spider-man-34-meltdown/4000-113465/" TargetMode="External"/><Relationship Id="rId58" Type="http://schemas.openxmlformats.org/officeDocument/2006/relationships/hyperlink" Target="https://comicvine.gamespot.com/for-tomorrow/4045-56217/" TargetMode="External"/><Relationship Id="rId107" Type="http://schemas.openxmlformats.org/officeDocument/2006/relationships/hyperlink" Target="https://comicvine.gamespot.com/batman-gotham-knights-45-fathers-and-sons/4000-119379/" TargetMode="External"/><Relationship Id="rId228" Type="http://schemas.openxmlformats.org/officeDocument/2006/relationships/hyperlink" Target="https://comicvine.gamespot.com/justice-league-adventures-28-future-imperfect/4000-96641/" TargetMode="External"/><Relationship Id="rId349" Type="http://schemas.openxmlformats.org/officeDocument/2006/relationships/hyperlink" Target="https://comicvine.gamespot.com/incredible-hulk-the-dogs-of-war/4045-56944/" TargetMode="External"/><Relationship Id="rId106" Type="http://schemas.openxmlformats.org/officeDocument/2006/relationships/hyperlink" Target="https://comicvine.gamespot.com/batman-legends-of-the-dark-knight-155-colossus-par/4000-143732/" TargetMode="External"/><Relationship Id="rId227" Type="http://schemas.openxmlformats.org/officeDocument/2006/relationships/hyperlink" Target="https://comicvine.gamespot.com/justice-league-adventures-24-alien-like-me/4000-96637/" TargetMode="External"/><Relationship Id="rId348" Type="http://schemas.openxmlformats.org/officeDocument/2006/relationships/hyperlink" Target="https://comicvine.gamespot.com/incredible-hulk-the-dogs-of-war/4045-56944/" TargetMode="External"/><Relationship Id="rId469" Type="http://schemas.openxmlformats.org/officeDocument/2006/relationships/hyperlink" Target="https://comicvine.gamespot.com/amazing-fantasy-15-spider-man-the-bell-ringer-the-/4000-105342/" TargetMode="External"/><Relationship Id="rId105" Type="http://schemas.openxmlformats.org/officeDocument/2006/relationships/hyperlink" Target="https://comicvine.gamespot.com/hush/4045-40875/" TargetMode="External"/><Relationship Id="rId226" Type="http://schemas.openxmlformats.org/officeDocument/2006/relationships/hyperlink" Target="https://comicvine.gamespot.com/justice-league-adventures-16-hide-and-seek/4000-96629/" TargetMode="External"/><Relationship Id="rId347" Type="http://schemas.openxmlformats.org/officeDocument/2006/relationships/hyperlink" Target="https://comicvine.gamespot.com/incredible-hulk-the-dogs-of-war/4045-56944/" TargetMode="External"/><Relationship Id="rId468" Type="http://schemas.openxmlformats.org/officeDocument/2006/relationships/hyperlink" Target="https://comicvine.gamespot.com/necroscope-2/4000-368885/" TargetMode="External"/><Relationship Id="rId104" Type="http://schemas.openxmlformats.org/officeDocument/2006/relationships/hyperlink" Target="https://comicvine.gamespot.com/batman-legends-of-the-dark-knight-154-colossus-par/4000-143260/" TargetMode="External"/><Relationship Id="rId225" Type="http://schemas.openxmlformats.org/officeDocument/2006/relationships/hyperlink" Target="https://comicvine.gamespot.com/justice-league-adventures-12-cold-war/4000-116281/" TargetMode="External"/><Relationship Id="rId346" Type="http://schemas.openxmlformats.org/officeDocument/2006/relationships/hyperlink" Target="https://comicvine.gamespot.com/incredible-hulk-13-snake-eyes-part-2/4000-46832/" TargetMode="External"/><Relationship Id="rId467" Type="http://schemas.openxmlformats.org/officeDocument/2006/relationships/hyperlink" Target="https://comicvine.gamespot.com/marvel-graphic-novel-9-the-futurians/4000-122122/" TargetMode="External"/><Relationship Id="rId109" Type="http://schemas.openxmlformats.org/officeDocument/2006/relationships/hyperlink" Target="https://comicvine.gamespot.com/batman-broken-city/4045-56775/" TargetMode="External"/><Relationship Id="rId108" Type="http://schemas.openxmlformats.org/officeDocument/2006/relationships/hyperlink" Target="https://comicvine.gamespot.com/batman-broken-city/4045-56775/" TargetMode="External"/><Relationship Id="rId229" Type="http://schemas.openxmlformats.org/officeDocument/2006/relationships/hyperlink" Target="https://comicvine.gamespot.com/justice-league-unlimited-1-divide-and-conquer/4000-112192/" TargetMode="External"/><Relationship Id="rId220" Type="http://schemas.openxmlformats.org/officeDocument/2006/relationships/hyperlink" Target="http://www.comicvine.com/justice-league-of-america-another-nail-3/4000-98430/" TargetMode="External"/><Relationship Id="rId341" Type="http://schemas.openxmlformats.org/officeDocument/2006/relationships/hyperlink" Target="https://comicvine.gamespot.com/hulk-7-trouble-in-paradise/4000-48386/" TargetMode="External"/><Relationship Id="rId462" Type="http://schemas.openxmlformats.org/officeDocument/2006/relationships/hyperlink" Target="https://comicvine.gamespot.com/marvel-adventures-spider-man-9-doom-with-a-view-fr/4000-121702/" TargetMode="External"/><Relationship Id="rId340" Type="http://schemas.openxmlformats.org/officeDocument/2006/relationships/hyperlink" Target="https://comicvine.gamespot.com/hulk-6-new-lives-for-old/4000-48385/" TargetMode="External"/><Relationship Id="rId461" Type="http://schemas.openxmlformats.org/officeDocument/2006/relationships/hyperlink" Target="https://comicvine.gamespot.com/marvel-adventures-spider-man-8-rush-hour/4000-121700/" TargetMode="External"/><Relationship Id="rId460" Type="http://schemas.openxmlformats.org/officeDocument/2006/relationships/hyperlink" Target="https://comicvine.gamespot.com/spawn-25-tremors/4000-39855/" TargetMode="External"/><Relationship Id="rId103" Type="http://schemas.openxmlformats.org/officeDocument/2006/relationships/hyperlink" Target="https://comicvine.gamespot.com/hush/4045-40875/" TargetMode="External"/><Relationship Id="rId224" Type="http://schemas.openxmlformats.org/officeDocument/2006/relationships/hyperlink" Target="https://comicvine.gamespot.com/justice-league-adventures-11-the-moment/4000-116280/" TargetMode="External"/><Relationship Id="rId345" Type="http://schemas.openxmlformats.org/officeDocument/2006/relationships/hyperlink" Target="https://comicvine.gamespot.com/incredible-hulk-12-snake-eyes-part-1/4000-46831/" TargetMode="External"/><Relationship Id="rId466" Type="http://schemas.openxmlformats.org/officeDocument/2006/relationships/hyperlink" Target="https://comicvine.gamespot.com/futurians-1/4000-146869/" TargetMode="External"/><Relationship Id="rId102" Type="http://schemas.openxmlformats.org/officeDocument/2006/relationships/hyperlink" Target="https://comicvine.gamespot.com/batman-gotham-knights-18-cavernous-fat-city/4000-55312/" TargetMode="External"/><Relationship Id="rId223" Type="http://schemas.openxmlformats.org/officeDocument/2006/relationships/hyperlink" Target="https://comicvine.gamespot.com/justice-league-adventures-10-must-there-be-a-marti/4000-116277/" TargetMode="External"/><Relationship Id="rId344" Type="http://schemas.openxmlformats.org/officeDocument/2006/relationships/hyperlink" Target="https://comicvine.gamespot.com/marvel-fanfare-29-a-terrible-thing-to-waste/4000-27391/" TargetMode="External"/><Relationship Id="rId465" Type="http://schemas.openxmlformats.org/officeDocument/2006/relationships/hyperlink" Target="https://comicvine.gamespot.com/judgment-day/4050-10910/" TargetMode="External"/><Relationship Id="rId101" Type="http://schemas.openxmlformats.org/officeDocument/2006/relationships/hyperlink" Target="https://comicvine.gamespot.com/hush/4045-40875/" TargetMode="External"/><Relationship Id="rId222" Type="http://schemas.openxmlformats.org/officeDocument/2006/relationships/hyperlink" Target="https://comicvine.gamespot.com/justice-league-adventures-8-new-moon/4000-116249/" TargetMode="External"/><Relationship Id="rId343" Type="http://schemas.openxmlformats.org/officeDocument/2006/relationships/hyperlink" Target="https://comicvine.gamespot.com/hulk-11-role-reversal/4000-48390/" TargetMode="External"/><Relationship Id="rId464" Type="http://schemas.openxmlformats.org/officeDocument/2006/relationships/hyperlink" Target="https://comicvine.gamespot.com/judgment-day-2/4000-93881/" TargetMode="External"/><Relationship Id="rId100" Type="http://schemas.openxmlformats.org/officeDocument/2006/relationships/hyperlink" Target="https://comicvine.gamespot.com/detective-comics-697-deadbolt/4000-113157/" TargetMode="External"/><Relationship Id="rId221" Type="http://schemas.openxmlformats.org/officeDocument/2006/relationships/hyperlink" Target="https://comicvine.gamespot.com/justice-league-adventures-6-wolfs-clothing-sold/4000-115930/" TargetMode="External"/><Relationship Id="rId342" Type="http://schemas.openxmlformats.org/officeDocument/2006/relationships/hyperlink" Target="https://comicvine.gamespot.com/hulk-8-death-match/4000-48387/" TargetMode="External"/><Relationship Id="rId463" Type="http://schemas.openxmlformats.org/officeDocument/2006/relationships/hyperlink" Target="https://comicvine.gamespot.com/judgment-day/4050-10910/" TargetMode="External"/><Relationship Id="rId217" Type="http://schemas.openxmlformats.org/officeDocument/2006/relationships/hyperlink" Target="https://comicvine.gamespot.com/jla-22-it/4000-45322/" TargetMode="External"/><Relationship Id="rId338" Type="http://schemas.openxmlformats.org/officeDocument/2006/relationships/hyperlink" Target="https://comicvine.gamespot.com/hulk-3-heart-of-darkness-soul-of-fire/4000-48382/" TargetMode="External"/><Relationship Id="rId459" Type="http://schemas.openxmlformats.org/officeDocument/2006/relationships/hyperlink" Target="https://comicvine.gamespot.com/shadowhawk-iii/4050-19849/" TargetMode="External"/><Relationship Id="rId216" Type="http://schemas.openxmlformats.org/officeDocument/2006/relationships/hyperlink" Target="https://comicvine.gamespot.com/jla-3-war-of-the-worlds/4000-43508/" TargetMode="External"/><Relationship Id="rId337" Type="http://schemas.openxmlformats.org/officeDocument/2006/relationships/hyperlink" Target="https://comicvine.gamespot.com/hulk-2-holocaust-in-the-heartland/4000-48381/" TargetMode="External"/><Relationship Id="rId458" Type="http://schemas.openxmlformats.org/officeDocument/2006/relationships/hyperlink" Target="https://comicvine.gamespot.com/shadowhawk-iii/4050-19849/" TargetMode="External"/><Relationship Id="rId215" Type="http://schemas.openxmlformats.org/officeDocument/2006/relationships/hyperlink" Target="https://comicvine.gamespot.com/jla-99-the-tenth-circle-conclusion-heartbreaker/4000-93378/" TargetMode="External"/><Relationship Id="rId336" Type="http://schemas.openxmlformats.org/officeDocument/2006/relationships/hyperlink" Target="https://comicvine.gamespot.com/hulk-1-the-gathering-storm/4000-48380/" TargetMode="External"/><Relationship Id="rId457" Type="http://schemas.openxmlformats.org/officeDocument/2006/relationships/hyperlink" Target="https://comicvine.gamespot.com/shadowhawk-iii/4050-19849/" TargetMode="External"/><Relationship Id="rId214" Type="http://schemas.openxmlformats.org/officeDocument/2006/relationships/hyperlink" Target="https://comicvine.gamespot.com/jla-98-the-tenth-circle-part-5-convergence/4000-93377/" TargetMode="External"/><Relationship Id="rId335" Type="http://schemas.openxmlformats.org/officeDocument/2006/relationships/hyperlink" Target="https://comicvine.gamespot.com/incredible-hulk-35-silent-running/4000-112785/" TargetMode="External"/><Relationship Id="rId456" Type="http://schemas.openxmlformats.org/officeDocument/2006/relationships/hyperlink" Target="https://comicvine.gamespot.com/shadowhawk-iii/4050-19849/" TargetMode="External"/><Relationship Id="rId219" Type="http://schemas.openxmlformats.org/officeDocument/2006/relationships/hyperlink" Target="https://comicvine.gamespot.com/justice-league-of-america-another-nail-2/4000-91437/" TargetMode="External"/><Relationship Id="rId218" Type="http://schemas.openxmlformats.org/officeDocument/2006/relationships/hyperlink" Target="https://comicvine.gamespot.com/jla-23-conquerors/4000-45385/" TargetMode="External"/><Relationship Id="rId339" Type="http://schemas.openxmlformats.org/officeDocument/2006/relationships/hyperlink" Target="https://comicvine.gamespot.com/hulk-5-yes-i-saw-the-hulk/4000-48384/" TargetMode="External"/><Relationship Id="rId330" Type="http://schemas.openxmlformats.org/officeDocument/2006/relationships/hyperlink" Target="http://www.comicvine.com/teen-titans-10-raven-rising-part-1/4000-111053/" TargetMode="External"/><Relationship Id="rId451" Type="http://schemas.openxmlformats.org/officeDocument/2006/relationships/hyperlink" Target="https://comicvine.gamespot.com/last-son/4045-57171/" TargetMode="External"/><Relationship Id="rId450" Type="http://schemas.openxmlformats.org/officeDocument/2006/relationships/hyperlink" Target="https://comicvine.gamespot.com/jla-54-united-we-fall/4000-66959/" TargetMode="External"/><Relationship Id="rId213" Type="http://schemas.openxmlformats.org/officeDocument/2006/relationships/hyperlink" Target="https://comicvine.gamespot.com/jla-97-the-tenth-circle-part-4-interludes-on-the-l/4000-93376/" TargetMode="External"/><Relationship Id="rId334" Type="http://schemas.openxmlformats.org/officeDocument/2006/relationships/hyperlink" Target="https://comicvine.gamespot.com/teen-titans-15-beast-boys-and-girls-part-3-changel/4000-98238/" TargetMode="External"/><Relationship Id="rId455" Type="http://schemas.openxmlformats.org/officeDocument/2006/relationships/hyperlink" Target="https://www.holycow.in/product/were-house/" TargetMode="External"/><Relationship Id="rId212" Type="http://schemas.openxmlformats.org/officeDocument/2006/relationships/hyperlink" Target="https://comicvine.gamespot.com/jla-95-the-tenth-circle-part-two-the-enemy-within/4000-93374/" TargetMode="External"/><Relationship Id="rId333" Type="http://schemas.openxmlformats.org/officeDocument/2006/relationships/hyperlink" Target="https://comicvine.gamespot.com/teen-titans-14-beast-boys-and-girls-part-2-wild-li/4000-98237/" TargetMode="External"/><Relationship Id="rId454" Type="http://schemas.openxmlformats.org/officeDocument/2006/relationships/hyperlink" Target="https://comicvine.gamespot.com/cain-1-cain/4000-142149/" TargetMode="External"/><Relationship Id="rId211" Type="http://schemas.openxmlformats.org/officeDocument/2006/relationships/hyperlink" Target="https://comicvine.gamespot.com/superman-detour/4000-118927/" TargetMode="External"/><Relationship Id="rId332" Type="http://schemas.openxmlformats.org/officeDocument/2006/relationships/hyperlink" Target="https://comicvine.gamespot.com/teen-titans-12-raven-rising-part-3/4000-98235/" TargetMode="External"/><Relationship Id="rId453" Type="http://schemas.openxmlformats.org/officeDocument/2006/relationships/hyperlink" Target="https://comicvine.gamespot.com/wonder-woman-196-down-to-earth-part-one/4000-109040/" TargetMode="External"/><Relationship Id="rId210" Type="http://schemas.openxmlformats.org/officeDocument/2006/relationships/hyperlink" Target="https://comicvine.gamespot.com/jla-55-terror-incognita-part-1-of-4-came-the-pale-/4000-109450/" TargetMode="External"/><Relationship Id="rId331" Type="http://schemas.openxmlformats.org/officeDocument/2006/relationships/hyperlink" Target="https://comicvine.gamespot.com/teen-titans-11-raven-rising-part-2/4000-98234/" TargetMode="External"/><Relationship Id="rId452" Type="http://schemas.openxmlformats.org/officeDocument/2006/relationships/hyperlink" Target="https://comicvine.gamespot.com/teen-titans-14-beast-boys-and-girls-part-2-wild-li/4000-98237/" TargetMode="External"/><Relationship Id="rId370" Type="http://schemas.openxmlformats.org/officeDocument/2006/relationships/hyperlink" Target="https://comicvine.gamespot.com/ultimate-spider-man-25-plasmids/4000-74732/" TargetMode="External"/><Relationship Id="rId491" Type="http://schemas.openxmlformats.org/officeDocument/2006/relationships/hyperlink" Target="https://comicvine.gamespot.com/doom-patrol/4050-3786/" TargetMode="External"/><Relationship Id="rId490" Type="http://schemas.openxmlformats.org/officeDocument/2006/relationships/hyperlink" Target="https://comicvine.gamespot.com/jack-kirbys-secret-city-saga-4-let-sleeping-bojums/4000-193364/" TargetMode="External"/><Relationship Id="rId129" Type="http://schemas.openxmlformats.org/officeDocument/2006/relationships/hyperlink" Target="https://comicvine.gamespot.com/the-batman-strikes-3-outlaw-and-disorder/4000-97911/" TargetMode="External"/><Relationship Id="rId128" Type="http://schemas.openxmlformats.org/officeDocument/2006/relationships/hyperlink" Target="https://comicvine.gamespot.com/the-batman-strikes-1-penguin-rising/4000-97909/" TargetMode="External"/><Relationship Id="rId249" Type="http://schemas.openxmlformats.org/officeDocument/2006/relationships/hyperlink" Target="https://comicvine.gamespot.com/nightcrawler-5-ghosts-on-the-tracks-part-1-and-kur/4000-111146/" TargetMode="External"/><Relationship Id="rId127" Type="http://schemas.openxmlformats.org/officeDocument/2006/relationships/hyperlink" Target="https://comicvine.gamespot.com/the-batman-strikes-2-city-of-bats/4000-97910/" TargetMode="External"/><Relationship Id="rId248" Type="http://schemas.openxmlformats.org/officeDocument/2006/relationships/hyperlink" Target="http://www.comicvine.com/nightcrawler-3-the-devil-inside-part-3-fourteen-de/4000-110663/" TargetMode="External"/><Relationship Id="rId369" Type="http://schemas.openxmlformats.org/officeDocument/2006/relationships/hyperlink" Target="https://comicvine.gamespot.com/ultimate-spider-man-23-responsible/4000-74730/" TargetMode="External"/><Relationship Id="rId126" Type="http://schemas.openxmlformats.org/officeDocument/2006/relationships/hyperlink" Target="https://comicvine.gamespot.com/batman-adventures-4-need-to-know-the-balance/4000-168561/" TargetMode="External"/><Relationship Id="rId247" Type="http://schemas.openxmlformats.org/officeDocument/2006/relationships/hyperlink" Target="https://comicvine.gamespot.com/marvel-team-up-6-golden-child-part-6/4000-105633/" TargetMode="External"/><Relationship Id="rId368" Type="http://schemas.openxmlformats.org/officeDocument/2006/relationships/hyperlink" Target="https://comicvine.gamespot.com/ultimate-spider-man-21-hunted/4000-74728/" TargetMode="External"/><Relationship Id="rId489" Type="http://schemas.openxmlformats.org/officeDocument/2006/relationships/hyperlink" Target="https://comicvine.gamespot.com/jack-kirbys-secret-city-saga/4050-31101/" TargetMode="External"/><Relationship Id="rId121" Type="http://schemas.openxmlformats.org/officeDocument/2006/relationships/hyperlink" Target="https://comicvine.gamespot.com/batman-gotham-adventures-28-notes/4000-46419/" TargetMode="External"/><Relationship Id="rId242" Type="http://schemas.openxmlformats.org/officeDocument/2006/relationships/hyperlink" Target="https://comicvine.gamespot.com/ultimate-nightmare/4050-18045/" TargetMode="External"/><Relationship Id="rId363" Type="http://schemas.openxmlformats.org/officeDocument/2006/relationships/hyperlink" Target="https://comicvine.gamespot.com/thundercats-dogs-of-war/4050-23568/" TargetMode="External"/><Relationship Id="rId484" Type="http://schemas.openxmlformats.org/officeDocument/2006/relationships/hyperlink" Target="https://comicvine.gamespot.com/faust-love-of-the-damned-1-papas-got-a-brand-new-b/4000-133368/" TargetMode="External"/><Relationship Id="rId120" Type="http://schemas.openxmlformats.org/officeDocument/2006/relationships/hyperlink" Target="https://comicvine.gamespot.com/batman-beyond-7-spellbound/4000-47779/" TargetMode="External"/><Relationship Id="rId241" Type="http://schemas.openxmlformats.org/officeDocument/2006/relationships/hyperlink" Target="https://comicvine.gamespot.com/ultimate-nightmare/4050-18045/" TargetMode="External"/><Relationship Id="rId362" Type="http://schemas.openxmlformats.org/officeDocument/2006/relationships/hyperlink" Target="https://comicvine.gamespot.com/thundercats-dogs-of-war/4050-23568/" TargetMode="External"/><Relationship Id="rId483" Type="http://schemas.openxmlformats.org/officeDocument/2006/relationships/hyperlink" Target="https://comicvine.gamespot.com/x-force-7-under-the-knife/4000-35378/" TargetMode="External"/><Relationship Id="rId240" Type="http://schemas.openxmlformats.org/officeDocument/2006/relationships/hyperlink" Target="https://comicvine.gamespot.com/ultimate-nightmare/4050-18045/" TargetMode="External"/><Relationship Id="rId361" Type="http://schemas.openxmlformats.org/officeDocument/2006/relationships/hyperlink" Target="https://comicvine.gamespot.com/thundercats-dogs-of-war/4050-23568/" TargetMode="External"/><Relationship Id="rId482" Type="http://schemas.openxmlformats.org/officeDocument/2006/relationships/hyperlink" Target="https://comicvine.gamespot.com/x-force-3-battlecry/4000-34783/" TargetMode="External"/><Relationship Id="rId360" Type="http://schemas.openxmlformats.org/officeDocument/2006/relationships/hyperlink" Target="https://comicvine.gamespot.com/the-sadhu-2/4000-294617/" TargetMode="External"/><Relationship Id="rId481" Type="http://schemas.openxmlformats.org/officeDocument/2006/relationships/hyperlink" Target="https://comicvine.gamespot.com/x-force-1-a-force-to-be-reckoned-with/4000-34549/" TargetMode="External"/><Relationship Id="rId125" Type="http://schemas.openxmlformats.org/officeDocument/2006/relationships/hyperlink" Target="https://comicvine.gamespot.com/batman-beyond-15-lightning-rain/4000-47787/" TargetMode="External"/><Relationship Id="rId246" Type="http://schemas.openxmlformats.org/officeDocument/2006/relationships/hyperlink" Target="https://comicvine.gamespot.com/marvel-team-up-5-golden-child-part-5/4000-105632/" TargetMode="External"/><Relationship Id="rId367" Type="http://schemas.openxmlformats.org/officeDocument/2006/relationships/hyperlink" Target="https://comicvine.gamespot.com/ultimate-spider-man-20-live/4000-74727/" TargetMode="External"/><Relationship Id="rId488" Type="http://schemas.openxmlformats.org/officeDocument/2006/relationships/hyperlink" Target="https://comicvine.gamespot.com/jack-kirbys-secret-city-saga/4050-31101/" TargetMode="External"/><Relationship Id="rId124" Type="http://schemas.openxmlformats.org/officeDocument/2006/relationships/hyperlink" Target="https://comicvine.gamespot.com/batman-gotham-adventures-50-second-timers/4000-125516/" TargetMode="External"/><Relationship Id="rId245" Type="http://schemas.openxmlformats.org/officeDocument/2006/relationships/hyperlink" Target="https://comicvine.gamespot.com/marvel-team-up-4-golden-child-part-4/4000-105631/" TargetMode="External"/><Relationship Id="rId366" Type="http://schemas.openxmlformats.org/officeDocument/2006/relationships/hyperlink" Target="https://comicvine.gamespot.com/ultimate-spider-man-19-piece-of-work/4000-51630/" TargetMode="External"/><Relationship Id="rId487" Type="http://schemas.openxmlformats.org/officeDocument/2006/relationships/hyperlink" Target="https://comicvine.gamespot.com/jack-kirbys-secret-city-saga/4050-31101/" TargetMode="External"/><Relationship Id="rId123" Type="http://schemas.openxmlformats.org/officeDocument/2006/relationships/hyperlink" Target="https://comicvine.gamespot.com/batman-gotham-adventures-44-choices/4000-134939/" TargetMode="External"/><Relationship Id="rId244" Type="http://schemas.openxmlformats.org/officeDocument/2006/relationships/hyperlink" Target="https://comicvine.gamespot.com/ultimate-nightmare/4050-18045/" TargetMode="External"/><Relationship Id="rId365" Type="http://schemas.openxmlformats.org/officeDocument/2006/relationships/hyperlink" Target="https://comicvine.gamespot.com/ultimate-spider-man-18-the-cycle/4000-51629/" TargetMode="External"/><Relationship Id="rId486" Type="http://schemas.openxmlformats.org/officeDocument/2006/relationships/hyperlink" Target="https://comicvine.gamespot.com/jack-kirbys-secret-city-saga/4050-31101/" TargetMode="External"/><Relationship Id="rId122" Type="http://schemas.openxmlformats.org/officeDocument/2006/relationships/hyperlink" Target="https://comicvine.gamespot.com/batman-gotham-adventures-34-when-in-rome/4000-78291/" TargetMode="External"/><Relationship Id="rId243" Type="http://schemas.openxmlformats.org/officeDocument/2006/relationships/hyperlink" Target="https://comicvine.gamespot.com/ultimate-nightmare/4050-18045/" TargetMode="External"/><Relationship Id="rId364" Type="http://schemas.openxmlformats.org/officeDocument/2006/relationships/hyperlink" Target="https://comicvine.gamespot.com/ultimate-spider-man-11-discovery/4000-69354/" TargetMode="External"/><Relationship Id="rId485" Type="http://schemas.openxmlformats.org/officeDocument/2006/relationships/hyperlink" Target="https://comicvine.gamespot.com/dracula-series-1-dracula-ka-hamla/4000-207956/" TargetMode="External"/><Relationship Id="rId95" Type="http://schemas.openxmlformats.org/officeDocument/2006/relationships/hyperlink" Target="https://comicvine.gamespot.com/the-power-company-bork-1-vulnerability/4000-136281/" TargetMode="External"/><Relationship Id="rId94" Type="http://schemas.openxmlformats.org/officeDocument/2006/relationships/hyperlink" Target="https://comicvine.gamespot.com/detective-comics-395-the-secret-of-the-waiting-gra/4000-112647/" TargetMode="External"/><Relationship Id="rId97" Type="http://schemas.openxmlformats.org/officeDocument/2006/relationships/hyperlink" Target="https://comicvine.gamespot.com/martian-manhunter-22-revelation-three-brothers/4000-46420/" TargetMode="External"/><Relationship Id="rId96" Type="http://schemas.openxmlformats.org/officeDocument/2006/relationships/hyperlink" Target="https://comicvine.gamespot.com/jla-65-bouncing-baby-boy/4000-111247/" TargetMode="External"/><Relationship Id="rId99" Type="http://schemas.openxmlformats.org/officeDocument/2006/relationships/hyperlink" Target="https://comicvine.gamespot.com/detective-comics-697-deadbolt/4000-113157/" TargetMode="External"/><Relationship Id="rId480" Type="http://schemas.openxmlformats.org/officeDocument/2006/relationships/hyperlink" Target="https://comicvine.gamespot.com/the-ultimates-9-captain-america-vs-giant-man/4000-120302/" TargetMode="External"/><Relationship Id="rId98" Type="http://schemas.openxmlformats.org/officeDocument/2006/relationships/hyperlink" Target="https://comicvine.gamespot.com/batman-586-penguin-dreams/4000-98701/" TargetMode="External"/><Relationship Id="rId91" Type="http://schemas.openxmlformats.org/officeDocument/2006/relationships/hyperlink" Target="https://comicvine.gamespot.com/breakout/4045-55505/" TargetMode="External"/><Relationship Id="rId90" Type="http://schemas.openxmlformats.org/officeDocument/2006/relationships/hyperlink" Target="https://comicvine.gamespot.com/breakout/4045-55505/" TargetMode="External"/><Relationship Id="rId93" Type="http://schemas.openxmlformats.org/officeDocument/2006/relationships/hyperlink" Target="http://www.comicvine.com/detective-comics-457-there-is-no-hope-in-crime-all/4000-112763/" TargetMode="External"/><Relationship Id="rId92" Type="http://schemas.openxmlformats.org/officeDocument/2006/relationships/hyperlink" Target="https://comicvine.gamespot.com/the-new-avengers-7-the-sentry-part-1/4000-108307/" TargetMode="External"/><Relationship Id="rId118" Type="http://schemas.openxmlformats.org/officeDocument/2006/relationships/hyperlink" Target="https://comicvine.gamespot.com/detective-comics-701-gothams-scourge/4000-113160/" TargetMode="External"/><Relationship Id="rId239" Type="http://schemas.openxmlformats.org/officeDocument/2006/relationships/hyperlink" Target="https://comicvine.gamespot.com/marvel-universe-the-end/4050-18641/" TargetMode="External"/><Relationship Id="rId117" Type="http://schemas.openxmlformats.org/officeDocument/2006/relationships/hyperlink" Target="https://comicvine.gamespot.com/detective-comics-700-progeny-of-the-demon/4000-106843/" TargetMode="External"/><Relationship Id="rId238" Type="http://schemas.openxmlformats.org/officeDocument/2006/relationships/hyperlink" Target="https://comicvine.gamespot.com/marvel-universe-the-end/4050-18641/" TargetMode="External"/><Relationship Id="rId359" Type="http://schemas.openxmlformats.org/officeDocument/2006/relationships/hyperlink" Target="https://comicvine.gamespot.com/the-sadhu-1/4000-131054/" TargetMode="External"/><Relationship Id="rId116" Type="http://schemas.openxmlformats.org/officeDocument/2006/relationships/hyperlink" Target="https://comicvine.gamespot.com/batman-legends-of-the-dark-knight-90-clay-part-2-o/4000-43223/" TargetMode="External"/><Relationship Id="rId237" Type="http://schemas.openxmlformats.org/officeDocument/2006/relationships/hyperlink" Target="https://comicvine.gamespot.com/marvel-universe-the-end/4050-18641/" TargetMode="External"/><Relationship Id="rId358" Type="http://schemas.openxmlformats.org/officeDocument/2006/relationships/hyperlink" Target="https://comicvine.gamespot.com/incredible-hulk-89-peace-in-our-time-part-2/4000-151587/" TargetMode="External"/><Relationship Id="rId479" Type="http://schemas.openxmlformats.org/officeDocument/2006/relationships/hyperlink" Target="https://comicvine.gamespot.com/the-infinity-gauntlet-1-god/4000-34415/" TargetMode="External"/><Relationship Id="rId115" Type="http://schemas.openxmlformats.org/officeDocument/2006/relationships/hyperlink" Target="https://comicvine.gamespot.com/batman-legends-of-the-dark-knight-89-clay-part-1-o/4000-43044/" TargetMode="External"/><Relationship Id="rId236" Type="http://schemas.openxmlformats.org/officeDocument/2006/relationships/hyperlink" Target="https://comicvine.gamespot.com/thor-52-realization/4000-99298/" TargetMode="External"/><Relationship Id="rId357" Type="http://schemas.openxmlformats.org/officeDocument/2006/relationships/hyperlink" Target="https://comicvine.gamespot.com/incredible-hulk-82-dear-patricia/4000-133260/" TargetMode="External"/><Relationship Id="rId478" Type="http://schemas.openxmlformats.org/officeDocument/2006/relationships/hyperlink" Target="https://comicvine.gamespot.com/the-incredible-hulk-1-the-coming-of-the-hulk/4000-5883/" TargetMode="External"/><Relationship Id="rId119" Type="http://schemas.openxmlformats.org/officeDocument/2006/relationships/hyperlink" Target="https://comicvine.gamespot.com/robin-33-riptide/4000-42780/" TargetMode="External"/><Relationship Id="rId110" Type="http://schemas.openxmlformats.org/officeDocument/2006/relationships/hyperlink" Target="https://comicvine.gamespot.com/batman-as-the-crow-flies/4045-57397/" TargetMode="External"/><Relationship Id="rId231" Type="http://schemas.openxmlformats.org/officeDocument/2006/relationships/hyperlink" Target="http://www.comicvine.com/justice-league-unlimited-3-small-time/4000-108884/" TargetMode="External"/><Relationship Id="rId352" Type="http://schemas.openxmlformats.org/officeDocument/2006/relationships/hyperlink" Target="https://comicvine.gamespot.com/tempest-fugit/4045-57102/" TargetMode="External"/><Relationship Id="rId473" Type="http://schemas.openxmlformats.org/officeDocument/2006/relationships/hyperlink" Target="https://comicvine.gamespot.com/edge-of-spider-verse-1-spider-man-noir/4000-464979/" TargetMode="External"/><Relationship Id="rId230" Type="http://schemas.openxmlformats.org/officeDocument/2006/relationships/hyperlink" Target="https://comicvine.gamespot.com/justice-league-unlimited-2-poker-face/4000-96733/" TargetMode="External"/><Relationship Id="rId351" Type="http://schemas.openxmlformats.org/officeDocument/2006/relationships/hyperlink" Target="https://comicvine.gamespot.com/incredible-hulk-19-the-dogs-of-war-part-6/4000-46838/" TargetMode="External"/><Relationship Id="rId472" Type="http://schemas.openxmlformats.org/officeDocument/2006/relationships/hyperlink" Target="https://comicvine.gamespot.com/daredevil-fall-from-grace/4045-55851/" TargetMode="External"/><Relationship Id="rId350" Type="http://schemas.openxmlformats.org/officeDocument/2006/relationships/hyperlink" Target="https://comicvine.gamespot.com/incredible-hulk-18-the-dogs-of-war-part-5/4000-46837/" TargetMode="External"/><Relationship Id="rId471" Type="http://schemas.openxmlformats.org/officeDocument/2006/relationships/hyperlink" Target="https://comicvine.gamespot.com/daredevil-fall-from-grace/4045-55851/" TargetMode="External"/><Relationship Id="rId470" Type="http://schemas.openxmlformats.org/officeDocument/2006/relationships/hyperlink" Target="https://comicvine.gamespot.com/daredevil-fall-from-grace/4045-55851/" TargetMode="External"/><Relationship Id="rId114" Type="http://schemas.openxmlformats.org/officeDocument/2006/relationships/hyperlink" Target="https://comicvine.gamespot.com/detective-comics-823-stalked/4000-113419/" TargetMode="External"/><Relationship Id="rId235" Type="http://schemas.openxmlformats.org/officeDocument/2006/relationships/hyperlink" Target="https://comicvine.gamespot.com/spider-mankingpin-to-the-death-1/4000-120919/" TargetMode="External"/><Relationship Id="rId356" Type="http://schemas.openxmlformats.org/officeDocument/2006/relationships/hyperlink" Target="https://comicvine.gamespot.com/tempest-fugit/4045-57102/" TargetMode="External"/><Relationship Id="rId477" Type="http://schemas.openxmlformats.org/officeDocument/2006/relationships/hyperlink" Target="https://comicvine.gamespot.com/spider-man-india/4050-151261/" TargetMode="External"/><Relationship Id="rId113" Type="http://schemas.openxmlformats.org/officeDocument/2006/relationships/hyperlink" Target="https://comicvine.gamespot.com/detective-comics-822-e-nigma-consulting-detective/4000-113418/" TargetMode="External"/><Relationship Id="rId234" Type="http://schemas.openxmlformats.org/officeDocument/2006/relationships/hyperlink" Target="https://comicvine.gamespot.com/iron-man-59-in-shining-iron-part-1/4000-131901/" TargetMode="External"/><Relationship Id="rId355" Type="http://schemas.openxmlformats.org/officeDocument/2006/relationships/hyperlink" Target="https://comicvine.gamespot.com/tempest-fugit/4045-57102/" TargetMode="External"/><Relationship Id="rId476" Type="http://schemas.openxmlformats.org/officeDocument/2006/relationships/hyperlink" Target="https://comicvine.gamespot.com/spider-girl-42-mothers-day/4000-78223/" TargetMode="External"/><Relationship Id="rId112" Type="http://schemas.openxmlformats.org/officeDocument/2006/relationships/hyperlink" Target="https://comicvine.gamespot.com/detective-comics-821-the-beautiful-people/4000-113417/" TargetMode="External"/><Relationship Id="rId233" Type="http://schemas.openxmlformats.org/officeDocument/2006/relationships/hyperlink" Target="https://comicvine.gamespot.com/wolverine-156-going-underground/4000-51223/" TargetMode="External"/><Relationship Id="rId354" Type="http://schemas.openxmlformats.org/officeDocument/2006/relationships/hyperlink" Target="https://comicvine.gamespot.com/tempest-fugit/4045-57102/" TargetMode="External"/><Relationship Id="rId475" Type="http://schemas.openxmlformats.org/officeDocument/2006/relationships/hyperlink" Target="https://comicvine.gamespot.com/spider-girl-14-defeated-by-kaine/4000-46092/" TargetMode="External"/><Relationship Id="rId111" Type="http://schemas.openxmlformats.org/officeDocument/2006/relationships/hyperlink" Target="https://comicvine.gamespot.com/all-star-batman-robin-the-boy-wonder/4050-18164/" TargetMode="External"/><Relationship Id="rId232" Type="http://schemas.openxmlformats.org/officeDocument/2006/relationships/hyperlink" Target="http://www.comicvine.com/the-silver-surfer-the-ultimate-cosmic-experience-1/4000-122392/" TargetMode="External"/><Relationship Id="rId353" Type="http://schemas.openxmlformats.org/officeDocument/2006/relationships/hyperlink" Target="https://comicvine.gamespot.com/tempest-fugit/4045-57102/" TargetMode="External"/><Relationship Id="rId474" Type="http://schemas.openxmlformats.org/officeDocument/2006/relationships/hyperlink" Target="https://comicvine.gamespot.com/marvel-team-up-3-golden-child-part-3/4000-105569/" TargetMode="External"/><Relationship Id="rId305" Type="http://schemas.openxmlformats.org/officeDocument/2006/relationships/hyperlink" Target="https://comicvine.gamespot.com/superman-10-the-super-menace-of-metropolis/4000-28650/" TargetMode="External"/><Relationship Id="rId426" Type="http://schemas.openxmlformats.org/officeDocument/2006/relationships/hyperlink" Target="https://comicvine.gamespot.com/wonder-woman-114-nightmare-alley/4000-42874/" TargetMode="External"/><Relationship Id="rId304" Type="http://schemas.openxmlformats.org/officeDocument/2006/relationships/hyperlink" Target="https://comicvine.gamespot.com/superman-7-rampage/4000-28299/" TargetMode="External"/><Relationship Id="rId425" Type="http://schemas.openxmlformats.org/officeDocument/2006/relationships/hyperlink" Target="https://comicvine.gamespot.com/wonder-woman-113-are-you-out-of-your-minds/4000-42787/" TargetMode="External"/><Relationship Id="rId303" Type="http://schemas.openxmlformats.org/officeDocument/2006/relationships/hyperlink" Target="https://comicvine.gamespot.com/superman-4-bloodsport/4000-27973/" TargetMode="External"/><Relationship Id="rId424" Type="http://schemas.openxmlformats.org/officeDocument/2006/relationships/hyperlink" Target="https://comicvine.gamespot.com/wonder-woman-112-game-over/4000-42690/" TargetMode="External"/><Relationship Id="rId302" Type="http://schemas.openxmlformats.org/officeDocument/2006/relationships/hyperlink" Target="https://comicvine.gamespot.com/superman-2-the-secret-revealed/4000-27753/" TargetMode="External"/><Relationship Id="rId423" Type="http://schemas.openxmlformats.org/officeDocument/2006/relationships/hyperlink" Target="https://comicvine.gamespot.com/wonder-woman-111-level-3/4000-42591/" TargetMode="External"/><Relationship Id="rId309" Type="http://schemas.openxmlformats.org/officeDocument/2006/relationships/hyperlink" Target="https://comicvine.gamespot.com/action-comics-759-who-is-strange-visitor-chapter-3/4000-114910/" TargetMode="External"/><Relationship Id="rId308" Type="http://schemas.openxmlformats.org/officeDocument/2006/relationships/hyperlink" Target="https://comicvine.gamespot.com/superman-149-the-arrival-ofstrange-visitor/4000-70853/" TargetMode="External"/><Relationship Id="rId429" Type="http://schemas.openxmlformats.org/officeDocument/2006/relationships/hyperlink" Target="https://comicvine.gamespot.com/wonder-woman-117-the-men-who-moved-the-world-part-/4000-43260/" TargetMode="External"/><Relationship Id="rId307" Type="http://schemas.openxmlformats.org/officeDocument/2006/relationships/hyperlink" Target="https://comicvine.gamespot.com/superman-17-cries-in-the-night/4000-29556/" TargetMode="External"/><Relationship Id="rId428" Type="http://schemas.openxmlformats.org/officeDocument/2006/relationships/hyperlink" Target="https://comicvine.gamespot.com/wonder-woman-116-the-men-who-moved-the-world-part-/4000-43064/" TargetMode="External"/><Relationship Id="rId306" Type="http://schemas.openxmlformats.org/officeDocument/2006/relationships/hyperlink" Target="https://comicvine.gamespot.com/action-comics-584-squatter/4000-119547/" TargetMode="External"/><Relationship Id="rId427" Type="http://schemas.openxmlformats.org/officeDocument/2006/relationships/hyperlink" Target="https://comicvine.gamespot.com/wonder-woman-115-the-men-who-moved-the-world-part-/4000-42971/" TargetMode="External"/><Relationship Id="rId301" Type="http://schemas.openxmlformats.org/officeDocument/2006/relationships/hyperlink" Target="https://comicvine.gamespot.com/superman-1-heart-of-stone/4000-27645/" TargetMode="External"/><Relationship Id="rId422" Type="http://schemas.openxmlformats.org/officeDocument/2006/relationships/hyperlink" Target="https://comicvine.gamespot.com/wonder-woman-110-level-2/4000-42483/" TargetMode="External"/><Relationship Id="rId300" Type="http://schemas.openxmlformats.org/officeDocument/2006/relationships/hyperlink" Target="https://comicvine.gamespot.com/the-supergirl-from-krypton/4045-56607/" TargetMode="External"/><Relationship Id="rId421" Type="http://schemas.openxmlformats.org/officeDocument/2006/relationships/hyperlink" Target="https://comicvine.gamespot.com/wonder-woman-109-level-1/4000-42386/" TargetMode="External"/><Relationship Id="rId420" Type="http://schemas.openxmlformats.org/officeDocument/2006/relationships/hyperlink" Target="https://comicvine.gamespot.com/lifelines/4045-55994/" TargetMode="External"/><Relationship Id="rId415" Type="http://schemas.openxmlformats.org/officeDocument/2006/relationships/hyperlink" Target="https://comicvine.gamespot.com/wolverine-23-enemy-of-the-state-part-4/4000-97344/" TargetMode="External"/><Relationship Id="rId414" Type="http://schemas.openxmlformats.org/officeDocument/2006/relationships/hyperlink" Target="https://comicvine.gamespot.com/wolverine-21-enemy-of-the-state-part-2/4000-96821/" TargetMode="External"/><Relationship Id="rId413" Type="http://schemas.openxmlformats.org/officeDocument/2006/relationships/hyperlink" Target="https://comicvine.gamespot.com/wolverine-xisle/4050-11294/" TargetMode="External"/><Relationship Id="rId412" Type="http://schemas.openxmlformats.org/officeDocument/2006/relationships/hyperlink" Target="https://comicvine.gamespot.com/wolverine-xisle/4050-11294/" TargetMode="External"/><Relationship Id="rId419" Type="http://schemas.openxmlformats.org/officeDocument/2006/relationships/hyperlink" Target="https://comicvine.gamespot.com/wonder-woman-second-genesis/4045-55993/" TargetMode="External"/><Relationship Id="rId418" Type="http://schemas.openxmlformats.org/officeDocument/2006/relationships/hyperlink" Target="https://comicvine.gamespot.com/wolverine-the-end-6-part-6/4000-99467/" TargetMode="External"/><Relationship Id="rId417" Type="http://schemas.openxmlformats.org/officeDocument/2006/relationships/hyperlink" Target="http://www.comicvine.com/wolverine-the-end-4/4000-92160/" TargetMode="External"/><Relationship Id="rId416" Type="http://schemas.openxmlformats.org/officeDocument/2006/relationships/hyperlink" Target="https://comicvine.gamespot.com/wolverine-25-enemy-of-the-state-part-6/4000-99466/" TargetMode="External"/><Relationship Id="rId411" Type="http://schemas.openxmlformats.org/officeDocument/2006/relationships/hyperlink" Target="https://comicvine.gamespot.com/wolverine-xisle/4050-11294/" TargetMode="External"/><Relationship Id="rId410" Type="http://schemas.openxmlformats.org/officeDocument/2006/relationships/hyperlink" Target="https://comicvine.gamespot.com/wolverine-xisle/4050-11294/" TargetMode="External"/><Relationship Id="rId206" Type="http://schemas.openxmlformats.org/officeDocument/2006/relationships/hyperlink" Target="https://comicvine.gamespot.com/green-lantern-rebirth/4045-54588/" TargetMode="External"/><Relationship Id="rId327" Type="http://schemas.openxmlformats.org/officeDocument/2006/relationships/hyperlink" Target="https://comicvine.gamespot.com/superman-adventures-3-distant-thunder/4000-43258/" TargetMode="External"/><Relationship Id="rId448" Type="http://schemas.openxmlformats.org/officeDocument/2006/relationships/hyperlink" Target="https://comicvine.gamespot.com/x-men-the-hidden-years-14-yet-no-more-like-my-fath/4000-124315/" TargetMode="External"/><Relationship Id="rId205" Type="http://schemas.openxmlformats.org/officeDocument/2006/relationships/hyperlink" Target="https://comicvine.gamespot.com/green-lantern-rebirth/4045-54588/" TargetMode="External"/><Relationship Id="rId326" Type="http://schemas.openxmlformats.org/officeDocument/2006/relationships/hyperlink" Target="https://comicvine.gamespot.com/superman-adventures-33-clark-kent-is-superman-and-/4000-71019/" TargetMode="External"/><Relationship Id="rId447" Type="http://schemas.openxmlformats.org/officeDocument/2006/relationships/hyperlink" Target="https://comicvine.gamespot.com/x-men-the-hidden-years-13-blood-and-circuses/4000-124313/" TargetMode="External"/><Relationship Id="rId204" Type="http://schemas.openxmlformats.org/officeDocument/2006/relationships/hyperlink" Target="https://comicvine.gamespot.com/green-lantern-rebirth/4045-54588/" TargetMode="External"/><Relationship Id="rId325" Type="http://schemas.openxmlformats.org/officeDocument/2006/relationships/hyperlink" Target="https://comicvine.gamespot.com/superman-adventures-27-how-much-can-one-man-hate/4000-234912/" TargetMode="External"/><Relationship Id="rId446" Type="http://schemas.openxmlformats.org/officeDocument/2006/relationships/hyperlink" Target="https://comicvine.gamespot.com/x-men-the-hidden-years-12-and-death-alone-shall-kn/4000-124311/" TargetMode="External"/><Relationship Id="rId203" Type="http://schemas.openxmlformats.org/officeDocument/2006/relationships/hyperlink" Target="https://comicvine.gamespot.com/green-lantern-rebirth/4045-54588/" TargetMode="External"/><Relationship Id="rId324" Type="http://schemas.openxmlformats.org/officeDocument/2006/relationships/hyperlink" Target="https://comicvine.gamespot.com/superman-adventures-13-grand-slam/4000-44284/" TargetMode="External"/><Relationship Id="rId445" Type="http://schemas.openxmlformats.org/officeDocument/2006/relationships/hyperlink" Target="https://comicvine.gamespot.com/x-men-the-hidden-years-10-home-is-where-the-hurt-i/4000-70477/" TargetMode="External"/><Relationship Id="rId209" Type="http://schemas.openxmlformats.org/officeDocument/2006/relationships/hyperlink" Target="https://comicvine.gamespot.com/jla-52-element-of-surprise/4000-66957/" TargetMode="External"/><Relationship Id="rId208" Type="http://schemas.openxmlformats.org/officeDocument/2006/relationships/hyperlink" Target="https://comicvine.gamespot.com/jla-51-man-and-superman/4000-66956/" TargetMode="External"/><Relationship Id="rId329" Type="http://schemas.openxmlformats.org/officeDocument/2006/relationships/hyperlink" Target="https://comicvine.gamespot.com/superman-adventures-47-bigger-than-big-smaller-tha/4000-241179/" TargetMode="External"/><Relationship Id="rId207" Type="http://schemas.openxmlformats.org/officeDocument/2006/relationships/hyperlink" Target="https://comicvine.gamespot.com/green-lantern-rebirth/4045-54588/" TargetMode="External"/><Relationship Id="rId328" Type="http://schemas.openxmlformats.org/officeDocument/2006/relationships/hyperlink" Target="https://comicvine.gamespot.com/superman-adventures-20-hide-n-seek/4000-48250/" TargetMode="External"/><Relationship Id="rId449" Type="http://schemas.openxmlformats.org/officeDocument/2006/relationships/hyperlink" Target="https://comicvine.gamespot.com/jla-53-it-takes-a-thief/4000-66958/" TargetMode="External"/><Relationship Id="rId440" Type="http://schemas.openxmlformats.org/officeDocument/2006/relationships/hyperlink" Target="https://comicvine.gamespot.com/x-men-the-hidden-years-4-escape-to-oblivion/4000-70471/" TargetMode="External"/><Relationship Id="rId202" Type="http://schemas.openxmlformats.org/officeDocument/2006/relationships/hyperlink" Target="https://comicvine.gamespot.com/blood-will-run/4045-58231/" TargetMode="External"/><Relationship Id="rId323" Type="http://schemas.openxmlformats.org/officeDocument/2006/relationships/hyperlink" Target="https://comicvine.gamespot.com/superman-adventures-10-dont-try-this-at-home/4000-43963/" TargetMode="External"/><Relationship Id="rId444" Type="http://schemas.openxmlformats.org/officeDocument/2006/relationships/hyperlink" Target="https://comicvine.gamespot.com/x-men-the-hidden-years-9-dark-destiny/4000-70476/" TargetMode="External"/><Relationship Id="rId201" Type="http://schemas.openxmlformats.org/officeDocument/2006/relationships/hyperlink" Target="https://comicvine.gamespot.com/blood-will-run/4045-58231/" TargetMode="External"/><Relationship Id="rId322" Type="http://schemas.openxmlformats.org/officeDocument/2006/relationships/hyperlink" Target="https://comicvine.gamespot.com/superman-adventures-5-balance-of-power/4000-43468/" TargetMode="External"/><Relationship Id="rId443" Type="http://schemas.openxmlformats.org/officeDocument/2006/relationships/hyperlink" Target="https://comicvine.gamespot.com/x-men-the-hidden-years-8-shadow-on-the-stars/4000-70475/" TargetMode="External"/><Relationship Id="rId200" Type="http://schemas.openxmlformats.org/officeDocument/2006/relationships/hyperlink" Target="https://comicvine.gamespot.com/blood-will-run/4045-58231/" TargetMode="External"/><Relationship Id="rId321" Type="http://schemas.openxmlformats.org/officeDocument/2006/relationships/hyperlink" Target="https://comicvine.gamespot.com/superman-adventures-4-eye-to-eye/4000-43359/" TargetMode="External"/><Relationship Id="rId442" Type="http://schemas.openxmlformats.org/officeDocument/2006/relationships/hyperlink" Target="https://comicvine.gamespot.com/x-men-the-hidden-years-7-power-play/4000-70474/" TargetMode="External"/><Relationship Id="rId320" Type="http://schemas.openxmlformats.org/officeDocument/2006/relationships/hyperlink" Target="https://comicvine.gamespot.com/superman-adventures-55-kryptonite-no-more-part-two/4000-241186/" TargetMode="External"/><Relationship Id="rId441" Type="http://schemas.openxmlformats.org/officeDocument/2006/relationships/hyperlink" Target="https://comicvine.gamespot.com/x-men-the-hidden-years-6-behold-a-goddess-rising/4000-70473/" TargetMode="External"/><Relationship Id="rId316" Type="http://schemas.openxmlformats.org/officeDocument/2006/relationships/hyperlink" Target="https://comicvine.gamespot.com/superman-adventures-33-clark-kent-is-superman-and-/4000-71019/" TargetMode="External"/><Relationship Id="rId437" Type="http://schemas.openxmlformats.org/officeDocument/2006/relationships/hyperlink" Target="https://comicvine.gamespot.com/wonder-woman-196-down-to-earth-part-one/4000-109040/" TargetMode="External"/><Relationship Id="rId315" Type="http://schemas.openxmlformats.org/officeDocument/2006/relationships/hyperlink" Target="https://comicvine.gamespot.com/superman-adventures-32-sullivans-girl-friend-lois-/4000-71018/" TargetMode="External"/><Relationship Id="rId436" Type="http://schemas.openxmlformats.org/officeDocument/2006/relationships/hyperlink" Target="https://comicvine.gamespot.com/wonder-woman-196-down-to-earth-part-one/4000-109040/" TargetMode="External"/><Relationship Id="rId314" Type="http://schemas.openxmlformats.org/officeDocument/2006/relationships/hyperlink" Target="https://comicvine.gamespot.com/superman-adventures-48-the-believer/4000-241181/" TargetMode="External"/><Relationship Id="rId435" Type="http://schemas.openxmlformats.org/officeDocument/2006/relationships/hyperlink" Target="https://comicvine.gamespot.com/wonder-woman-195-the-mission/4000-109039/" TargetMode="External"/><Relationship Id="rId313" Type="http://schemas.openxmlformats.org/officeDocument/2006/relationships/hyperlink" Target="https://comicvine.gamespot.com/superman-148-duel-on-a-distant-world/4000-70852/" TargetMode="External"/><Relationship Id="rId434" Type="http://schemas.openxmlformats.org/officeDocument/2006/relationships/hyperlink" Target="https://comicvine.gamespot.com/wonder-woman-122-judgment-of-the-gods/4000-43760/" TargetMode="External"/><Relationship Id="rId319" Type="http://schemas.openxmlformats.org/officeDocument/2006/relationships/hyperlink" Target="https://comicvine.gamespot.com/superman-adventures-52-a-death-in-the-family/4000-203199/" TargetMode="External"/><Relationship Id="rId318" Type="http://schemas.openxmlformats.org/officeDocument/2006/relationships/hyperlink" Target="https://comicvine.gamespot.com/superman-adventures-46-the-fallen/4000-241177/" TargetMode="External"/><Relationship Id="rId439" Type="http://schemas.openxmlformats.org/officeDocument/2006/relationships/hyperlink" Target="https://comicvine.gamespot.com/x-men-the-hidden-years-1-once-more-the-savage-land/4000-124309/" TargetMode="External"/><Relationship Id="rId317" Type="http://schemas.openxmlformats.org/officeDocument/2006/relationships/hyperlink" Target="https://comicvine.gamespot.com/superman-adventures-44-law-and-orders/4000-71026/" TargetMode="External"/><Relationship Id="rId438" Type="http://schemas.openxmlformats.org/officeDocument/2006/relationships/hyperlink" Target="https://comicvine.gamespot.com/x-men-2-the-movie-1-x-men-2-the-movie-official-com/4000-192951/" TargetMode="External"/><Relationship Id="rId312" Type="http://schemas.openxmlformats.org/officeDocument/2006/relationships/hyperlink" Target="https://comicvine.gamespot.com/superman-146-rough-day-at-the-office/4000-70850/" TargetMode="External"/><Relationship Id="rId433" Type="http://schemas.openxmlformats.org/officeDocument/2006/relationships/hyperlink" Target="https://comicvine.gamespot.com/wonder-woman-121-stone-may-grow/4000-43673/" TargetMode="External"/><Relationship Id="rId311" Type="http://schemas.openxmlformats.org/officeDocument/2006/relationships/hyperlink" Target="https://comicvine.gamespot.com/adventures-of-superman-571-it-came-from-hollywood/4000-70956/" TargetMode="External"/><Relationship Id="rId432" Type="http://schemas.openxmlformats.org/officeDocument/2006/relationships/hyperlink" Target="https://comicvine.gamespot.com/wonder-woman-120-time-out-of-mind/4000-43569/" TargetMode="External"/><Relationship Id="rId310" Type="http://schemas.openxmlformats.org/officeDocument/2006/relationships/hyperlink" Target="https://comicvine.gamespot.com/superman-the-man-of-steel-94-only-one-man-can-stop/4000-114949/" TargetMode="External"/><Relationship Id="rId431" Type="http://schemas.openxmlformats.org/officeDocument/2006/relationships/hyperlink" Target="https://comicvine.gamespot.com/wonder-woman-119-in-the-forest-of-the-night/4000-43470/" TargetMode="External"/><Relationship Id="rId430" Type="http://schemas.openxmlformats.org/officeDocument/2006/relationships/hyperlink" Target="https://comicvine.gamespot.com/wonder-woman-118-claws/4000-43371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0.43"/>
    <col customWidth="1" min="2" max="2" width="23.86"/>
    <col customWidth="1" min="3" max="3" width="25.29"/>
    <col customWidth="1" min="4" max="4" width="27.0"/>
    <col customWidth="1" min="5" max="6" width="8.0"/>
    <col customWidth="1" min="7" max="8" width="10.43"/>
    <col customWidth="1" min="9" max="10" width="11.86"/>
    <col customWidth="1" min="11" max="11" width="4.29"/>
    <col customWidth="1" min="12" max="12" width="4.43"/>
    <col customWidth="1" min="13" max="13" width="4.14"/>
    <col customWidth="1" min="14" max="14" width="8.43"/>
    <col customWidth="1" min="15" max="26" width="9.14"/>
  </cols>
  <sheetData>
    <row r="1" ht="12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4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" t="s">
        <v>15</v>
      </c>
      <c r="B2" s="5" t="s">
        <v>16</v>
      </c>
      <c r="C2" s="5"/>
      <c r="D2" s="5" t="s">
        <v>17</v>
      </c>
      <c r="E2" s="6">
        <v>1.0</v>
      </c>
      <c r="F2" s="6">
        <v>2014.0</v>
      </c>
      <c r="G2" s="6" t="s">
        <v>18</v>
      </c>
      <c r="H2" s="6" t="s">
        <v>19</v>
      </c>
      <c r="I2" s="7" t="s">
        <v>20</v>
      </c>
      <c r="J2" s="7" t="s">
        <v>21</v>
      </c>
      <c r="K2" s="8"/>
      <c r="L2" s="8"/>
      <c r="M2" s="9">
        <v>3.98</v>
      </c>
      <c r="N2" s="5" t="s">
        <v>22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5" t="s">
        <v>23</v>
      </c>
      <c r="B3" s="5" t="s">
        <v>16</v>
      </c>
      <c r="C3" s="5"/>
      <c r="D3" s="5" t="s">
        <v>17</v>
      </c>
      <c r="E3" s="6">
        <v>2.0</v>
      </c>
      <c r="F3" s="6">
        <v>2015.0</v>
      </c>
      <c r="G3" s="6" t="s">
        <v>18</v>
      </c>
      <c r="H3" s="6" t="s">
        <v>19</v>
      </c>
      <c r="I3" s="7" t="s">
        <v>24</v>
      </c>
      <c r="J3" s="7" t="s">
        <v>25</v>
      </c>
      <c r="K3" s="8"/>
      <c r="L3" s="8"/>
      <c r="M3" s="9">
        <v>4.2</v>
      </c>
      <c r="N3" s="5" t="s">
        <v>22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5" t="s">
        <v>26</v>
      </c>
      <c r="B4" s="5" t="s">
        <v>16</v>
      </c>
      <c r="C4" s="5"/>
      <c r="D4" s="5" t="s">
        <v>17</v>
      </c>
      <c r="E4" s="6">
        <v>3.0</v>
      </c>
      <c r="F4" s="6">
        <v>2015.0</v>
      </c>
      <c r="G4" s="6" t="s">
        <v>18</v>
      </c>
      <c r="H4" s="6" t="s">
        <v>19</v>
      </c>
      <c r="I4" s="7" t="s">
        <v>27</v>
      </c>
      <c r="J4" s="7" t="s">
        <v>28</v>
      </c>
      <c r="K4" s="8"/>
      <c r="L4" s="8"/>
      <c r="M4" s="9">
        <v>4.01</v>
      </c>
      <c r="N4" s="5" t="s">
        <v>22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" t="s">
        <v>29</v>
      </c>
      <c r="B5" s="5" t="s">
        <v>30</v>
      </c>
      <c r="C5" s="5"/>
      <c r="D5" s="5" t="s">
        <v>31</v>
      </c>
      <c r="E5" s="6">
        <v>2.0</v>
      </c>
      <c r="F5" s="6">
        <v>1994.0</v>
      </c>
      <c r="G5" s="6" t="s">
        <v>18</v>
      </c>
      <c r="H5" s="6" t="s">
        <v>32</v>
      </c>
      <c r="I5" s="7" t="s">
        <v>33</v>
      </c>
      <c r="J5" s="7" t="s">
        <v>34</v>
      </c>
      <c r="K5" s="8"/>
      <c r="L5" s="8"/>
      <c r="M5" s="9">
        <v>3.61</v>
      </c>
      <c r="N5" s="5" t="s">
        <v>22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" t="s">
        <v>35</v>
      </c>
      <c r="B6" s="5" t="s">
        <v>36</v>
      </c>
      <c r="C6" s="5"/>
      <c r="D6" s="5" t="s">
        <v>37</v>
      </c>
      <c r="E6" s="6">
        <v>1.0</v>
      </c>
      <c r="F6" s="6">
        <v>2005.0</v>
      </c>
      <c r="G6" s="6" t="s">
        <v>38</v>
      </c>
      <c r="H6" s="6" t="s">
        <v>39</v>
      </c>
      <c r="I6" s="7" t="s">
        <v>40</v>
      </c>
      <c r="J6" s="7" t="s">
        <v>41</v>
      </c>
      <c r="K6" s="8"/>
      <c r="L6" s="8"/>
      <c r="M6" s="9"/>
      <c r="N6" s="5" t="s">
        <v>22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5" t="s">
        <v>42</v>
      </c>
      <c r="B7" s="5" t="s">
        <v>36</v>
      </c>
      <c r="C7" s="5"/>
      <c r="D7" s="5"/>
      <c r="E7" s="6"/>
      <c r="F7" s="6">
        <v>1980.0</v>
      </c>
      <c r="G7" s="6" t="s">
        <v>38</v>
      </c>
      <c r="H7" s="6"/>
      <c r="I7" s="7" t="s">
        <v>43</v>
      </c>
      <c r="J7" s="7"/>
      <c r="K7" s="8"/>
      <c r="L7" s="8"/>
      <c r="M7" s="9"/>
      <c r="N7" s="5" t="s">
        <v>22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5" t="s">
        <v>44</v>
      </c>
      <c r="B8" s="5" t="s">
        <v>36</v>
      </c>
      <c r="C8" s="5"/>
      <c r="D8" s="5"/>
      <c r="E8" s="6"/>
      <c r="F8" s="6">
        <v>1996.0</v>
      </c>
      <c r="G8" s="6" t="s">
        <v>38</v>
      </c>
      <c r="H8" s="6" t="s">
        <v>38</v>
      </c>
      <c r="I8" s="7" t="s">
        <v>45</v>
      </c>
      <c r="J8" s="7"/>
      <c r="K8" s="8"/>
      <c r="L8" s="8"/>
      <c r="M8" s="9"/>
      <c r="N8" s="5" t="s">
        <v>22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5" t="s">
        <v>46</v>
      </c>
      <c r="B9" s="5" t="s">
        <v>47</v>
      </c>
      <c r="C9" s="5"/>
      <c r="D9" s="5" t="s">
        <v>48</v>
      </c>
      <c r="E9" s="6">
        <v>0.2</v>
      </c>
      <c r="F9" s="6">
        <v>1993.0</v>
      </c>
      <c r="G9" s="6" t="s">
        <v>18</v>
      </c>
      <c r="H9" s="6"/>
      <c r="I9" s="7" t="s">
        <v>49</v>
      </c>
      <c r="J9" s="7" t="s">
        <v>50</v>
      </c>
      <c r="K9" s="8"/>
      <c r="L9" s="8"/>
      <c r="M9" s="9">
        <v>4.14</v>
      </c>
      <c r="N9" s="5" t="s">
        <v>22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5" t="s">
        <v>48</v>
      </c>
      <c r="B10" s="5" t="s">
        <v>47</v>
      </c>
      <c r="C10" s="5"/>
      <c r="D10" s="5" t="s">
        <v>48</v>
      </c>
      <c r="E10" s="6">
        <v>1.0</v>
      </c>
      <c r="F10" s="6">
        <v>1951.0</v>
      </c>
      <c r="G10" s="6" t="s">
        <v>18</v>
      </c>
      <c r="H10" s="6"/>
      <c r="I10" s="7" t="s">
        <v>51</v>
      </c>
      <c r="J10" s="7"/>
      <c r="K10" s="8"/>
      <c r="L10" s="8"/>
      <c r="M10" s="9"/>
      <c r="N10" s="5" t="s">
        <v>22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5" t="s">
        <v>52</v>
      </c>
      <c r="B11" s="5" t="s">
        <v>47</v>
      </c>
      <c r="C11" s="5"/>
      <c r="D11" s="5" t="s">
        <v>48</v>
      </c>
      <c r="E11" s="6">
        <v>2.0</v>
      </c>
      <c r="F11" s="6">
        <v>1952.0</v>
      </c>
      <c r="G11" s="6" t="s">
        <v>18</v>
      </c>
      <c r="H11" s="6"/>
      <c r="I11" s="7" t="s">
        <v>53</v>
      </c>
      <c r="J11" s="7" t="s">
        <v>54</v>
      </c>
      <c r="K11" s="8">
        <v>4.0</v>
      </c>
      <c r="L11" s="8"/>
      <c r="M11" s="9">
        <v>4.21</v>
      </c>
      <c r="N11" s="5" t="s">
        <v>22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5" t="s">
        <v>55</v>
      </c>
      <c r="B12" s="5" t="s">
        <v>47</v>
      </c>
      <c r="C12" s="5"/>
      <c r="D12" s="5" t="s">
        <v>48</v>
      </c>
      <c r="E12" s="6">
        <v>3.0</v>
      </c>
      <c r="F12" s="6">
        <v>1953.0</v>
      </c>
      <c r="G12" s="6" t="s">
        <v>18</v>
      </c>
      <c r="H12" s="6"/>
      <c r="I12" s="7" t="s">
        <v>56</v>
      </c>
      <c r="J12" s="7" t="s">
        <v>57</v>
      </c>
      <c r="K12" s="8"/>
      <c r="L12" s="8"/>
      <c r="M12" s="9">
        <v>4.24</v>
      </c>
      <c r="N12" s="5" t="s">
        <v>22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5" t="s">
        <v>58</v>
      </c>
      <c r="B13" s="5" t="s">
        <v>47</v>
      </c>
      <c r="C13" s="5"/>
      <c r="D13" s="5" t="s">
        <v>48</v>
      </c>
      <c r="E13" s="6">
        <v>4.0</v>
      </c>
      <c r="F13" s="6">
        <v>1982.0</v>
      </c>
      <c r="G13" s="6" t="s">
        <v>18</v>
      </c>
      <c r="H13" s="6"/>
      <c r="I13" s="7" t="s">
        <v>59</v>
      </c>
      <c r="J13" s="7" t="s">
        <v>60</v>
      </c>
      <c r="K13" s="8"/>
      <c r="L13" s="8"/>
      <c r="M13" s="9">
        <v>4.1</v>
      </c>
      <c r="N13" s="5" t="s">
        <v>22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5" t="s">
        <v>61</v>
      </c>
      <c r="B14" s="5" t="s">
        <v>47</v>
      </c>
      <c r="C14" s="5"/>
      <c r="D14" s="5" t="s">
        <v>62</v>
      </c>
      <c r="E14" s="6">
        <v>0.1</v>
      </c>
      <c r="F14" s="6">
        <v>1950.0</v>
      </c>
      <c r="G14" s="6" t="s">
        <v>18</v>
      </c>
      <c r="H14" s="6"/>
      <c r="I14" s="7" t="s">
        <v>63</v>
      </c>
      <c r="J14" s="7" t="s">
        <v>64</v>
      </c>
      <c r="K14" s="8"/>
      <c r="L14" s="8"/>
      <c r="M14" s="9">
        <v>4.18</v>
      </c>
      <c r="N14" s="5" t="s">
        <v>22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5" t="s">
        <v>65</v>
      </c>
      <c r="B15" s="5" t="s">
        <v>47</v>
      </c>
      <c r="C15" s="5"/>
      <c r="D15" s="5" t="s">
        <v>62</v>
      </c>
      <c r="E15" s="6">
        <v>0.2</v>
      </c>
      <c r="F15" s="6">
        <v>1964.0</v>
      </c>
      <c r="G15" s="6" t="s">
        <v>18</v>
      </c>
      <c r="H15" s="6"/>
      <c r="I15" s="7" t="s">
        <v>66</v>
      </c>
      <c r="J15" s="7" t="s">
        <v>67</v>
      </c>
      <c r="K15" s="8"/>
      <c r="L15" s="8"/>
      <c r="M15" s="9"/>
      <c r="N15" s="5" t="s">
        <v>22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5" t="s">
        <v>68</v>
      </c>
      <c r="B16" s="5" t="s">
        <v>47</v>
      </c>
      <c r="C16" s="5"/>
      <c r="D16" s="5" t="s">
        <v>62</v>
      </c>
      <c r="E16" s="6">
        <v>1.0</v>
      </c>
      <c r="F16" s="6">
        <v>1954.0</v>
      </c>
      <c r="G16" s="6" t="s">
        <v>18</v>
      </c>
      <c r="H16" s="6"/>
      <c r="I16" s="7" t="s">
        <v>69</v>
      </c>
      <c r="J16" s="7" t="s">
        <v>70</v>
      </c>
      <c r="K16" s="8">
        <v>3.0</v>
      </c>
      <c r="L16" s="8"/>
      <c r="M16" s="9">
        <v>4.15</v>
      </c>
      <c r="N16" s="5" t="s">
        <v>22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5" t="s">
        <v>71</v>
      </c>
      <c r="B17" s="5" t="s">
        <v>47</v>
      </c>
      <c r="C17" s="5"/>
      <c r="D17" s="5" t="s">
        <v>62</v>
      </c>
      <c r="E17" s="6">
        <v>2.0</v>
      </c>
      <c r="F17" s="6">
        <v>1956.0</v>
      </c>
      <c r="G17" s="6" t="s">
        <v>18</v>
      </c>
      <c r="H17" s="6"/>
      <c r="I17" s="7" t="s">
        <v>72</v>
      </c>
      <c r="J17" s="7" t="s">
        <v>73</v>
      </c>
      <c r="K17" s="8"/>
      <c r="L17" s="8"/>
      <c r="M17" s="9">
        <v>4.14</v>
      </c>
      <c r="N17" s="5" t="s">
        <v>22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5" t="s">
        <v>74</v>
      </c>
      <c r="B18" s="5" t="s">
        <v>47</v>
      </c>
      <c r="C18" s="5"/>
      <c r="D18" s="5" t="s">
        <v>62</v>
      </c>
      <c r="E18" s="6">
        <v>3.0</v>
      </c>
      <c r="F18" s="6">
        <v>1983.0</v>
      </c>
      <c r="G18" s="6" t="s">
        <v>18</v>
      </c>
      <c r="H18" s="6"/>
      <c r="I18" s="7" t="s">
        <v>75</v>
      </c>
      <c r="J18" s="7" t="s">
        <v>76</v>
      </c>
      <c r="K18" s="8"/>
      <c r="L18" s="8"/>
      <c r="M18" s="9">
        <v>4.15</v>
      </c>
      <c r="N18" s="5" t="s">
        <v>22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5" t="s">
        <v>77</v>
      </c>
      <c r="B19" s="5" t="s">
        <v>78</v>
      </c>
      <c r="C19" s="5"/>
      <c r="D19" s="5"/>
      <c r="E19" s="6"/>
      <c r="F19" s="6">
        <v>1995.0</v>
      </c>
      <c r="G19" s="6" t="s">
        <v>18</v>
      </c>
      <c r="H19" s="6"/>
      <c r="I19" s="7" t="s">
        <v>79</v>
      </c>
      <c r="J19" s="7" t="s">
        <v>80</v>
      </c>
      <c r="K19" s="8"/>
      <c r="L19" s="8"/>
      <c r="M19" s="9"/>
      <c r="N19" s="5" t="s">
        <v>22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5" t="s">
        <v>81</v>
      </c>
      <c r="B20" s="5" t="s">
        <v>82</v>
      </c>
      <c r="C20" s="5"/>
      <c r="D20" s="5" t="s">
        <v>83</v>
      </c>
      <c r="E20" s="11" t="s">
        <v>84</v>
      </c>
      <c r="F20" s="6">
        <v>1987.0</v>
      </c>
      <c r="G20" s="6" t="s">
        <v>85</v>
      </c>
      <c r="H20" s="6"/>
      <c r="I20" s="7" t="s">
        <v>86</v>
      </c>
      <c r="J20" s="7" t="s">
        <v>87</v>
      </c>
      <c r="K20" s="8"/>
      <c r="L20" s="8"/>
      <c r="M20" s="9">
        <v>3.92</v>
      </c>
      <c r="N20" s="5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5" t="s">
        <v>88</v>
      </c>
      <c r="B21" s="5" t="s">
        <v>89</v>
      </c>
      <c r="C21" s="5"/>
      <c r="D21" s="5"/>
      <c r="E21" s="6"/>
      <c r="F21" s="6">
        <v>2007.0</v>
      </c>
      <c r="G21" s="6" t="s">
        <v>38</v>
      </c>
      <c r="H21" s="6" t="s">
        <v>19</v>
      </c>
      <c r="I21" s="7" t="s">
        <v>90</v>
      </c>
      <c r="J21" s="7" t="s">
        <v>91</v>
      </c>
      <c r="K21" s="8"/>
      <c r="L21" s="8"/>
      <c r="M21" s="9">
        <v>2.7</v>
      </c>
      <c r="N21" s="5" t="s">
        <v>22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5" t="s">
        <v>92</v>
      </c>
      <c r="B22" s="5" t="s">
        <v>93</v>
      </c>
      <c r="C22" s="5"/>
      <c r="D22" s="5"/>
      <c r="E22" s="6"/>
      <c r="F22" s="6">
        <v>1996.0</v>
      </c>
      <c r="G22" s="6" t="s">
        <v>85</v>
      </c>
      <c r="H22" s="6"/>
      <c r="I22" s="7" t="s">
        <v>94</v>
      </c>
      <c r="J22" s="7" t="s">
        <v>95</v>
      </c>
      <c r="K22" s="8"/>
      <c r="L22" s="8"/>
      <c r="M22" s="9">
        <v>4.15</v>
      </c>
      <c r="N22" s="5" t="s">
        <v>22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0" customHeight="1">
      <c r="A23" s="5" t="s">
        <v>96</v>
      </c>
      <c r="B23" s="12" t="s">
        <v>97</v>
      </c>
      <c r="C23" s="5"/>
      <c r="D23" s="5"/>
      <c r="E23" s="6"/>
      <c r="F23" s="6">
        <v>1994.0</v>
      </c>
      <c r="G23" s="6" t="s">
        <v>98</v>
      </c>
      <c r="H23" s="6" t="s">
        <v>99</v>
      </c>
      <c r="I23" s="7" t="s">
        <v>100</v>
      </c>
      <c r="J23" s="7" t="s">
        <v>101</v>
      </c>
      <c r="K23" s="8"/>
      <c r="L23" s="8"/>
      <c r="M23" s="9">
        <v>3.95</v>
      </c>
      <c r="N23" s="5" t="s">
        <v>22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5" t="s">
        <v>102</v>
      </c>
      <c r="B24" s="5" t="s">
        <v>103</v>
      </c>
      <c r="C24" s="5"/>
      <c r="D24" s="5" t="s">
        <v>102</v>
      </c>
      <c r="E24" s="6">
        <v>1.0</v>
      </c>
      <c r="F24" s="6">
        <v>2014.0</v>
      </c>
      <c r="G24" s="6" t="s">
        <v>18</v>
      </c>
      <c r="H24" s="6" t="s">
        <v>104</v>
      </c>
      <c r="I24" s="7" t="s">
        <v>105</v>
      </c>
      <c r="J24" s="7"/>
      <c r="K24" s="8"/>
      <c r="L24" s="8"/>
      <c r="M24" s="9">
        <v>4.11</v>
      </c>
      <c r="N24" s="5" t="s">
        <v>22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12" t="s">
        <v>106</v>
      </c>
      <c r="B25" s="12" t="s">
        <v>107</v>
      </c>
      <c r="C25" s="12" t="s">
        <v>108</v>
      </c>
      <c r="D25" s="5"/>
      <c r="E25" s="6"/>
      <c r="F25" s="13">
        <v>1993.0</v>
      </c>
      <c r="G25" s="13" t="s">
        <v>18</v>
      </c>
      <c r="H25" s="13" t="s">
        <v>109</v>
      </c>
      <c r="I25" s="14" t="s">
        <v>110</v>
      </c>
      <c r="J25" s="15" t="s">
        <v>111</v>
      </c>
      <c r="K25" s="8"/>
      <c r="L25" s="8"/>
      <c r="M25" s="16">
        <v>4.03</v>
      </c>
      <c r="N25" s="5" t="s">
        <v>22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0" customHeight="1">
      <c r="A26" s="12" t="s">
        <v>112</v>
      </c>
      <c r="B26" s="12" t="s">
        <v>113</v>
      </c>
      <c r="C26" s="5"/>
      <c r="D26" s="5"/>
      <c r="E26" s="6"/>
      <c r="F26" s="13">
        <v>1987.0</v>
      </c>
      <c r="G26" s="13" t="s">
        <v>114</v>
      </c>
      <c r="H26" s="13" t="s">
        <v>115</v>
      </c>
      <c r="I26" s="14" t="s">
        <v>116</v>
      </c>
      <c r="J26" s="17" t="s">
        <v>117</v>
      </c>
      <c r="K26" s="8"/>
      <c r="L26" s="8"/>
      <c r="M26" s="16">
        <v>4.25</v>
      </c>
      <c r="N26" s="5" t="s">
        <v>22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0" customHeight="1">
      <c r="A27" s="5" t="s">
        <v>118</v>
      </c>
      <c r="B27" s="5" t="s">
        <v>119</v>
      </c>
      <c r="C27" s="5"/>
      <c r="D27" s="5"/>
      <c r="E27" s="6"/>
      <c r="F27" s="6">
        <v>1944.0</v>
      </c>
      <c r="G27" s="6" t="s">
        <v>120</v>
      </c>
      <c r="H27" s="6" t="s">
        <v>121</v>
      </c>
      <c r="I27" s="7" t="s">
        <v>122</v>
      </c>
      <c r="J27" s="7" t="s">
        <v>123</v>
      </c>
      <c r="K27" s="8"/>
      <c r="L27" s="8"/>
      <c r="M27" s="9">
        <v>4.46</v>
      </c>
      <c r="N27" s="5" t="s">
        <v>22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0" customHeight="1">
      <c r="A28" s="5" t="s">
        <v>124</v>
      </c>
      <c r="B28" s="5" t="s">
        <v>125</v>
      </c>
      <c r="C28" s="12" t="s">
        <v>108</v>
      </c>
      <c r="D28" s="5"/>
      <c r="E28" s="6"/>
      <c r="F28" s="6">
        <v>2014.0</v>
      </c>
      <c r="G28" s="6" t="s">
        <v>99</v>
      </c>
      <c r="H28" s="6"/>
      <c r="I28" s="7" t="s">
        <v>126</v>
      </c>
      <c r="J28" s="7" t="s">
        <v>127</v>
      </c>
      <c r="K28" s="8"/>
      <c r="L28" s="8"/>
      <c r="M28" s="9">
        <v>4.0</v>
      </c>
      <c r="N28" s="5" t="s">
        <v>22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0" customHeight="1">
      <c r="A29" s="12" t="s">
        <v>128</v>
      </c>
      <c r="B29" s="12" t="s">
        <v>129</v>
      </c>
      <c r="C29" s="5"/>
      <c r="D29" s="5"/>
      <c r="E29" s="6"/>
      <c r="F29" s="13">
        <v>1847.0</v>
      </c>
      <c r="G29" s="13" t="s">
        <v>130</v>
      </c>
      <c r="H29" s="13" t="s">
        <v>99</v>
      </c>
      <c r="I29" s="14" t="s">
        <v>131</v>
      </c>
      <c r="J29" s="18" t="s">
        <v>132</v>
      </c>
      <c r="K29" s="8"/>
      <c r="L29" s="19">
        <v>3.0</v>
      </c>
      <c r="M29" s="16">
        <v>4.3</v>
      </c>
      <c r="N29" s="5" t="s">
        <v>22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0" customHeight="1">
      <c r="A30" s="5" t="s">
        <v>133</v>
      </c>
      <c r="B30" s="12" t="s">
        <v>134</v>
      </c>
      <c r="C30" s="5"/>
      <c r="D30" s="5"/>
      <c r="E30" s="6"/>
      <c r="F30" s="6">
        <v>1847.0</v>
      </c>
      <c r="G30" s="6" t="s">
        <v>38</v>
      </c>
      <c r="H30" s="6" t="s">
        <v>130</v>
      </c>
      <c r="I30" s="7" t="s">
        <v>135</v>
      </c>
      <c r="J30" s="7"/>
      <c r="K30" s="8"/>
      <c r="L30" s="8"/>
      <c r="M30" s="9"/>
      <c r="N30" s="5" t="s">
        <v>22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0" customHeight="1">
      <c r="A31" s="5" t="s">
        <v>136</v>
      </c>
      <c r="B31" s="5" t="s">
        <v>137</v>
      </c>
      <c r="C31" s="5"/>
      <c r="D31" s="5"/>
      <c r="E31" s="6"/>
      <c r="F31" s="6">
        <v>2006.0</v>
      </c>
      <c r="G31" s="6" t="s">
        <v>18</v>
      </c>
      <c r="H31" s="6" t="s">
        <v>138</v>
      </c>
      <c r="I31" s="7" t="s">
        <v>139</v>
      </c>
      <c r="J31" s="7" t="s">
        <v>140</v>
      </c>
      <c r="K31" s="8"/>
      <c r="L31" s="8"/>
      <c r="M31" s="9">
        <v>4.01</v>
      </c>
      <c r="N31" s="5" t="s">
        <v>22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0" customHeight="1">
      <c r="A32" s="12" t="s">
        <v>141</v>
      </c>
      <c r="B32" s="12" t="s">
        <v>142</v>
      </c>
      <c r="C32" s="5"/>
      <c r="D32" s="5"/>
      <c r="E32" s="6"/>
      <c r="F32" s="13">
        <v>1962.0</v>
      </c>
      <c r="G32" s="13" t="s">
        <v>18</v>
      </c>
      <c r="H32" s="13" t="s">
        <v>143</v>
      </c>
      <c r="I32" s="14" t="s">
        <v>144</v>
      </c>
      <c r="J32" s="17" t="s">
        <v>145</v>
      </c>
      <c r="K32" s="8"/>
      <c r="L32" s="8"/>
      <c r="M32" s="16">
        <v>4.0</v>
      </c>
      <c r="N32" s="5" t="s">
        <v>22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5" t="s">
        <v>146</v>
      </c>
      <c r="B33" s="5" t="s">
        <v>147</v>
      </c>
      <c r="C33" s="5"/>
      <c r="D33" s="5"/>
      <c r="E33" s="6"/>
      <c r="F33" s="6">
        <v>1958.0</v>
      </c>
      <c r="G33" s="6" t="s">
        <v>38</v>
      </c>
      <c r="H33" s="6"/>
      <c r="I33" s="7" t="s">
        <v>148</v>
      </c>
      <c r="J33" s="7" t="s">
        <v>149</v>
      </c>
      <c r="K33" s="8">
        <v>4.0</v>
      </c>
      <c r="L33" s="8"/>
      <c r="M33" s="9">
        <v>3.89</v>
      </c>
      <c r="N33" s="5" t="s">
        <v>22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0" customHeight="1">
      <c r="A34" s="12" t="s">
        <v>150</v>
      </c>
      <c r="B34" s="12" t="s">
        <v>151</v>
      </c>
      <c r="C34" s="5"/>
      <c r="D34" s="5"/>
      <c r="E34" s="6"/>
      <c r="F34" s="13">
        <v>1995.0</v>
      </c>
      <c r="G34" s="13" t="s">
        <v>152</v>
      </c>
      <c r="H34" s="13" t="s">
        <v>39</v>
      </c>
      <c r="I34" s="14" t="s">
        <v>153</v>
      </c>
      <c r="J34" s="17" t="s">
        <v>154</v>
      </c>
      <c r="K34" s="8"/>
      <c r="L34" s="8"/>
      <c r="M34" s="16">
        <v>4.27</v>
      </c>
      <c r="N34" s="5" t="s">
        <v>22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0" customHeight="1">
      <c r="A35" s="5" t="s">
        <v>155</v>
      </c>
      <c r="B35" s="5" t="s">
        <v>156</v>
      </c>
      <c r="C35" s="5"/>
      <c r="D35" s="5" t="s">
        <v>157</v>
      </c>
      <c r="E35" s="6">
        <v>1.0</v>
      </c>
      <c r="F35" s="6">
        <v>2012.0</v>
      </c>
      <c r="G35" s="6" t="s">
        <v>18</v>
      </c>
      <c r="H35" s="6" t="s">
        <v>158</v>
      </c>
      <c r="I35" s="7" t="s">
        <v>159</v>
      </c>
      <c r="J35" s="7" t="s">
        <v>160</v>
      </c>
      <c r="K35" s="8"/>
      <c r="L35" s="8"/>
      <c r="M35" s="9">
        <v>3.9</v>
      </c>
      <c r="N35" s="5" t="s">
        <v>22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5" t="s">
        <v>161</v>
      </c>
      <c r="B36" s="5" t="s">
        <v>162</v>
      </c>
      <c r="C36" s="5"/>
      <c r="D36" s="5"/>
      <c r="E36" s="6"/>
      <c r="F36" s="6">
        <v>1999.0</v>
      </c>
      <c r="G36" s="6" t="s">
        <v>38</v>
      </c>
      <c r="H36" s="6" t="s">
        <v>19</v>
      </c>
      <c r="I36" s="7" t="s">
        <v>163</v>
      </c>
      <c r="J36" s="7" t="s">
        <v>164</v>
      </c>
      <c r="K36" s="8"/>
      <c r="L36" s="8"/>
      <c r="M36" s="9">
        <v>4.21</v>
      </c>
      <c r="N36" s="5" t="s">
        <v>22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5" t="s">
        <v>165</v>
      </c>
      <c r="B37" s="5" t="s">
        <v>166</v>
      </c>
      <c r="C37" s="5"/>
      <c r="D37" s="5" t="s">
        <v>167</v>
      </c>
      <c r="E37" s="6">
        <v>1.0</v>
      </c>
      <c r="F37" s="6">
        <v>1998.0</v>
      </c>
      <c r="G37" s="6" t="s">
        <v>39</v>
      </c>
      <c r="H37" s="6" t="s">
        <v>85</v>
      </c>
      <c r="I37" s="7" t="s">
        <v>168</v>
      </c>
      <c r="J37" s="7" t="s">
        <v>169</v>
      </c>
      <c r="K37" s="8"/>
      <c r="L37" s="8"/>
      <c r="M37" s="9">
        <v>4.04</v>
      </c>
      <c r="N37" s="5" t="s">
        <v>22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5" t="s">
        <v>170</v>
      </c>
      <c r="B38" s="5" t="s">
        <v>166</v>
      </c>
      <c r="C38" s="5"/>
      <c r="D38" s="5" t="s">
        <v>167</v>
      </c>
      <c r="E38" s="6">
        <v>18.0</v>
      </c>
      <c r="F38" s="6">
        <v>2013.0</v>
      </c>
      <c r="G38" s="6" t="s">
        <v>39</v>
      </c>
      <c r="H38" s="6" t="s">
        <v>85</v>
      </c>
      <c r="I38" s="7" t="s">
        <v>171</v>
      </c>
      <c r="J38" s="7"/>
      <c r="K38" s="8"/>
      <c r="L38" s="8"/>
      <c r="M38" s="9"/>
      <c r="N38" s="5" t="s">
        <v>22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5" t="s">
        <v>172</v>
      </c>
      <c r="B39" s="5" t="s">
        <v>173</v>
      </c>
      <c r="C39" s="5"/>
      <c r="D39" s="5" t="s">
        <v>174</v>
      </c>
      <c r="E39" s="6">
        <v>20.0</v>
      </c>
      <c r="F39" s="6">
        <v>1938.0</v>
      </c>
      <c r="G39" s="6" t="s">
        <v>85</v>
      </c>
      <c r="H39" s="6"/>
      <c r="I39" s="7" t="s">
        <v>175</v>
      </c>
      <c r="J39" s="7" t="s">
        <v>176</v>
      </c>
      <c r="K39" s="8"/>
      <c r="L39" s="8">
        <v>3.0</v>
      </c>
      <c r="M39" s="9">
        <v>3.88</v>
      </c>
      <c r="N39" s="5" t="s">
        <v>22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5" t="s">
        <v>177</v>
      </c>
      <c r="B40" s="5" t="s">
        <v>173</v>
      </c>
      <c r="C40" s="5"/>
      <c r="D40" s="5"/>
      <c r="E40" s="6"/>
      <c r="F40" s="6">
        <v>1939.0</v>
      </c>
      <c r="G40" s="6" t="s">
        <v>85</v>
      </c>
      <c r="H40" s="6"/>
      <c r="I40" s="7" t="s">
        <v>178</v>
      </c>
      <c r="J40" s="7"/>
      <c r="K40" s="8"/>
      <c r="L40" s="8"/>
      <c r="M40" s="9">
        <v>4.22</v>
      </c>
      <c r="N40" s="5" t="s">
        <v>22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12" t="s">
        <v>179</v>
      </c>
      <c r="B41" s="12" t="s">
        <v>180</v>
      </c>
      <c r="C41" s="5"/>
      <c r="D41" s="5"/>
      <c r="E41" s="6"/>
      <c r="F41" s="13">
        <v>2023.0</v>
      </c>
      <c r="G41" s="13" t="s">
        <v>99</v>
      </c>
      <c r="H41" s="13" t="s">
        <v>181</v>
      </c>
      <c r="I41" s="14" t="s">
        <v>182</v>
      </c>
      <c r="J41" s="17" t="s">
        <v>183</v>
      </c>
      <c r="K41" s="8"/>
      <c r="L41" s="8"/>
      <c r="M41" s="16">
        <v>3.75</v>
      </c>
      <c r="N41" s="5" t="s">
        <v>22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0" customHeight="1">
      <c r="A42" s="5" t="s">
        <v>184</v>
      </c>
      <c r="B42" s="5" t="s">
        <v>185</v>
      </c>
      <c r="C42" s="5"/>
      <c r="D42" s="5"/>
      <c r="E42" s="6"/>
      <c r="F42" s="6">
        <v>2007.0</v>
      </c>
      <c r="G42" s="6" t="s">
        <v>18</v>
      </c>
      <c r="H42" s="6" t="s">
        <v>186</v>
      </c>
      <c r="I42" s="7" t="s">
        <v>187</v>
      </c>
      <c r="J42" s="7" t="s">
        <v>188</v>
      </c>
      <c r="K42" s="8"/>
      <c r="L42" s="8"/>
      <c r="M42" s="9">
        <v>3.51</v>
      </c>
      <c r="N42" s="5" t="s">
        <v>22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5" t="s">
        <v>189</v>
      </c>
      <c r="B43" s="5" t="s">
        <v>190</v>
      </c>
      <c r="C43" s="5"/>
      <c r="D43" s="5"/>
      <c r="E43" s="6"/>
      <c r="F43" s="6">
        <v>1999.0</v>
      </c>
      <c r="G43" s="6" t="s">
        <v>38</v>
      </c>
      <c r="H43" s="6"/>
      <c r="I43" s="7" t="s">
        <v>191</v>
      </c>
      <c r="J43" s="7" t="s">
        <v>192</v>
      </c>
      <c r="K43" s="8"/>
      <c r="L43" s="8"/>
      <c r="M43" s="9">
        <v>3.84</v>
      </c>
      <c r="N43" s="5" t="s">
        <v>22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5" t="s">
        <v>193</v>
      </c>
      <c r="B44" s="5" t="s">
        <v>194</v>
      </c>
      <c r="C44" s="5"/>
      <c r="D44" s="5" t="s">
        <v>193</v>
      </c>
      <c r="E44" s="6">
        <v>1.0</v>
      </c>
      <c r="F44" s="6">
        <v>2001.0</v>
      </c>
      <c r="G44" s="6" t="s">
        <v>18</v>
      </c>
      <c r="H44" s="6" t="s">
        <v>158</v>
      </c>
      <c r="I44" s="7" t="s">
        <v>195</v>
      </c>
      <c r="J44" s="7" t="s">
        <v>196</v>
      </c>
      <c r="K44" s="8"/>
      <c r="L44" s="8"/>
      <c r="M44" s="9">
        <v>3.83</v>
      </c>
      <c r="N44" s="5" t="s">
        <v>22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0" customHeight="1">
      <c r="A45" s="5" t="s">
        <v>197</v>
      </c>
      <c r="B45" s="5" t="s">
        <v>194</v>
      </c>
      <c r="C45" s="5"/>
      <c r="D45" s="5" t="s">
        <v>193</v>
      </c>
      <c r="E45" s="6">
        <v>2.0</v>
      </c>
      <c r="F45" s="6">
        <v>2002.0</v>
      </c>
      <c r="G45" s="6" t="s">
        <v>18</v>
      </c>
      <c r="H45" s="6" t="s">
        <v>158</v>
      </c>
      <c r="I45" s="7" t="s">
        <v>198</v>
      </c>
      <c r="J45" s="7" t="s">
        <v>199</v>
      </c>
      <c r="K45" s="8"/>
      <c r="L45" s="8"/>
      <c r="M45" s="9">
        <v>3.95</v>
      </c>
      <c r="N45" s="5" t="s">
        <v>22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5" t="s">
        <v>200</v>
      </c>
      <c r="B46" s="5" t="s">
        <v>194</v>
      </c>
      <c r="C46" s="5"/>
      <c r="D46" s="5" t="s">
        <v>193</v>
      </c>
      <c r="E46" s="6">
        <v>3.0</v>
      </c>
      <c r="F46" s="6">
        <v>2003.0</v>
      </c>
      <c r="G46" s="6" t="s">
        <v>18</v>
      </c>
      <c r="H46" s="6" t="s">
        <v>158</v>
      </c>
      <c r="I46" s="7" t="s">
        <v>201</v>
      </c>
      <c r="J46" s="7" t="s">
        <v>202</v>
      </c>
      <c r="K46" s="8"/>
      <c r="L46" s="8"/>
      <c r="M46" s="9">
        <v>4.04</v>
      </c>
      <c r="N46" s="5" t="s">
        <v>22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5" t="s">
        <v>203</v>
      </c>
      <c r="B47" s="5" t="s">
        <v>204</v>
      </c>
      <c r="C47" s="5"/>
      <c r="D47" s="5" t="s">
        <v>203</v>
      </c>
      <c r="E47" s="6">
        <v>1.0</v>
      </c>
      <c r="F47" s="6">
        <v>2008.0</v>
      </c>
      <c r="G47" s="6" t="s">
        <v>18</v>
      </c>
      <c r="H47" s="6" t="s">
        <v>143</v>
      </c>
      <c r="I47" s="7" t="s">
        <v>205</v>
      </c>
      <c r="J47" s="7" t="s">
        <v>206</v>
      </c>
      <c r="K47" s="8">
        <v>5.0</v>
      </c>
      <c r="L47" s="8">
        <v>5.0</v>
      </c>
      <c r="M47" s="9">
        <v>4.33</v>
      </c>
      <c r="N47" s="5" t="s">
        <v>22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5" t="s">
        <v>207</v>
      </c>
      <c r="B48" s="5" t="s">
        <v>204</v>
      </c>
      <c r="C48" s="5"/>
      <c r="D48" s="5" t="s">
        <v>203</v>
      </c>
      <c r="E48" s="6">
        <v>2.0</v>
      </c>
      <c r="F48" s="6">
        <v>2009.0</v>
      </c>
      <c r="G48" s="6" t="s">
        <v>18</v>
      </c>
      <c r="H48" s="6" t="s">
        <v>143</v>
      </c>
      <c r="I48" s="7" t="s">
        <v>208</v>
      </c>
      <c r="J48" s="7" t="s">
        <v>209</v>
      </c>
      <c r="K48" s="8">
        <v>4.0</v>
      </c>
      <c r="L48" s="8">
        <v>5.0</v>
      </c>
      <c r="M48" s="9">
        <v>4.3</v>
      </c>
      <c r="N48" s="5" t="s">
        <v>22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5" t="s">
        <v>210</v>
      </c>
      <c r="B49" s="5" t="s">
        <v>204</v>
      </c>
      <c r="C49" s="5"/>
      <c r="D49" s="5" t="s">
        <v>203</v>
      </c>
      <c r="E49" s="6">
        <v>3.0</v>
      </c>
      <c r="F49" s="6">
        <v>2010.0</v>
      </c>
      <c r="G49" s="6" t="s">
        <v>18</v>
      </c>
      <c r="H49" s="6" t="s">
        <v>143</v>
      </c>
      <c r="I49" s="7" t="s">
        <v>211</v>
      </c>
      <c r="J49" s="7" t="s">
        <v>212</v>
      </c>
      <c r="K49" s="8">
        <v>4.0</v>
      </c>
      <c r="L49" s="8">
        <v>5.0</v>
      </c>
      <c r="M49" s="9">
        <v>4.03</v>
      </c>
      <c r="N49" s="5" t="s">
        <v>22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0" customHeight="1">
      <c r="A50" s="5" t="s">
        <v>213</v>
      </c>
      <c r="B50" s="5" t="s">
        <v>214</v>
      </c>
      <c r="C50" s="5"/>
      <c r="D50" s="5" t="s">
        <v>215</v>
      </c>
      <c r="E50" s="6">
        <v>1.0</v>
      </c>
      <c r="F50" s="6">
        <v>2005.0</v>
      </c>
      <c r="G50" s="6" t="s">
        <v>85</v>
      </c>
      <c r="H50" s="6" t="s">
        <v>216</v>
      </c>
      <c r="I50" s="7" t="s">
        <v>217</v>
      </c>
      <c r="J50" s="7" t="s">
        <v>218</v>
      </c>
      <c r="K50" s="8"/>
      <c r="L50" s="8"/>
      <c r="M50" s="9">
        <v>4.12</v>
      </c>
      <c r="N50" s="5" t="s">
        <v>22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0" customHeight="1">
      <c r="A51" s="12" t="s">
        <v>219</v>
      </c>
      <c r="B51" s="12" t="s">
        <v>220</v>
      </c>
      <c r="C51" s="5"/>
      <c r="D51" s="5"/>
      <c r="E51" s="6"/>
      <c r="F51" s="13">
        <v>2015.0</v>
      </c>
      <c r="G51" s="13" t="s">
        <v>38</v>
      </c>
      <c r="H51" s="13" t="s">
        <v>114</v>
      </c>
      <c r="I51" s="14" t="s">
        <v>221</v>
      </c>
      <c r="J51" s="14" t="s">
        <v>222</v>
      </c>
      <c r="K51" s="8"/>
      <c r="L51" s="8"/>
      <c r="M51" s="16"/>
      <c r="N51" s="5" t="s">
        <v>22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5" t="s">
        <v>223</v>
      </c>
      <c r="B52" s="5" t="s">
        <v>224</v>
      </c>
      <c r="C52" s="5"/>
      <c r="D52" s="5" t="s">
        <v>225</v>
      </c>
      <c r="E52" s="6">
        <v>3.0</v>
      </c>
      <c r="F52" s="6">
        <v>1997.0</v>
      </c>
      <c r="G52" s="6" t="s">
        <v>18</v>
      </c>
      <c r="H52" s="6" t="s">
        <v>104</v>
      </c>
      <c r="I52" s="7" t="s">
        <v>226</v>
      </c>
      <c r="J52" s="7" t="s">
        <v>227</v>
      </c>
      <c r="K52" s="8"/>
      <c r="L52" s="8"/>
      <c r="M52" s="9">
        <v>4.38</v>
      </c>
      <c r="N52" s="5" t="s">
        <v>22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0" customHeight="1">
      <c r="A53" s="5" t="s">
        <v>228</v>
      </c>
      <c r="B53" s="5" t="s">
        <v>224</v>
      </c>
      <c r="C53" s="5"/>
      <c r="D53" s="5"/>
      <c r="E53" s="6"/>
      <c r="F53" s="6">
        <v>1999.0</v>
      </c>
      <c r="G53" s="6" t="s">
        <v>229</v>
      </c>
      <c r="H53" s="6" t="s">
        <v>230</v>
      </c>
      <c r="I53" s="7" t="s">
        <v>231</v>
      </c>
      <c r="J53" s="7" t="s">
        <v>232</v>
      </c>
      <c r="K53" s="8"/>
      <c r="L53" s="8"/>
      <c r="M53" s="9"/>
      <c r="N53" s="5" t="s">
        <v>22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0" customHeight="1">
      <c r="A54" s="5" t="s">
        <v>233</v>
      </c>
      <c r="B54" s="5" t="s">
        <v>234</v>
      </c>
      <c r="C54" s="5"/>
      <c r="D54" s="5" t="s">
        <v>233</v>
      </c>
      <c r="E54" s="6">
        <v>1.0</v>
      </c>
      <c r="F54" s="6">
        <v>1991.0</v>
      </c>
      <c r="G54" s="6" t="s">
        <v>18</v>
      </c>
      <c r="H54" s="6" t="s">
        <v>235</v>
      </c>
      <c r="I54" s="7" t="s">
        <v>236</v>
      </c>
      <c r="J54" s="7" t="s">
        <v>237</v>
      </c>
      <c r="K54" s="8">
        <v>3.0</v>
      </c>
      <c r="L54" s="8">
        <v>3.0</v>
      </c>
      <c r="M54" s="9">
        <v>3.97</v>
      </c>
      <c r="N54" s="5" t="s">
        <v>22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0" customHeight="1">
      <c r="A55" s="5" t="s">
        <v>238</v>
      </c>
      <c r="B55" s="5" t="s">
        <v>234</v>
      </c>
      <c r="C55" s="5"/>
      <c r="D55" s="5" t="s">
        <v>233</v>
      </c>
      <c r="E55" s="6">
        <v>2.0</v>
      </c>
      <c r="F55" s="6">
        <v>1995.0</v>
      </c>
      <c r="G55" s="6" t="s">
        <v>18</v>
      </c>
      <c r="H55" s="6" t="s">
        <v>235</v>
      </c>
      <c r="I55" s="7" t="s">
        <v>239</v>
      </c>
      <c r="J55" s="7" t="s">
        <v>240</v>
      </c>
      <c r="K55" s="8"/>
      <c r="L55" s="8"/>
      <c r="M55" s="9"/>
      <c r="N55" s="5" t="s">
        <v>22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5" t="s">
        <v>241</v>
      </c>
      <c r="B56" s="5" t="s">
        <v>234</v>
      </c>
      <c r="C56" s="5"/>
      <c r="D56" s="5"/>
      <c r="E56" s="6"/>
      <c r="F56" s="6">
        <v>1996.0</v>
      </c>
      <c r="G56" s="6" t="s">
        <v>18</v>
      </c>
      <c r="H56" s="6" t="s">
        <v>39</v>
      </c>
      <c r="I56" s="7" t="s">
        <v>242</v>
      </c>
      <c r="J56" s="7" t="s">
        <v>243</v>
      </c>
      <c r="K56" s="8"/>
      <c r="L56" s="8"/>
      <c r="M56" s="9">
        <v>3.69</v>
      </c>
      <c r="N56" s="5" t="s">
        <v>22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5" t="s">
        <v>244</v>
      </c>
      <c r="B57" s="5" t="s">
        <v>234</v>
      </c>
      <c r="C57" s="5"/>
      <c r="D57" s="5"/>
      <c r="E57" s="6"/>
      <c r="F57" s="6">
        <v>2002.0</v>
      </c>
      <c r="G57" s="6" t="s">
        <v>18</v>
      </c>
      <c r="H57" s="6" t="s">
        <v>235</v>
      </c>
      <c r="I57" s="7" t="s">
        <v>245</v>
      </c>
      <c r="J57" s="7" t="s">
        <v>246</v>
      </c>
      <c r="K57" s="8"/>
      <c r="L57" s="8"/>
      <c r="M57" s="9">
        <v>3.72</v>
      </c>
      <c r="N57" s="5" t="s">
        <v>22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5" t="s">
        <v>247</v>
      </c>
      <c r="B58" s="5" t="s">
        <v>234</v>
      </c>
      <c r="C58" s="5"/>
      <c r="D58" s="5"/>
      <c r="E58" s="6"/>
      <c r="F58" s="6">
        <v>1969.0</v>
      </c>
      <c r="G58" s="6" t="s">
        <v>18</v>
      </c>
      <c r="H58" s="6" t="s">
        <v>39</v>
      </c>
      <c r="I58" s="7" t="s">
        <v>248</v>
      </c>
      <c r="J58" s="7" t="s">
        <v>249</v>
      </c>
      <c r="K58" s="8"/>
      <c r="L58" s="8"/>
      <c r="M58" s="9"/>
      <c r="N58" s="5" t="s">
        <v>22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0" customHeight="1">
      <c r="A59" s="5" t="s">
        <v>250</v>
      </c>
      <c r="B59" s="5" t="s">
        <v>251</v>
      </c>
      <c r="C59" s="5"/>
      <c r="D59" s="5" t="s">
        <v>252</v>
      </c>
      <c r="E59" s="6">
        <v>17.0</v>
      </c>
      <c r="F59" s="6">
        <v>2003.0</v>
      </c>
      <c r="G59" s="6" t="s">
        <v>253</v>
      </c>
      <c r="H59" s="6" t="s">
        <v>39</v>
      </c>
      <c r="I59" s="7" t="s">
        <v>254</v>
      </c>
      <c r="J59" s="7" t="s">
        <v>255</v>
      </c>
      <c r="K59" s="8"/>
      <c r="L59" s="8"/>
      <c r="M59" s="9">
        <v>3.91</v>
      </c>
      <c r="N59" s="5" t="s">
        <v>22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5" t="s">
        <v>256</v>
      </c>
      <c r="B60" s="5" t="s">
        <v>257</v>
      </c>
      <c r="C60" s="5"/>
      <c r="D60" s="5" t="s">
        <v>258</v>
      </c>
      <c r="E60" s="6">
        <v>2.0</v>
      </c>
      <c r="F60" s="6">
        <v>2002.0</v>
      </c>
      <c r="G60" s="6" t="s">
        <v>253</v>
      </c>
      <c r="H60" s="6" t="s">
        <v>39</v>
      </c>
      <c r="I60" s="7" t="s">
        <v>259</v>
      </c>
      <c r="J60" s="7" t="s">
        <v>260</v>
      </c>
      <c r="K60" s="8"/>
      <c r="L60" s="8"/>
      <c r="M60" s="9">
        <v>3.81</v>
      </c>
      <c r="N60" s="5" t="s">
        <v>22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5" t="s">
        <v>261</v>
      </c>
      <c r="B61" s="5" t="s">
        <v>262</v>
      </c>
      <c r="C61" s="5"/>
      <c r="D61" s="5" t="s">
        <v>263</v>
      </c>
      <c r="E61" s="6">
        <v>6.0</v>
      </c>
      <c r="F61" s="6">
        <v>2005.0</v>
      </c>
      <c r="G61" s="6" t="s">
        <v>253</v>
      </c>
      <c r="H61" s="6" t="s">
        <v>39</v>
      </c>
      <c r="I61" s="7" t="s">
        <v>264</v>
      </c>
      <c r="J61" s="7" t="s">
        <v>265</v>
      </c>
      <c r="K61" s="8"/>
      <c r="L61" s="8"/>
      <c r="M61" s="9">
        <v>3.88</v>
      </c>
      <c r="N61" s="5" t="s">
        <v>22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12" t="s">
        <v>266</v>
      </c>
      <c r="B62" s="12" t="s">
        <v>267</v>
      </c>
      <c r="C62" s="5"/>
      <c r="D62" s="5"/>
      <c r="E62" s="6"/>
      <c r="F62" s="13">
        <v>2004.0</v>
      </c>
      <c r="G62" s="13" t="s">
        <v>114</v>
      </c>
      <c r="H62" s="13" t="s">
        <v>268</v>
      </c>
      <c r="I62" s="14" t="s">
        <v>269</v>
      </c>
      <c r="J62" s="17" t="s">
        <v>270</v>
      </c>
      <c r="K62" s="8"/>
      <c r="L62" s="8"/>
      <c r="M62" s="16">
        <v>3.44</v>
      </c>
      <c r="N62" s="5" t="s">
        <v>22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5" t="s">
        <v>271</v>
      </c>
      <c r="B63" s="5" t="s">
        <v>272</v>
      </c>
      <c r="C63" s="5"/>
      <c r="D63" s="5"/>
      <c r="E63" s="6"/>
      <c r="F63" s="6">
        <v>1936.0</v>
      </c>
      <c r="G63" s="6" t="s">
        <v>85</v>
      </c>
      <c r="H63" s="6"/>
      <c r="I63" s="7" t="s">
        <v>273</v>
      </c>
      <c r="J63" s="7" t="s">
        <v>274</v>
      </c>
      <c r="K63" s="8"/>
      <c r="L63" s="8"/>
      <c r="M63" s="9">
        <v>3.4</v>
      </c>
      <c r="N63" s="5" t="s">
        <v>22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5" t="s">
        <v>275</v>
      </c>
      <c r="B64" s="5" t="s">
        <v>276</v>
      </c>
      <c r="C64" s="5"/>
      <c r="D64" s="5"/>
      <c r="E64" s="6"/>
      <c r="F64" s="6">
        <v>1965.0</v>
      </c>
      <c r="G64" s="6" t="s">
        <v>18</v>
      </c>
      <c r="H64" s="6"/>
      <c r="I64" s="7" t="s">
        <v>277</v>
      </c>
      <c r="J64" s="7" t="s">
        <v>278</v>
      </c>
      <c r="K64" s="8"/>
      <c r="L64" s="8"/>
      <c r="M64" s="9">
        <v>3.41</v>
      </c>
      <c r="N64" s="5" t="s">
        <v>22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0" customHeight="1">
      <c r="A65" s="5" t="s">
        <v>279</v>
      </c>
      <c r="B65" s="5" t="s">
        <v>280</v>
      </c>
      <c r="C65" s="5"/>
      <c r="D65" s="5"/>
      <c r="E65" s="6"/>
      <c r="F65" s="6">
        <v>1854.0</v>
      </c>
      <c r="G65" s="6" t="s">
        <v>38</v>
      </c>
      <c r="H65" s="6"/>
      <c r="I65" s="7" t="s">
        <v>281</v>
      </c>
      <c r="J65" s="7" t="s">
        <v>282</v>
      </c>
      <c r="K65" s="8"/>
      <c r="L65" s="8"/>
      <c r="M65" s="9">
        <v>3.52</v>
      </c>
      <c r="N65" s="5" t="s">
        <v>22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5" t="s">
        <v>283</v>
      </c>
      <c r="B66" s="5" t="s">
        <v>280</v>
      </c>
      <c r="C66" s="5"/>
      <c r="D66" s="5"/>
      <c r="E66" s="5"/>
      <c r="F66" s="6">
        <v>1995.0</v>
      </c>
      <c r="G66" s="6" t="s">
        <v>38</v>
      </c>
      <c r="H66" s="6"/>
      <c r="I66" s="7" t="s">
        <v>284</v>
      </c>
      <c r="J66" s="7" t="s">
        <v>285</v>
      </c>
      <c r="K66" s="7"/>
      <c r="L66" s="7"/>
      <c r="M66" s="7" t="s">
        <v>286</v>
      </c>
      <c r="N66" s="5" t="s">
        <v>22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0" customHeight="1">
      <c r="A67" s="5" t="s">
        <v>287</v>
      </c>
      <c r="B67" s="5" t="s">
        <v>288</v>
      </c>
      <c r="C67" s="5"/>
      <c r="D67" s="5" t="s">
        <v>289</v>
      </c>
      <c r="E67" s="6">
        <v>23.0</v>
      </c>
      <c r="F67" s="6">
        <v>1972.0</v>
      </c>
      <c r="G67" s="6" t="s">
        <v>85</v>
      </c>
      <c r="H67" s="6"/>
      <c r="I67" s="7" t="s">
        <v>290</v>
      </c>
      <c r="J67" s="20" t="s">
        <v>291</v>
      </c>
      <c r="K67" s="8"/>
      <c r="L67" s="8"/>
      <c r="M67" s="9">
        <v>3.76</v>
      </c>
      <c r="N67" s="5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5" t="s">
        <v>292</v>
      </c>
      <c r="B68" s="5" t="s">
        <v>293</v>
      </c>
      <c r="C68" s="5"/>
      <c r="D68" s="5" t="s">
        <v>292</v>
      </c>
      <c r="E68" s="6">
        <v>1.0</v>
      </c>
      <c r="F68" s="6">
        <v>1989.0</v>
      </c>
      <c r="G68" s="6" t="s">
        <v>38</v>
      </c>
      <c r="H68" s="6" t="s">
        <v>294</v>
      </c>
      <c r="I68" s="7" t="s">
        <v>295</v>
      </c>
      <c r="J68" s="7" t="s">
        <v>296</v>
      </c>
      <c r="K68" s="8"/>
      <c r="L68" s="8"/>
      <c r="M68" s="9"/>
      <c r="N68" s="5" t="s">
        <v>22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5" t="s">
        <v>297</v>
      </c>
      <c r="B69" s="5" t="s">
        <v>293</v>
      </c>
      <c r="C69" s="5"/>
      <c r="D69" s="5" t="s">
        <v>292</v>
      </c>
      <c r="E69" s="6">
        <v>2.0</v>
      </c>
      <c r="F69" s="6">
        <v>1992.0</v>
      </c>
      <c r="G69" s="6" t="s">
        <v>38</v>
      </c>
      <c r="H69" s="6" t="s">
        <v>294</v>
      </c>
      <c r="I69" s="7" t="s">
        <v>298</v>
      </c>
      <c r="J69" s="7" t="s">
        <v>299</v>
      </c>
      <c r="K69" s="8"/>
      <c r="L69" s="8"/>
      <c r="M69" s="9"/>
      <c r="N69" s="5" t="s">
        <v>22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5" t="s">
        <v>300</v>
      </c>
      <c r="B70" s="5" t="s">
        <v>293</v>
      </c>
      <c r="C70" s="5"/>
      <c r="D70" s="5" t="s">
        <v>292</v>
      </c>
      <c r="E70" s="6">
        <v>3.0</v>
      </c>
      <c r="F70" s="6">
        <v>1995.0</v>
      </c>
      <c r="G70" s="6" t="s">
        <v>38</v>
      </c>
      <c r="H70" s="6" t="s">
        <v>294</v>
      </c>
      <c r="I70" s="7" t="s">
        <v>301</v>
      </c>
      <c r="J70" s="7" t="s">
        <v>302</v>
      </c>
      <c r="K70" s="8"/>
      <c r="L70" s="8"/>
      <c r="M70" s="9"/>
      <c r="N70" s="5" t="s">
        <v>22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5" t="s">
        <v>303</v>
      </c>
      <c r="B71" s="5" t="s">
        <v>304</v>
      </c>
      <c r="C71" s="5"/>
      <c r="D71" s="5"/>
      <c r="E71" s="6"/>
      <c r="F71" s="6">
        <v>2010.0</v>
      </c>
      <c r="G71" s="6" t="s">
        <v>38</v>
      </c>
      <c r="H71" s="6"/>
      <c r="I71" s="7" t="s">
        <v>305</v>
      </c>
      <c r="J71" s="7" t="s">
        <v>306</v>
      </c>
      <c r="K71" s="8"/>
      <c r="L71" s="8"/>
      <c r="M71" s="9"/>
      <c r="N71" s="5" t="s">
        <v>22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12" t="s">
        <v>307</v>
      </c>
      <c r="B72" s="12" t="s">
        <v>308</v>
      </c>
      <c r="C72" s="5"/>
      <c r="D72" s="5"/>
      <c r="E72" s="6"/>
      <c r="F72" s="13">
        <v>2019.0</v>
      </c>
      <c r="G72" s="13" t="s">
        <v>120</v>
      </c>
      <c r="H72" s="13" t="s">
        <v>38</v>
      </c>
      <c r="I72" s="14" t="s">
        <v>309</v>
      </c>
      <c r="J72" s="15" t="s">
        <v>310</v>
      </c>
      <c r="K72" s="8"/>
      <c r="L72" s="8"/>
      <c r="M72" s="16">
        <v>3.3</v>
      </c>
      <c r="N72" s="5" t="s">
        <v>22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5" t="s">
        <v>311</v>
      </c>
      <c r="B73" s="5" t="s">
        <v>312</v>
      </c>
      <c r="C73" s="5"/>
      <c r="D73" s="5"/>
      <c r="E73" s="6"/>
      <c r="F73" s="6">
        <v>1864.0</v>
      </c>
      <c r="G73" s="6" t="s">
        <v>38</v>
      </c>
      <c r="H73" s="6" t="s">
        <v>313</v>
      </c>
      <c r="I73" s="7" t="s">
        <v>314</v>
      </c>
      <c r="J73" s="7" t="s">
        <v>315</v>
      </c>
      <c r="K73" s="8"/>
      <c r="L73" s="8"/>
      <c r="M73" s="9">
        <v>4.17</v>
      </c>
      <c r="N73" s="5" t="s">
        <v>22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5" t="s">
        <v>316</v>
      </c>
      <c r="B74" s="5" t="s">
        <v>317</v>
      </c>
      <c r="C74" s="5"/>
      <c r="D74" s="5" t="s">
        <v>318</v>
      </c>
      <c r="E74" s="11" t="s">
        <v>319</v>
      </c>
      <c r="F74" s="6">
        <v>1986.0</v>
      </c>
      <c r="G74" s="6" t="s">
        <v>85</v>
      </c>
      <c r="H74" s="6"/>
      <c r="I74" s="7" t="s">
        <v>320</v>
      </c>
      <c r="J74" s="7"/>
      <c r="K74" s="8"/>
      <c r="L74" s="8"/>
      <c r="M74" s="9"/>
      <c r="N74" s="5" t="s">
        <v>22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5" t="s">
        <v>321</v>
      </c>
      <c r="B75" s="5" t="s">
        <v>317</v>
      </c>
      <c r="C75" s="5"/>
      <c r="D75" s="5" t="s">
        <v>318</v>
      </c>
      <c r="E75" s="11" t="s">
        <v>322</v>
      </c>
      <c r="F75" s="6">
        <v>1986.0</v>
      </c>
      <c r="G75" s="6" t="s">
        <v>85</v>
      </c>
      <c r="H75" s="6"/>
      <c r="I75" s="7" t="s">
        <v>323</v>
      </c>
      <c r="J75" s="7"/>
      <c r="K75" s="8"/>
      <c r="L75" s="8"/>
      <c r="M75" s="9"/>
      <c r="N75" s="5" t="s">
        <v>22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12" t="s">
        <v>324</v>
      </c>
      <c r="B76" s="12" t="s">
        <v>325</v>
      </c>
      <c r="C76" s="12"/>
      <c r="D76" s="5"/>
      <c r="E76" s="6"/>
      <c r="F76" s="13">
        <v>2019.0</v>
      </c>
      <c r="G76" s="13" t="s">
        <v>18</v>
      </c>
      <c r="H76" s="13" t="s">
        <v>99</v>
      </c>
      <c r="I76" s="14" t="s">
        <v>326</v>
      </c>
      <c r="J76" s="18" t="s">
        <v>327</v>
      </c>
      <c r="K76" s="8"/>
      <c r="L76" s="19">
        <v>4.0</v>
      </c>
      <c r="M76" s="16">
        <v>3.96</v>
      </c>
      <c r="N76" s="5" t="s">
        <v>22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12" t="s">
        <v>328</v>
      </c>
      <c r="B77" s="12" t="s">
        <v>329</v>
      </c>
      <c r="C77" s="5"/>
      <c r="D77" s="5"/>
      <c r="E77" s="6"/>
      <c r="F77" s="13">
        <v>2019.0</v>
      </c>
      <c r="G77" s="13" t="s">
        <v>229</v>
      </c>
      <c r="H77" s="13" t="s">
        <v>109</v>
      </c>
      <c r="I77" s="14" t="s">
        <v>330</v>
      </c>
      <c r="J77" s="17" t="s">
        <v>331</v>
      </c>
      <c r="K77" s="8"/>
      <c r="L77" s="8"/>
      <c r="M77" s="9"/>
      <c r="N77" s="5" t="s">
        <v>22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5" t="s">
        <v>332</v>
      </c>
      <c r="B78" s="12" t="s">
        <v>333</v>
      </c>
      <c r="C78" s="5"/>
      <c r="D78" s="5" t="s">
        <v>334</v>
      </c>
      <c r="E78" s="6">
        <v>1.0</v>
      </c>
      <c r="F78" s="6">
        <v>1962.0</v>
      </c>
      <c r="G78" s="6" t="s">
        <v>18</v>
      </c>
      <c r="H78" s="6"/>
      <c r="I78" s="7" t="s">
        <v>335</v>
      </c>
      <c r="J78" s="7" t="s">
        <v>336</v>
      </c>
      <c r="K78" s="8"/>
      <c r="L78" s="8"/>
      <c r="M78" s="9">
        <v>4.02</v>
      </c>
      <c r="N78" s="5" t="s">
        <v>22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12" t="s">
        <v>337</v>
      </c>
      <c r="B79" s="12" t="s">
        <v>338</v>
      </c>
      <c r="C79" s="5"/>
      <c r="D79" s="5"/>
      <c r="E79" s="6"/>
      <c r="F79" s="13">
        <v>1991.0</v>
      </c>
      <c r="G79" s="13" t="s">
        <v>99</v>
      </c>
      <c r="H79" s="13" t="s">
        <v>339</v>
      </c>
      <c r="I79" s="14" t="s">
        <v>340</v>
      </c>
      <c r="J79" s="15" t="s">
        <v>341</v>
      </c>
      <c r="K79" s="8"/>
      <c r="L79" s="8"/>
      <c r="M79" s="16">
        <v>3.91</v>
      </c>
      <c r="N79" s="5" t="s">
        <v>22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5" t="s">
        <v>342</v>
      </c>
      <c r="B80" s="5" t="s">
        <v>343</v>
      </c>
      <c r="C80" s="5"/>
      <c r="D80" s="5" t="s">
        <v>344</v>
      </c>
      <c r="E80" s="6">
        <v>1.0</v>
      </c>
      <c r="F80" s="6">
        <v>1994.0</v>
      </c>
      <c r="G80" s="6" t="s">
        <v>18</v>
      </c>
      <c r="H80" s="6" t="s">
        <v>229</v>
      </c>
      <c r="I80" s="7" t="s">
        <v>345</v>
      </c>
      <c r="J80" s="7" t="s">
        <v>346</v>
      </c>
      <c r="K80" s="8"/>
      <c r="L80" s="8"/>
      <c r="M80" s="9">
        <v>4.02</v>
      </c>
      <c r="N80" s="5" t="s">
        <v>22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5" t="s">
        <v>347</v>
      </c>
      <c r="B81" s="5" t="s">
        <v>348</v>
      </c>
      <c r="C81" s="5"/>
      <c r="D81" s="5"/>
      <c r="E81" s="6"/>
      <c r="F81" s="6">
        <v>1925.0</v>
      </c>
      <c r="G81" s="6" t="s">
        <v>38</v>
      </c>
      <c r="H81" s="6"/>
      <c r="I81" s="7" t="s">
        <v>349</v>
      </c>
      <c r="J81" s="7" t="s">
        <v>350</v>
      </c>
      <c r="K81" s="8"/>
      <c r="L81" s="8"/>
      <c r="M81" s="9"/>
      <c r="N81" s="5" t="s">
        <v>22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5" t="s">
        <v>351</v>
      </c>
      <c r="B82" s="5" t="s">
        <v>352</v>
      </c>
      <c r="C82" s="5"/>
      <c r="D82" s="5"/>
      <c r="E82" s="6"/>
      <c r="F82" s="6">
        <v>2013.0</v>
      </c>
      <c r="G82" s="6" t="s">
        <v>98</v>
      </c>
      <c r="H82" s="6" t="s">
        <v>353</v>
      </c>
      <c r="I82" s="7" t="s">
        <v>354</v>
      </c>
      <c r="J82" s="7" t="s">
        <v>355</v>
      </c>
      <c r="K82" s="8"/>
      <c r="L82" s="8"/>
      <c r="M82" s="9"/>
      <c r="N82" s="5" t="s">
        <v>22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5" t="s">
        <v>356</v>
      </c>
      <c r="B83" s="5" t="s">
        <v>357</v>
      </c>
      <c r="C83" s="5"/>
      <c r="D83" s="5" t="s">
        <v>358</v>
      </c>
      <c r="E83" s="6">
        <v>1.0</v>
      </c>
      <c r="F83" s="6">
        <v>1953.0</v>
      </c>
      <c r="G83" s="6" t="s">
        <v>39</v>
      </c>
      <c r="H83" s="6" t="s">
        <v>359</v>
      </c>
      <c r="I83" s="7" t="s">
        <v>360</v>
      </c>
      <c r="J83" s="7" t="s">
        <v>361</v>
      </c>
      <c r="K83" s="8"/>
      <c r="L83" s="8"/>
      <c r="M83" s="9"/>
      <c r="N83" s="5" t="s">
        <v>22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5" t="s">
        <v>362</v>
      </c>
      <c r="B84" s="5" t="s">
        <v>357</v>
      </c>
      <c r="C84" s="5"/>
      <c r="D84" s="5" t="s">
        <v>358</v>
      </c>
      <c r="E84" s="6">
        <v>6.0</v>
      </c>
      <c r="F84" s="6">
        <v>1957.0</v>
      </c>
      <c r="G84" s="6" t="s">
        <v>39</v>
      </c>
      <c r="H84" s="6" t="s">
        <v>359</v>
      </c>
      <c r="I84" s="7" t="s">
        <v>363</v>
      </c>
      <c r="J84" s="7"/>
      <c r="K84" s="8"/>
      <c r="L84" s="8"/>
      <c r="M84" s="9"/>
      <c r="N84" s="5" t="s">
        <v>22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5" t="s">
        <v>364</v>
      </c>
      <c r="B85" s="5" t="s">
        <v>365</v>
      </c>
      <c r="C85" s="5"/>
      <c r="D85" s="5"/>
      <c r="E85" s="6"/>
      <c r="F85" s="6">
        <v>2012.0</v>
      </c>
      <c r="G85" s="6" t="s">
        <v>39</v>
      </c>
      <c r="H85" s="6" t="s">
        <v>366</v>
      </c>
      <c r="I85" s="7" t="s">
        <v>367</v>
      </c>
      <c r="J85" s="7"/>
      <c r="K85" s="8"/>
      <c r="L85" s="8"/>
      <c r="M85" s="9"/>
      <c r="N85" s="5" t="s">
        <v>368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5" t="s">
        <v>369</v>
      </c>
      <c r="B86" s="5" t="s">
        <v>370</v>
      </c>
      <c r="C86" s="5"/>
      <c r="D86" s="5" t="s">
        <v>369</v>
      </c>
      <c r="E86" s="6">
        <v>1.0</v>
      </c>
      <c r="F86" s="6">
        <v>2001.0</v>
      </c>
      <c r="G86" s="6" t="s">
        <v>18</v>
      </c>
      <c r="H86" s="6" t="s">
        <v>371</v>
      </c>
      <c r="I86" s="7" t="s">
        <v>372</v>
      </c>
      <c r="J86" s="7" t="s">
        <v>373</v>
      </c>
      <c r="K86" s="8">
        <v>4.0</v>
      </c>
      <c r="L86" s="8"/>
      <c r="M86" s="9">
        <v>4.11</v>
      </c>
      <c r="N86" s="5" t="s">
        <v>22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2" t="s">
        <v>374</v>
      </c>
      <c r="B87" s="12" t="s">
        <v>375</v>
      </c>
      <c r="C87" s="5"/>
      <c r="D87" s="5"/>
      <c r="E87" s="6"/>
      <c r="F87" s="13">
        <v>1923.0</v>
      </c>
      <c r="G87" s="13" t="s">
        <v>376</v>
      </c>
      <c r="H87" s="13" t="s">
        <v>313</v>
      </c>
      <c r="I87" s="14" t="s">
        <v>377</v>
      </c>
      <c r="J87" s="17" t="s">
        <v>378</v>
      </c>
      <c r="K87" s="8"/>
      <c r="L87" s="8"/>
      <c r="M87" s="16">
        <v>4.23</v>
      </c>
      <c r="N87" s="5" t="s">
        <v>22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2" t="s">
        <v>379</v>
      </c>
      <c r="B88" s="12" t="s">
        <v>380</v>
      </c>
      <c r="C88" s="5"/>
      <c r="D88" s="5"/>
      <c r="E88" s="6"/>
      <c r="F88" s="13">
        <v>2024.0</v>
      </c>
      <c r="G88" s="13" t="s">
        <v>18</v>
      </c>
      <c r="H88" s="13" t="s">
        <v>381</v>
      </c>
      <c r="I88" s="14" t="s">
        <v>382</v>
      </c>
      <c r="J88" s="17" t="s">
        <v>383</v>
      </c>
      <c r="K88" s="8"/>
      <c r="L88" s="8"/>
      <c r="M88" s="16">
        <v>3.99</v>
      </c>
      <c r="N88" s="12" t="s">
        <v>368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5" t="s">
        <v>384</v>
      </c>
      <c r="B89" s="5" t="s">
        <v>385</v>
      </c>
      <c r="C89" s="5"/>
      <c r="D89" s="5"/>
      <c r="E89" s="6"/>
      <c r="F89" s="6">
        <v>1997.0</v>
      </c>
      <c r="G89" s="6" t="s">
        <v>98</v>
      </c>
      <c r="H89" s="6" t="s">
        <v>99</v>
      </c>
      <c r="I89" s="7" t="s">
        <v>386</v>
      </c>
      <c r="J89" s="7" t="s">
        <v>387</v>
      </c>
      <c r="K89" s="8"/>
      <c r="L89" s="8"/>
      <c r="M89" s="9"/>
      <c r="N89" s="5" t="s">
        <v>22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5" t="s">
        <v>388</v>
      </c>
      <c r="B90" s="5" t="s">
        <v>389</v>
      </c>
      <c r="C90" s="5"/>
      <c r="D90" s="5"/>
      <c r="E90" s="6"/>
      <c r="F90" s="6">
        <v>2012.0</v>
      </c>
      <c r="G90" s="6" t="s">
        <v>38</v>
      </c>
      <c r="H90" s="6"/>
      <c r="I90" s="7" t="s">
        <v>390</v>
      </c>
      <c r="J90" s="7" t="s">
        <v>391</v>
      </c>
      <c r="K90" s="8"/>
      <c r="L90" s="8"/>
      <c r="M90" s="9">
        <v>3.38</v>
      </c>
      <c r="N90" s="5" t="s">
        <v>22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5" t="s">
        <v>392</v>
      </c>
      <c r="B91" s="5" t="s">
        <v>393</v>
      </c>
      <c r="C91" s="5"/>
      <c r="D91" s="5"/>
      <c r="E91" s="6"/>
      <c r="F91" s="6">
        <v>2015.0</v>
      </c>
      <c r="G91" s="6" t="s">
        <v>18</v>
      </c>
      <c r="H91" s="6" t="s">
        <v>394</v>
      </c>
      <c r="I91" s="7" t="s">
        <v>395</v>
      </c>
      <c r="J91" s="20" t="s">
        <v>396</v>
      </c>
      <c r="K91" s="8"/>
      <c r="L91" s="8"/>
      <c r="M91" s="9"/>
      <c r="N91" s="5" t="s">
        <v>22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2" t="s">
        <v>397</v>
      </c>
      <c r="B92" s="12" t="s">
        <v>393</v>
      </c>
      <c r="C92" s="12"/>
      <c r="D92" s="5"/>
      <c r="E92" s="6"/>
      <c r="F92" s="13">
        <v>2016.0</v>
      </c>
      <c r="G92" s="13" t="s">
        <v>18</v>
      </c>
      <c r="H92" s="13" t="s">
        <v>39</v>
      </c>
      <c r="I92" s="14" t="s">
        <v>398</v>
      </c>
      <c r="J92" s="21" t="s">
        <v>399</v>
      </c>
      <c r="K92" s="19">
        <v>3.0</v>
      </c>
      <c r="L92" s="8"/>
      <c r="M92" s="16">
        <v>4.08</v>
      </c>
      <c r="N92" s="5" t="s">
        <v>22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5" t="s">
        <v>400</v>
      </c>
      <c r="B93" s="5" t="s">
        <v>401</v>
      </c>
      <c r="C93" s="5"/>
      <c r="D93" s="5"/>
      <c r="E93" s="6"/>
      <c r="F93" s="6">
        <v>2005.0</v>
      </c>
      <c r="G93" s="6" t="s">
        <v>19</v>
      </c>
      <c r="H93" s="6"/>
      <c r="I93" s="7" t="s">
        <v>402</v>
      </c>
      <c r="J93" s="7" t="s">
        <v>403</v>
      </c>
      <c r="K93" s="8">
        <v>4.0</v>
      </c>
      <c r="L93" s="8">
        <v>4.0</v>
      </c>
      <c r="M93" s="9">
        <v>4.09</v>
      </c>
      <c r="N93" s="5" t="s">
        <v>22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5" t="s">
        <v>404</v>
      </c>
      <c r="B94" s="5" t="s">
        <v>405</v>
      </c>
      <c r="C94" s="5"/>
      <c r="D94" s="5" t="s">
        <v>406</v>
      </c>
      <c r="E94" s="6">
        <v>1.0</v>
      </c>
      <c r="F94" s="6">
        <v>2009.0</v>
      </c>
      <c r="G94" s="6" t="s">
        <v>98</v>
      </c>
      <c r="H94" s="6"/>
      <c r="I94" s="7" t="s">
        <v>407</v>
      </c>
      <c r="J94" s="7" t="s">
        <v>408</v>
      </c>
      <c r="K94" s="8"/>
      <c r="L94" s="8"/>
      <c r="M94" s="9">
        <v>3.91</v>
      </c>
      <c r="N94" s="5" t="s">
        <v>22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5" t="s">
        <v>409</v>
      </c>
      <c r="B95" s="5" t="s">
        <v>410</v>
      </c>
      <c r="C95" s="5"/>
      <c r="D95" s="5" t="s">
        <v>411</v>
      </c>
      <c r="E95" s="6">
        <v>1.0</v>
      </c>
      <c r="F95" s="6">
        <v>1989.0</v>
      </c>
      <c r="G95" s="6" t="s">
        <v>39</v>
      </c>
      <c r="H95" s="6"/>
      <c r="I95" s="7" t="s">
        <v>412</v>
      </c>
      <c r="J95" s="7" t="s">
        <v>413</v>
      </c>
      <c r="K95" s="8"/>
      <c r="L95" s="8"/>
      <c r="M95" s="9">
        <v>4.01</v>
      </c>
      <c r="N95" s="5" t="s">
        <v>22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2" t="s">
        <v>414</v>
      </c>
      <c r="B96" s="12" t="s">
        <v>415</v>
      </c>
      <c r="C96" s="5"/>
      <c r="D96" s="5" t="s">
        <v>416</v>
      </c>
      <c r="E96" s="22">
        <v>45295.0</v>
      </c>
      <c r="F96" s="13">
        <v>1993.0</v>
      </c>
      <c r="G96" s="6" t="s">
        <v>18</v>
      </c>
      <c r="H96" s="6" t="s">
        <v>104</v>
      </c>
      <c r="I96" s="14" t="s">
        <v>417</v>
      </c>
      <c r="J96" s="17" t="s">
        <v>418</v>
      </c>
      <c r="K96" s="8"/>
      <c r="L96" s="8"/>
      <c r="M96" s="16">
        <v>4.29</v>
      </c>
      <c r="N96" s="5" t="s">
        <v>22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2" t="s">
        <v>419</v>
      </c>
      <c r="B97" s="12" t="s">
        <v>420</v>
      </c>
      <c r="C97" s="5"/>
      <c r="D97" s="5"/>
      <c r="E97" s="6"/>
      <c r="F97" s="13">
        <v>2000.0</v>
      </c>
      <c r="G97" s="13" t="s">
        <v>152</v>
      </c>
      <c r="H97" s="13" t="s">
        <v>85</v>
      </c>
      <c r="I97" s="14" t="s">
        <v>421</v>
      </c>
      <c r="J97" s="15" t="s">
        <v>422</v>
      </c>
      <c r="K97" s="8"/>
      <c r="L97" s="8"/>
      <c r="M97" s="16">
        <v>3.85</v>
      </c>
      <c r="N97" s="5" t="s">
        <v>22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5" t="s">
        <v>423</v>
      </c>
      <c r="B98" s="5" t="s">
        <v>420</v>
      </c>
      <c r="C98" s="5"/>
      <c r="D98" s="5"/>
      <c r="E98" s="6"/>
      <c r="F98" s="6">
        <v>2007.0</v>
      </c>
      <c r="G98" s="6" t="s">
        <v>38</v>
      </c>
      <c r="H98" s="6" t="s">
        <v>424</v>
      </c>
      <c r="I98" s="7" t="s">
        <v>425</v>
      </c>
      <c r="J98" s="20" t="s">
        <v>426</v>
      </c>
      <c r="K98" s="8">
        <v>4.0</v>
      </c>
      <c r="L98" s="8">
        <v>4.0</v>
      </c>
      <c r="M98" s="9">
        <v>3.71</v>
      </c>
      <c r="N98" s="5" t="s">
        <v>22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5" t="s">
        <v>427</v>
      </c>
      <c r="B99" s="5" t="s">
        <v>428</v>
      </c>
      <c r="C99" s="5"/>
      <c r="D99" s="5"/>
      <c r="E99" s="6"/>
      <c r="F99" s="6">
        <v>2015.0</v>
      </c>
      <c r="G99" s="6" t="s">
        <v>98</v>
      </c>
      <c r="H99" s="6" t="s">
        <v>353</v>
      </c>
      <c r="I99" s="7" t="s">
        <v>429</v>
      </c>
      <c r="J99" s="7" t="s">
        <v>430</v>
      </c>
      <c r="K99" s="8"/>
      <c r="L99" s="8"/>
      <c r="M99" s="9"/>
      <c r="N99" s="5" t="s">
        <v>22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5" t="s">
        <v>431</v>
      </c>
      <c r="B100" s="5" t="s">
        <v>432</v>
      </c>
      <c r="C100" s="5"/>
      <c r="D100" s="5"/>
      <c r="E100" s="5"/>
      <c r="F100" s="6">
        <v>1993.0</v>
      </c>
      <c r="G100" s="6" t="s">
        <v>38</v>
      </c>
      <c r="H100" s="6"/>
      <c r="I100" s="7" t="s">
        <v>433</v>
      </c>
      <c r="J100" s="7" t="s">
        <v>434</v>
      </c>
      <c r="K100" s="7"/>
      <c r="L100" s="7"/>
      <c r="M100" s="7" t="s">
        <v>435</v>
      </c>
      <c r="N100" s="5" t="s">
        <v>22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5" t="s">
        <v>436</v>
      </c>
      <c r="B101" s="5" t="s">
        <v>437</v>
      </c>
      <c r="C101" s="5"/>
      <c r="D101" s="5" t="s">
        <v>436</v>
      </c>
      <c r="E101" s="6">
        <v>1.0</v>
      </c>
      <c r="F101" s="6">
        <v>1999.0</v>
      </c>
      <c r="G101" s="6" t="s">
        <v>18</v>
      </c>
      <c r="H101" s="6" t="s">
        <v>99</v>
      </c>
      <c r="I101" s="7" t="s">
        <v>438</v>
      </c>
      <c r="J101" s="7" t="s">
        <v>439</v>
      </c>
      <c r="K101" s="8"/>
      <c r="L101" s="8"/>
      <c r="M101" s="9">
        <v>3.95</v>
      </c>
      <c r="N101" s="5" t="s">
        <v>22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5" t="s">
        <v>440</v>
      </c>
      <c r="B102" s="5" t="s">
        <v>441</v>
      </c>
      <c r="C102" s="5"/>
      <c r="D102" s="5" t="s">
        <v>442</v>
      </c>
      <c r="E102" s="6">
        <v>1.0</v>
      </c>
      <c r="F102" s="6">
        <v>1980.0</v>
      </c>
      <c r="G102" s="6" t="s">
        <v>39</v>
      </c>
      <c r="H102" s="6" t="s">
        <v>366</v>
      </c>
      <c r="I102" s="7" t="s">
        <v>443</v>
      </c>
      <c r="J102" s="7" t="s">
        <v>444</v>
      </c>
      <c r="K102" s="8"/>
      <c r="L102" s="8"/>
      <c r="M102" s="9"/>
      <c r="N102" s="5" t="s">
        <v>22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5" t="s">
        <v>445</v>
      </c>
      <c r="B103" s="5" t="s">
        <v>441</v>
      </c>
      <c r="C103" s="5"/>
      <c r="D103" s="5" t="s">
        <v>442</v>
      </c>
      <c r="E103" s="6">
        <v>2.0</v>
      </c>
      <c r="F103" s="6">
        <v>1988.0</v>
      </c>
      <c r="G103" s="6" t="s">
        <v>39</v>
      </c>
      <c r="H103" s="6" t="s">
        <v>366</v>
      </c>
      <c r="I103" s="7" t="s">
        <v>446</v>
      </c>
      <c r="J103" s="7" t="s">
        <v>447</v>
      </c>
      <c r="K103" s="8"/>
      <c r="L103" s="8"/>
      <c r="M103" s="9"/>
      <c r="N103" s="5" t="s">
        <v>22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5" t="s">
        <v>448</v>
      </c>
      <c r="B104" s="5" t="s">
        <v>441</v>
      </c>
      <c r="C104" s="5"/>
      <c r="D104" s="5" t="s">
        <v>442</v>
      </c>
      <c r="E104" s="6">
        <v>3.0</v>
      </c>
      <c r="F104" s="6">
        <v>1999.0</v>
      </c>
      <c r="G104" s="6" t="s">
        <v>39</v>
      </c>
      <c r="H104" s="6" t="s">
        <v>366</v>
      </c>
      <c r="I104" s="7" t="s">
        <v>449</v>
      </c>
      <c r="J104" s="7" t="s">
        <v>450</v>
      </c>
      <c r="K104" s="8"/>
      <c r="L104" s="8"/>
      <c r="M104" s="9">
        <v>3.72</v>
      </c>
      <c r="N104" s="5" t="s">
        <v>22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2" t="s">
        <v>451</v>
      </c>
      <c r="B105" s="12" t="s">
        <v>452</v>
      </c>
      <c r="C105" s="5"/>
      <c r="D105" s="5"/>
      <c r="E105" s="6"/>
      <c r="F105" s="13">
        <v>2023.0</v>
      </c>
      <c r="G105" s="13" t="s">
        <v>229</v>
      </c>
      <c r="H105" s="13" t="s">
        <v>98</v>
      </c>
      <c r="I105" s="14" t="s">
        <v>453</v>
      </c>
      <c r="J105" s="17" t="s">
        <v>454</v>
      </c>
      <c r="K105" s="8"/>
      <c r="L105" s="19">
        <v>3.0</v>
      </c>
      <c r="M105" s="16">
        <v>4.08</v>
      </c>
      <c r="N105" s="5" t="s">
        <v>22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5" t="s">
        <v>455</v>
      </c>
      <c r="B106" s="5" t="s">
        <v>456</v>
      </c>
      <c r="C106" s="5"/>
      <c r="D106" s="5"/>
      <c r="E106" s="6"/>
      <c r="F106" s="6">
        <v>1961.0</v>
      </c>
      <c r="G106" s="6" t="s">
        <v>381</v>
      </c>
      <c r="H106" s="6" t="s">
        <v>353</v>
      </c>
      <c r="I106" s="7" t="s">
        <v>457</v>
      </c>
      <c r="J106" s="20" t="s">
        <v>458</v>
      </c>
      <c r="K106" s="8"/>
      <c r="L106" s="8"/>
      <c r="M106" s="9">
        <v>3.98</v>
      </c>
      <c r="N106" s="5" t="s">
        <v>22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23" t="s">
        <v>459</v>
      </c>
      <c r="B107" s="23" t="s">
        <v>460</v>
      </c>
      <c r="C107" s="23"/>
      <c r="D107" s="23" t="s">
        <v>461</v>
      </c>
      <c r="E107" s="24" t="s">
        <v>462</v>
      </c>
      <c r="F107" s="6">
        <v>1979.0</v>
      </c>
      <c r="G107" s="24" t="s">
        <v>18</v>
      </c>
      <c r="H107" s="24" t="s">
        <v>32</v>
      </c>
      <c r="I107" s="25" t="s">
        <v>463</v>
      </c>
      <c r="J107" s="20" t="s">
        <v>464</v>
      </c>
      <c r="K107" s="8"/>
      <c r="L107" s="8"/>
      <c r="M107" s="9">
        <v>4.37</v>
      </c>
      <c r="N107" s="5" t="s">
        <v>22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2" t="s">
        <v>465</v>
      </c>
      <c r="B108" s="12" t="s">
        <v>466</v>
      </c>
      <c r="C108" s="5"/>
      <c r="D108" s="5"/>
      <c r="E108" s="6"/>
      <c r="F108" s="13">
        <v>2021.0</v>
      </c>
      <c r="G108" s="13" t="s">
        <v>467</v>
      </c>
      <c r="H108" s="13" t="s">
        <v>18</v>
      </c>
      <c r="I108" s="14" t="s">
        <v>468</v>
      </c>
      <c r="J108" s="15" t="s">
        <v>469</v>
      </c>
      <c r="K108" s="8"/>
      <c r="L108" s="8"/>
      <c r="M108" s="16">
        <v>3.66</v>
      </c>
      <c r="N108" s="5" t="s">
        <v>22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5" t="s">
        <v>470</v>
      </c>
      <c r="B109" s="5" t="s">
        <v>471</v>
      </c>
      <c r="C109" s="5"/>
      <c r="D109" s="5" t="s">
        <v>472</v>
      </c>
      <c r="E109" s="6">
        <v>2.0</v>
      </c>
      <c r="F109" s="6">
        <v>-720.0</v>
      </c>
      <c r="G109" s="6" t="s">
        <v>371</v>
      </c>
      <c r="H109" s="6" t="s">
        <v>253</v>
      </c>
      <c r="I109" s="7" t="s">
        <v>473</v>
      </c>
      <c r="J109" s="7" t="s">
        <v>474</v>
      </c>
      <c r="K109" s="8"/>
      <c r="L109" s="8"/>
      <c r="M109" s="9">
        <v>3.79</v>
      </c>
      <c r="N109" s="5" t="s">
        <v>22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5" t="s">
        <v>475</v>
      </c>
      <c r="B110" s="5" t="s">
        <v>476</v>
      </c>
      <c r="C110" s="5"/>
      <c r="D110" s="5"/>
      <c r="E110" s="6"/>
      <c r="F110" s="6">
        <v>2003.0</v>
      </c>
      <c r="G110" s="6" t="s">
        <v>38</v>
      </c>
      <c r="H110" s="6"/>
      <c r="I110" s="7" t="s">
        <v>477</v>
      </c>
      <c r="J110" s="7" t="s">
        <v>478</v>
      </c>
      <c r="K110" s="8"/>
      <c r="L110" s="8"/>
      <c r="M110" s="9"/>
      <c r="N110" s="5" t="s">
        <v>22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5" t="s">
        <v>479</v>
      </c>
      <c r="B111" s="5" t="s">
        <v>480</v>
      </c>
      <c r="C111" s="5"/>
      <c r="D111" s="5" t="s">
        <v>481</v>
      </c>
      <c r="E111" s="6">
        <v>4.0</v>
      </c>
      <c r="F111" s="6">
        <v>2014.0</v>
      </c>
      <c r="G111" s="6" t="s">
        <v>85</v>
      </c>
      <c r="H111" s="6" t="s">
        <v>39</v>
      </c>
      <c r="I111" s="7" t="s">
        <v>482</v>
      </c>
      <c r="J111" s="7" t="s">
        <v>483</v>
      </c>
      <c r="K111" s="8"/>
      <c r="L111" s="8"/>
      <c r="M111" s="9">
        <v>4.11</v>
      </c>
      <c r="N111" s="5" t="s">
        <v>22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5" t="s">
        <v>484</v>
      </c>
      <c r="B112" s="5" t="s">
        <v>485</v>
      </c>
      <c r="C112" s="5"/>
      <c r="D112" s="5" t="s">
        <v>486</v>
      </c>
      <c r="E112" s="6" t="s">
        <v>487</v>
      </c>
      <c r="F112" s="6">
        <v>2009.0</v>
      </c>
      <c r="G112" s="6" t="s">
        <v>488</v>
      </c>
      <c r="H112" s="6" t="s">
        <v>229</v>
      </c>
      <c r="I112" s="7" t="s">
        <v>489</v>
      </c>
      <c r="J112" s="20" t="s">
        <v>490</v>
      </c>
      <c r="K112" s="8"/>
      <c r="L112" s="8"/>
      <c r="M112" s="9">
        <v>4.18</v>
      </c>
      <c r="N112" s="5" t="s">
        <v>22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5" t="s">
        <v>491</v>
      </c>
      <c r="B113" s="5" t="s">
        <v>492</v>
      </c>
      <c r="C113" s="5"/>
      <c r="D113" s="5"/>
      <c r="E113" s="6"/>
      <c r="F113" s="6">
        <v>1889.0</v>
      </c>
      <c r="G113" s="6" t="s">
        <v>381</v>
      </c>
      <c r="H113" s="6"/>
      <c r="I113" s="7" t="s">
        <v>493</v>
      </c>
      <c r="J113" s="7" t="s">
        <v>494</v>
      </c>
      <c r="K113" s="8"/>
      <c r="L113" s="8"/>
      <c r="M113" s="9">
        <v>3.9</v>
      </c>
      <c r="N113" s="5" t="s">
        <v>22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5" t="s">
        <v>495</v>
      </c>
      <c r="B114" s="5" t="s">
        <v>496</v>
      </c>
      <c r="C114" s="5"/>
      <c r="D114" s="5"/>
      <c r="E114" s="6"/>
      <c r="F114" s="6">
        <v>2014.0</v>
      </c>
      <c r="G114" s="6" t="s">
        <v>497</v>
      </c>
      <c r="H114" s="6" t="s">
        <v>98</v>
      </c>
      <c r="I114" s="7" t="s">
        <v>498</v>
      </c>
      <c r="J114" s="7" t="s">
        <v>499</v>
      </c>
      <c r="K114" s="8"/>
      <c r="L114" s="8"/>
      <c r="M114" s="9">
        <v>3.74</v>
      </c>
      <c r="N114" s="5" t="s">
        <v>22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5" t="s">
        <v>500</v>
      </c>
      <c r="B115" s="5" t="s">
        <v>501</v>
      </c>
      <c r="C115" s="5"/>
      <c r="D115" s="5" t="s">
        <v>502</v>
      </c>
      <c r="E115" s="6">
        <v>1.0</v>
      </c>
      <c r="F115" s="6">
        <v>1990.0</v>
      </c>
      <c r="G115" s="6" t="s">
        <v>18</v>
      </c>
      <c r="H115" s="6" t="s">
        <v>104</v>
      </c>
      <c r="I115" s="7" t="s">
        <v>503</v>
      </c>
      <c r="J115" s="7" t="s">
        <v>504</v>
      </c>
      <c r="K115" s="8"/>
      <c r="L115" s="8"/>
      <c r="M115" s="9"/>
      <c r="N115" s="5" t="s">
        <v>22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5" t="s">
        <v>505</v>
      </c>
      <c r="B116" s="5" t="s">
        <v>501</v>
      </c>
      <c r="C116" s="5"/>
      <c r="D116" s="5" t="s">
        <v>502</v>
      </c>
      <c r="E116" s="6">
        <v>2.0</v>
      </c>
      <c r="F116" s="6">
        <v>1990.0</v>
      </c>
      <c r="G116" s="6" t="s">
        <v>18</v>
      </c>
      <c r="H116" s="6" t="s">
        <v>104</v>
      </c>
      <c r="I116" s="7">
        <v>1.857230272E9</v>
      </c>
      <c r="J116" s="7" t="s">
        <v>506</v>
      </c>
      <c r="K116" s="8"/>
      <c r="L116" s="8"/>
      <c r="M116" s="9"/>
      <c r="N116" s="5" t="s">
        <v>22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5" t="s">
        <v>507</v>
      </c>
      <c r="B117" s="5" t="s">
        <v>501</v>
      </c>
      <c r="C117" s="5"/>
      <c r="D117" s="5" t="s">
        <v>502</v>
      </c>
      <c r="E117" s="6">
        <v>3.0</v>
      </c>
      <c r="F117" s="6">
        <v>1991.0</v>
      </c>
      <c r="G117" s="6" t="s">
        <v>18</v>
      </c>
      <c r="H117" s="6" t="s">
        <v>104</v>
      </c>
      <c r="I117" s="7" t="s">
        <v>508</v>
      </c>
      <c r="J117" s="7" t="s">
        <v>509</v>
      </c>
      <c r="K117" s="8"/>
      <c r="L117" s="8"/>
      <c r="M117" s="9"/>
      <c r="N117" s="5" t="s">
        <v>22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5" t="s">
        <v>510</v>
      </c>
      <c r="B118" s="5" t="s">
        <v>501</v>
      </c>
      <c r="C118" s="5"/>
      <c r="D118" s="5" t="s">
        <v>502</v>
      </c>
      <c r="E118" s="6">
        <v>4.0</v>
      </c>
      <c r="F118" s="6">
        <v>1992.0</v>
      </c>
      <c r="G118" s="6" t="s">
        <v>18</v>
      </c>
      <c r="H118" s="6" t="s">
        <v>104</v>
      </c>
      <c r="I118" s="7" t="s">
        <v>511</v>
      </c>
      <c r="J118" s="20" t="s">
        <v>512</v>
      </c>
      <c r="K118" s="8"/>
      <c r="L118" s="8"/>
      <c r="M118" s="9">
        <v>4.23</v>
      </c>
      <c r="N118" s="5" t="s">
        <v>22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2" t="s">
        <v>513</v>
      </c>
      <c r="B119" s="12" t="s">
        <v>514</v>
      </c>
      <c r="C119" s="5"/>
      <c r="D119" s="5"/>
      <c r="E119" s="6"/>
      <c r="F119" s="13">
        <v>1922.0</v>
      </c>
      <c r="G119" s="13" t="s">
        <v>38</v>
      </c>
      <c r="H119" s="13" t="s">
        <v>515</v>
      </c>
      <c r="I119" s="14" t="s">
        <v>516</v>
      </c>
      <c r="J119" s="17" t="s">
        <v>517</v>
      </c>
      <c r="K119" s="8"/>
      <c r="L119" s="8"/>
      <c r="M119" s="16">
        <v>3.75</v>
      </c>
      <c r="N119" s="5" t="s">
        <v>22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2" t="s">
        <v>518</v>
      </c>
      <c r="B120" s="12" t="s">
        <v>519</v>
      </c>
      <c r="C120" s="5"/>
      <c r="D120" s="12" t="s">
        <v>518</v>
      </c>
      <c r="E120" s="13">
        <v>1.0</v>
      </c>
      <c r="F120" s="13">
        <v>2013.0</v>
      </c>
      <c r="G120" s="13" t="s">
        <v>18</v>
      </c>
      <c r="H120" s="13" t="s">
        <v>229</v>
      </c>
      <c r="I120" s="14" t="s">
        <v>520</v>
      </c>
      <c r="J120" s="15" t="s">
        <v>521</v>
      </c>
      <c r="K120" s="8"/>
      <c r="L120" s="8"/>
      <c r="M120" s="16">
        <v>3.94</v>
      </c>
      <c r="N120" s="5" t="s">
        <v>22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5" t="s">
        <v>522</v>
      </c>
      <c r="B121" s="5" t="s">
        <v>519</v>
      </c>
      <c r="C121" s="5"/>
      <c r="D121" s="5" t="s">
        <v>518</v>
      </c>
      <c r="E121" s="6">
        <v>2.0</v>
      </c>
      <c r="F121" s="6">
        <v>2010.0</v>
      </c>
      <c r="G121" s="6" t="s">
        <v>18</v>
      </c>
      <c r="H121" s="6" t="s">
        <v>235</v>
      </c>
      <c r="I121" s="7" t="s">
        <v>523</v>
      </c>
      <c r="J121" s="7" t="s">
        <v>524</v>
      </c>
      <c r="K121" s="8"/>
      <c r="L121" s="8"/>
      <c r="M121" s="9">
        <v>4.06</v>
      </c>
      <c r="N121" s="5" t="s">
        <v>22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5" t="s">
        <v>525</v>
      </c>
      <c r="B122" s="5" t="s">
        <v>519</v>
      </c>
      <c r="C122" s="5"/>
      <c r="D122" s="5" t="s">
        <v>518</v>
      </c>
      <c r="E122" s="6">
        <v>3.0</v>
      </c>
      <c r="F122" s="6">
        <v>2011.0</v>
      </c>
      <c r="G122" s="6" t="s">
        <v>18</v>
      </c>
      <c r="H122" s="6" t="s">
        <v>235</v>
      </c>
      <c r="I122" s="7" t="s">
        <v>526</v>
      </c>
      <c r="J122" s="7" t="s">
        <v>527</v>
      </c>
      <c r="K122" s="8"/>
      <c r="L122" s="8"/>
      <c r="M122" s="9">
        <v>4.01</v>
      </c>
      <c r="N122" s="5" t="s">
        <v>22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5" t="s">
        <v>528</v>
      </c>
      <c r="B123" s="5" t="s">
        <v>519</v>
      </c>
      <c r="C123" s="5"/>
      <c r="D123" s="5" t="s">
        <v>518</v>
      </c>
      <c r="E123" s="6">
        <v>4.0</v>
      </c>
      <c r="F123" s="6">
        <v>2012.0</v>
      </c>
      <c r="G123" s="6" t="s">
        <v>18</v>
      </c>
      <c r="H123" s="6" t="s">
        <v>235</v>
      </c>
      <c r="I123" s="7" t="s">
        <v>529</v>
      </c>
      <c r="J123" s="7" t="s">
        <v>530</v>
      </c>
      <c r="K123" s="8"/>
      <c r="L123" s="8"/>
      <c r="M123" s="9">
        <v>4.02</v>
      </c>
      <c r="N123" s="5" t="s">
        <v>22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5" t="s">
        <v>531</v>
      </c>
      <c r="B124" s="5" t="s">
        <v>519</v>
      </c>
      <c r="C124" s="5"/>
      <c r="D124" s="5" t="s">
        <v>518</v>
      </c>
      <c r="E124" s="6">
        <v>5.0</v>
      </c>
      <c r="F124" s="6">
        <v>2013.0</v>
      </c>
      <c r="G124" s="6" t="s">
        <v>18</v>
      </c>
      <c r="H124" s="6" t="s">
        <v>235</v>
      </c>
      <c r="I124" s="7" t="s">
        <v>532</v>
      </c>
      <c r="J124" s="7" t="s">
        <v>533</v>
      </c>
      <c r="K124" s="8"/>
      <c r="L124" s="8"/>
      <c r="M124" s="9">
        <v>4.11</v>
      </c>
      <c r="N124" s="5" t="s">
        <v>22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5" t="s">
        <v>534</v>
      </c>
      <c r="B125" s="5" t="s">
        <v>519</v>
      </c>
      <c r="C125" s="5"/>
      <c r="D125" s="5" t="s">
        <v>518</v>
      </c>
      <c r="E125" s="6">
        <v>6.0</v>
      </c>
      <c r="F125" s="6">
        <v>2014.0</v>
      </c>
      <c r="G125" s="6" t="s">
        <v>18</v>
      </c>
      <c r="H125" s="6" t="s">
        <v>235</v>
      </c>
      <c r="I125" s="7" t="s">
        <v>535</v>
      </c>
      <c r="J125" s="7" t="s">
        <v>536</v>
      </c>
      <c r="K125" s="8"/>
      <c r="L125" s="8"/>
      <c r="M125" s="9">
        <v>4.17</v>
      </c>
      <c r="N125" s="5" t="s">
        <v>22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5" t="s">
        <v>537</v>
      </c>
      <c r="B126" s="5" t="s">
        <v>519</v>
      </c>
      <c r="C126" s="5"/>
      <c r="D126" s="5" t="s">
        <v>518</v>
      </c>
      <c r="E126" s="6">
        <v>7.0</v>
      </c>
      <c r="F126" s="6">
        <v>2015.0</v>
      </c>
      <c r="G126" s="6" t="s">
        <v>18</v>
      </c>
      <c r="H126" s="6" t="s">
        <v>235</v>
      </c>
      <c r="I126" s="7" t="s">
        <v>538</v>
      </c>
      <c r="J126" s="7" t="s">
        <v>539</v>
      </c>
      <c r="K126" s="8"/>
      <c r="L126" s="8"/>
      <c r="M126" s="9">
        <v>4.08</v>
      </c>
      <c r="N126" s="5" t="s">
        <v>22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5" t="s">
        <v>540</v>
      </c>
      <c r="B127" s="5" t="s">
        <v>541</v>
      </c>
      <c r="C127" s="5"/>
      <c r="D127" s="5" t="s">
        <v>542</v>
      </c>
      <c r="E127" s="6">
        <v>16.0</v>
      </c>
      <c r="F127" s="6">
        <v>1987.0</v>
      </c>
      <c r="G127" s="6" t="s">
        <v>85</v>
      </c>
      <c r="H127" s="6" t="s">
        <v>158</v>
      </c>
      <c r="I127" s="7" t="s">
        <v>543</v>
      </c>
      <c r="J127" s="20" t="s">
        <v>544</v>
      </c>
      <c r="K127" s="8"/>
      <c r="L127" s="8"/>
      <c r="M127" s="9">
        <v>3.63</v>
      </c>
      <c r="N127" s="5" t="s">
        <v>22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5" t="s">
        <v>545</v>
      </c>
      <c r="B128" s="5" t="s">
        <v>546</v>
      </c>
      <c r="C128" s="5"/>
      <c r="D128" s="5" t="s">
        <v>547</v>
      </c>
      <c r="E128" s="6">
        <v>1.0</v>
      </c>
      <c r="F128" s="6">
        <v>1982.0</v>
      </c>
      <c r="G128" s="6" t="s">
        <v>18</v>
      </c>
      <c r="H128" s="6"/>
      <c r="I128" s="7" t="s">
        <v>548</v>
      </c>
      <c r="J128" s="7" t="s">
        <v>549</v>
      </c>
      <c r="K128" s="8"/>
      <c r="L128" s="8"/>
      <c r="M128" s="9"/>
      <c r="N128" s="5" t="s">
        <v>22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5" t="s">
        <v>550</v>
      </c>
      <c r="B129" s="5" t="s">
        <v>546</v>
      </c>
      <c r="C129" s="5"/>
      <c r="D129" s="5" t="s">
        <v>547</v>
      </c>
      <c r="E129" s="6">
        <v>2.0</v>
      </c>
      <c r="F129" s="6">
        <v>1987.0</v>
      </c>
      <c r="G129" s="6" t="s">
        <v>18</v>
      </c>
      <c r="H129" s="6"/>
      <c r="I129" s="7" t="s">
        <v>551</v>
      </c>
      <c r="J129" s="7" t="s">
        <v>552</v>
      </c>
      <c r="K129" s="8"/>
      <c r="L129" s="8"/>
      <c r="M129" s="9"/>
      <c r="N129" s="5" t="s">
        <v>22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5" t="s">
        <v>553</v>
      </c>
      <c r="B130" s="5" t="s">
        <v>546</v>
      </c>
      <c r="C130" s="5"/>
      <c r="D130" s="5" t="s">
        <v>547</v>
      </c>
      <c r="E130" s="6">
        <v>3.0</v>
      </c>
      <c r="F130" s="6">
        <v>1991.0</v>
      </c>
      <c r="G130" s="6" t="s">
        <v>18</v>
      </c>
      <c r="H130" s="6"/>
      <c r="I130" s="7" t="s">
        <v>554</v>
      </c>
      <c r="J130" s="7"/>
      <c r="K130" s="8"/>
      <c r="L130" s="8"/>
      <c r="M130" s="9">
        <v>4.23</v>
      </c>
      <c r="N130" s="5" t="s">
        <v>22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5" t="s">
        <v>555</v>
      </c>
      <c r="B131" s="5" t="s">
        <v>546</v>
      </c>
      <c r="C131" s="5"/>
      <c r="D131" s="5" t="s">
        <v>547</v>
      </c>
      <c r="E131" s="6">
        <v>4.0</v>
      </c>
      <c r="F131" s="6">
        <v>1997.0</v>
      </c>
      <c r="G131" s="6" t="s">
        <v>18</v>
      </c>
      <c r="H131" s="6"/>
      <c r="I131" s="7" t="s">
        <v>556</v>
      </c>
      <c r="J131" s="7" t="s">
        <v>557</v>
      </c>
      <c r="K131" s="8"/>
      <c r="L131" s="8"/>
      <c r="M131" s="9"/>
      <c r="N131" s="5" t="s">
        <v>22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5" t="s">
        <v>558</v>
      </c>
      <c r="B132" s="5" t="s">
        <v>546</v>
      </c>
      <c r="C132" s="5"/>
      <c r="D132" s="5" t="s">
        <v>547</v>
      </c>
      <c r="E132" s="6">
        <v>5.0</v>
      </c>
      <c r="F132" s="6">
        <v>2003.0</v>
      </c>
      <c r="G132" s="6" t="s">
        <v>18</v>
      </c>
      <c r="H132" s="6"/>
      <c r="I132" s="7" t="s">
        <v>559</v>
      </c>
      <c r="J132" s="7" t="s">
        <v>560</v>
      </c>
      <c r="K132" s="8"/>
      <c r="L132" s="8"/>
      <c r="M132" s="9"/>
      <c r="N132" s="5" t="s">
        <v>22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5" t="s">
        <v>561</v>
      </c>
      <c r="B133" s="5" t="s">
        <v>546</v>
      </c>
      <c r="C133" s="5"/>
      <c r="D133" s="5" t="s">
        <v>547</v>
      </c>
      <c r="E133" s="6">
        <v>6.0</v>
      </c>
      <c r="F133" s="6">
        <v>2004.0</v>
      </c>
      <c r="G133" s="6" t="s">
        <v>18</v>
      </c>
      <c r="H133" s="6"/>
      <c r="I133" s="7" t="s">
        <v>562</v>
      </c>
      <c r="J133" s="7" t="s">
        <v>563</v>
      </c>
      <c r="K133" s="8"/>
      <c r="L133" s="8"/>
      <c r="M133" s="9"/>
      <c r="N133" s="5" t="s">
        <v>22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5" t="s">
        <v>547</v>
      </c>
      <c r="B134" s="5" t="s">
        <v>546</v>
      </c>
      <c r="C134" s="5"/>
      <c r="D134" s="5" t="s">
        <v>547</v>
      </c>
      <c r="E134" s="6">
        <v>7.0</v>
      </c>
      <c r="F134" s="6">
        <v>2004.0</v>
      </c>
      <c r="G134" s="6" t="s">
        <v>18</v>
      </c>
      <c r="H134" s="6"/>
      <c r="I134" s="7" t="s">
        <v>564</v>
      </c>
      <c r="J134" s="7" t="s">
        <v>565</v>
      </c>
      <c r="K134" s="8"/>
      <c r="L134" s="8"/>
      <c r="M134" s="9">
        <v>4.28</v>
      </c>
      <c r="N134" s="5" t="s">
        <v>22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5" t="s">
        <v>566</v>
      </c>
      <c r="B135" s="5" t="s">
        <v>546</v>
      </c>
      <c r="C135" s="5"/>
      <c r="D135" s="5"/>
      <c r="E135" s="6"/>
      <c r="F135" s="6">
        <v>1982.0</v>
      </c>
      <c r="G135" s="6" t="s">
        <v>38</v>
      </c>
      <c r="H135" s="6"/>
      <c r="I135" s="7" t="s">
        <v>567</v>
      </c>
      <c r="J135" s="7" t="s">
        <v>568</v>
      </c>
      <c r="K135" s="8"/>
      <c r="L135" s="8"/>
      <c r="M135" s="9"/>
      <c r="N135" s="5" t="s">
        <v>22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5" t="s">
        <v>569</v>
      </c>
      <c r="B136" s="5" t="s">
        <v>546</v>
      </c>
      <c r="C136" s="5"/>
      <c r="D136" s="5"/>
      <c r="E136" s="6"/>
      <c r="F136" s="6">
        <v>1998.0</v>
      </c>
      <c r="G136" s="6" t="s">
        <v>18</v>
      </c>
      <c r="H136" s="6" t="s">
        <v>38</v>
      </c>
      <c r="I136" s="7" t="s">
        <v>570</v>
      </c>
      <c r="J136" s="7"/>
      <c r="K136" s="8"/>
      <c r="L136" s="8"/>
      <c r="M136" s="9"/>
      <c r="N136" s="5" t="s">
        <v>22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5" t="s">
        <v>571</v>
      </c>
      <c r="B137" s="5" t="s">
        <v>572</v>
      </c>
      <c r="C137" s="5"/>
      <c r="D137" s="5"/>
      <c r="E137" s="6"/>
      <c r="F137" s="6">
        <v>2009.0</v>
      </c>
      <c r="G137" s="6" t="s">
        <v>38</v>
      </c>
      <c r="H137" s="6"/>
      <c r="I137" s="7" t="s">
        <v>573</v>
      </c>
      <c r="J137" s="7"/>
      <c r="K137" s="8"/>
      <c r="L137" s="8"/>
      <c r="M137" s="9"/>
      <c r="N137" s="12" t="s">
        <v>22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5" t="s">
        <v>574</v>
      </c>
      <c r="B138" s="5" t="s">
        <v>575</v>
      </c>
      <c r="C138" s="5"/>
      <c r="D138" s="5" t="s">
        <v>576</v>
      </c>
      <c r="E138" s="6">
        <v>1.0</v>
      </c>
      <c r="F138" s="6">
        <v>1996.0</v>
      </c>
      <c r="G138" s="6" t="s">
        <v>85</v>
      </c>
      <c r="H138" s="6"/>
      <c r="I138" s="7" t="s">
        <v>577</v>
      </c>
      <c r="J138" s="7" t="s">
        <v>578</v>
      </c>
      <c r="K138" s="8"/>
      <c r="L138" s="8"/>
      <c r="M138" s="9">
        <v>3.82</v>
      </c>
      <c r="N138" s="5" t="s">
        <v>22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5" t="s">
        <v>579</v>
      </c>
      <c r="B139" s="5" t="s">
        <v>580</v>
      </c>
      <c r="C139" s="5"/>
      <c r="D139" s="5"/>
      <c r="E139" s="6"/>
      <c r="F139" s="6">
        <v>2003.0</v>
      </c>
      <c r="G139" s="6" t="s">
        <v>38</v>
      </c>
      <c r="H139" s="6"/>
      <c r="I139" s="7" t="s">
        <v>581</v>
      </c>
      <c r="J139" s="20" t="s">
        <v>582</v>
      </c>
      <c r="K139" s="8"/>
      <c r="L139" s="8"/>
      <c r="M139" s="9">
        <v>3.99</v>
      </c>
      <c r="N139" s="5" t="s">
        <v>22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5" t="s">
        <v>583</v>
      </c>
      <c r="B140" s="5" t="s">
        <v>584</v>
      </c>
      <c r="C140" s="5"/>
      <c r="D140" s="5" t="s">
        <v>583</v>
      </c>
      <c r="E140" s="6">
        <v>1.0</v>
      </c>
      <c r="F140" s="6">
        <v>2007.0</v>
      </c>
      <c r="G140" s="6" t="s">
        <v>18</v>
      </c>
      <c r="H140" s="6" t="s">
        <v>381</v>
      </c>
      <c r="I140" s="7" t="s">
        <v>585</v>
      </c>
      <c r="J140" s="7" t="s">
        <v>586</v>
      </c>
      <c r="K140" s="8"/>
      <c r="L140" s="8"/>
      <c r="M140" s="9">
        <v>4.21</v>
      </c>
      <c r="N140" s="5" t="s">
        <v>22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5" t="s">
        <v>587</v>
      </c>
      <c r="B141" s="5" t="s">
        <v>588</v>
      </c>
      <c r="C141" s="5"/>
      <c r="D141" s="5" t="s">
        <v>589</v>
      </c>
      <c r="E141" s="6">
        <v>1.0</v>
      </c>
      <c r="F141" s="6">
        <v>2008.0</v>
      </c>
      <c r="G141" s="6" t="s">
        <v>85</v>
      </c>
      <c r="H141" s="6" t="s">
        <v>39</v>
      </c>
      <c r="I141" s="7" t="s">
        <v>590</v>
      </c>
      <c r="J141" s="20" t="s">
        <v>591</v>
      </c>
      <c r="K141" s="8"/>
      <c r="L141" s="8"/>
      <c r="M141" s="9">
        <v>4.14</v>
      </c>
      <c r="N141" s="5" t="s">
        <v>22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5" t="s">
        <v>592</v>
      </c>
      <c r="B142" s="5" t="s">
        <v>588</v>
      </c>
      <c r="C142" s="5"/>
      <c r="D142" s="5" t="s">
        <v>589</v>
      </c>
      <c r="E142" s="6">
        <v>2.0</v>
      </c>
      <c r="F142" s="6">
        <v>2009.0</v>
      </c>
      <c r="G142" s="6" t="s">
        <v>85</v>
      </c>
      <c r="H142" s="6" t="s">
        <v>39</v>
      </c>
      <c r="I142" s="7" t="s">
        <v>593</v>
      </c>
      <c r="J142" s="20" t="s">
        <v>594</v>
      </c>
      <c r="K142" s="8"/>
      <c r="L142" s="8"/>
      <c r="M142" s="9">
        <v>4.24</v>
      </c>
      <c r="N142" s="5" t="s">
        <v>22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5" t="s">
        <v>595</v>
      </c>
      <c r="B143" s="5" t="s">
        <v>588</v>
      </c>
      <c r="C143" s="5"/>
      <c r="D143" s="5" t="s">
        <v>589</v>
      </c>
      <c r="E143" s="6">
        <v>3.0</v>
      </c>
      <c r="F143" s="6">
        <v>2009.0</v>
      </c>
      <c r="G143" s="6" t="s">
        <v>85</v>
      </c>
      <c r="H143" s="6" t="s">
        <v>39</v>
      </c>
      <c r="I143" s="7" t="s">
        <v>596</v>
      </c>
      <c r="J143" s="20" t="s">
        <v>597</v>
      </c>
      <c r="K143" s="8"/>
      <c r="L143" s="8"/>
      <c r="M143" s="9">
        <v>4.22</v>
      </c>
      <c r="N143" s="5" t="s">
        <v>22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2" t="s">
        <v>598</v>
      </c>
      <c r="B144" s="5" t="s">
        <v>599</v>
      </c>
      <c r="C144" s="5"/>
      <c r="D144" s="5" t="s">
        <v>598</v>
      </c>
      <c r="E144" s="6">
        <v>1.0</v>
      </c>
      <c r="F144" s="6">
        <v>1960.0</v>
      </c>
      <c r="G144" s="6" t="s">
        <v>38</v>
      </c>
      <c r="H144" s="6" t="s">
        <v>216</v>
      </c>
      <c r="I144" s="7" t="s">
        <v>600</v>
      </c>
      <c r="J144" s="7" t="s">
        <v>601</v>
      </c>
      <c r="K144" s="8">
        <v>3.0</v>
      </c>
      <c r="L144" s="8">
        <v>4.0</v>
      </c>
      <c r="M144" s="9">
        <v>4.28</v>
      </c>
      <c r="N144" s="5" t="s">
        <v>22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5" t="s">
        <v>602</v>
      </c>
      <c r="B145" s="5" t="s">
        <v>603</v>
      </c>
      <c r="C145" s="5"/>
      <c r="D145" s="5"/>
      <c r="E145" s="6"/>
      <c r="F145" s="6">
        <v>1956.0</v>
      </c>
      <c r="G145" s="6" t="s">
        <v>18</v>
      </c>
      <c r="H145" s="6" t="s">
        <v>104</v>
      </c>
      <c r="I145" s="7" t="s">
        <v>604</v>
      </c>
      <c r="J145" s="7" t="s">
        <v>605</v>
      </c>
      <c r="K145" s="8"/>
      <c r="L145" s="8"/>
      <c r="M145" s="9">
        <v>4.24</v>
      </c>
      <c r="N145" s="5" t="s">
        <v>22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5" t="s">
        <v>606</v>
      </c>
      <c r="B146" s="5" t="s">
        <v>607</v>
      </c>
      <c r="C146" s="5"/>
      <c r="D146" s="5" t="s">
        <v>606</v>
      </c>
      <c r="E146" s="6">
        <v>1.0</v>
      </c>
      <c r="F146" s="6">
        <v>1993.0</v>
      </c>
      <c r="G146" s="6" t="s">
        <v>18</v>
      </c>
      <c r="H146" s="6" t="s">
        <v>143</v>
      </c>
      <c r="I146" s="7" t="s">
        <v>608</v>
      </c>
      <c r="J146" s="7" t="s">
        <v>609</v>
      </c>
      <c r="K146" s="8"/>
      <c r="L146" s="8">
        <v>4.0</v>
      </c>
      <c r="M146" s="9">
        <v>4.12</v>
      </c>
      <c r="N146" s="5" t="s">
        <v>22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5" t="s">
        <v>610</v>
      </c>
      <c r="B147" s="5" t="s">
        <v>607</v>
      </c>
      <c r="C147" s="5"/>
      <c r="D147" s="5" t="s">
        <v>606</v>
      </c>
      <c r="E147" s="6">
        <v>4.0</v>
      </c>
      <c r="F147" s="6">
        <v>2014.0</v>
      </c>
      <c r="G147" s="6" t="s">
        <v>18</v>
      </c>
      <c r="H147" s="6" t="s">
        <v>143</v>
      </c>
      <c r="I147" s="7" t="s">
        <v>611</v>
      </c>
      <c r="J147" s="7" t="s">
        <v>612</v>
      </c>
      <c r="K147" s="8"/>
      <c r="L147" s="8"/>
      <c r="M147" s="9">
        <v>3.98</v>
      </c>
      <c r="N147" s="5" t="s">
        <v>22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5" t="s">
        <v>613</v>
      </c>
      <c r="B148" s="5" t="s">
        <v>607</v>
      </c>
      <c r="C148" s="5"/>
      <c r="D148" s="5"/>
      <c r="E148" s="6"/>
      <c r="F148" s="6">
        <v>1989.0</v>
      </c>
      <c r="G148" s="6" t="s">
        <v>38</v>
      </c>
      <c r="H148" s="6" t="s">
        <v>98</v>
      </c>
      <c r="I148" s="7" t="s">
        <v>614</v>
      </c>
      <c r="J148" s="7" t="s">
        <v>615</v>
      </c>
      <c r="K148" s="8"/>
      <c r="L148" s="8"/>
      <c r="M148" s="9"/>
      <c r="N148" s="5" t="s">
        <v>22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5" t="s">
        <v>616</v>
      </c>
      <c r="B149" s="5" t="s">
        <v>617</v>
      </c>
      <c r="C149" s="5"/>
      <c r="D149" s="5" t="s">
        <v>618</v>
      </c>
      <c r="E149" s="6">
        <v>1.0</v>
      </c>
      <c r="F149" s="6">
        <v>1976.0</v>
      </c>
      <c r="G149" s="6" t="s">
        <v>18</v>
      </c>
      <c r="H149" s="6" t="s">
        <v>32</v>
      </c>
      <c r="I149" s="7" t="s">
        <v>619</v>
      </c>
      <c r="J149" s="7" t="s">
        <v>620</v>
      </c>
      <c r="K149" s="8"/>
      <c r="L149" s="8"/>
      <c r="M149" s="9"/>
      <c r="N149" s="5" t="s">
        <v>22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5" t="s">
        <v>621</v>
      </c>
      <c r="B150" s="5" t="s">
        <v>622</v>
      </c>
      <c r="C150" s="5"/>
      <c r="D150" s="5"/>
      <c r="E150" s="6"/>
      <c r="F150" s="6">
        <v>2012.0</v>
      </c>
      <c r="G150" s="6" t="s">
        <v>18</v>
      </c>
      <c r="H150" s="6" t="s">
        <v>32</v>
      </c>
      <c r="I150" s="7" t="s">
        <v>623</v>
      </c>
      <c r="J150" s="7" t="s">
        <v>624</v>
      </c>
      <c r="K150" s="8"/>
      <c r="L150" s="8"/>
      <c r="M150" s="9"/>
      <c r="N150" s="5" t="s">
        <v>22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5" t="s">
        <v>625</v>
      </c>
      <c r="B151" s="5" t="s">
        <v>622</v>
      </c>
      <c r="C151" s="5"/>
      <c r="D151" s="5"/>
      <c r="E151" s="6"/>
      <c r="F151" s="6">
        <v>2014.0</v>
      </c>
      <c r="G151" s="6" t="s">
        <v>18</v>
      </c>
      <c r="H151" s="6" t="s">
        <v>32</v>
      </c>
      <c r="I151" s="7" t="s">
        <v>626</v>
      </c>
      <c r="J151" s="7" t="s">
        <v>627</v>
      </c>
      <c r="K151" s="8"/>
      <c r="L151" s="8"/>
      <c r="M151" s="9">
        <v>3.73</v>
      </c>
      <c r="N151" s="5" t="s">
        <v>22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5" t="s">
        <v>628</v>
      </c>
      <c r="B152" s="5" t="s">
        <v>629</v>
      </c>
      <c r="C152" s="5"/>
      <c r="D152" s="5" t="s">
        <v>630</v>
      </c>
      <c r="E152" s="6">
        <v>1.0</v>
      </c>
      <c r="F152" s="6">
        <v>1980.0</v>
      </c>
      <c r="G152" s="6" t="s">
        <v>39</v>
      </c>
      <c r="H152" s="6" t="s">
        <v>359</v>
      </c>
      <c r="I152" s="7" t="s">
        <v>631</v>
      </c>
      <c r="J152" s="7" t="s">
        <v>632</v>
      </c>
      <c r="K152" s="8">
        <v>4.0</v>
      </c>
      <c r="L152" s="8">
        <v>5.0</v>
      </c>
      <c r="M152" s="9">
        <v>3.96</v>
      </c>
      <c r="N152" s="5" t="s">
        <v>22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5" t="s">
        <v>633</v>
      </c>
      <c r="B153" s="5" t="s">
        <v>629</v>
      </c>
      <c r="C153" s="5"/>
      <c r="D153" s="5" t="s">
        <v>630</v>
      </c>
      <c r="E153" s="6">
        <v>2.0</v>
      </c>
      <c r="F153" s="6">
        <v>1986.0</v>
      </c>
      <c r="G153" s="6" t="s">
        <v>39</v>
      </c>
      <c r="H153" s="6" t="s">
        <v>359</v>
      </c>
      <c r="I153" s="7" t="s">
        <v>634</v>
      </c>
      <c r="J153" s="7" t="s">
        <v>635</v>
      </c>
      <c r="K153" s="8">
        <v>4.0</v>
      </c>
      <c r="L153" s="8"/>
      <c r="M153" s="9">
        <v>4.08</v>
      </c>
      <c r="N153" s="5" t="s">
        <v>22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5" t="s">
        <v>636</v>
      </c>
      <c r="B154" s="5" t="s">
        <v>629</v>
      </c>
      <c r="C154" s="5"/>
      <c r="D154" s="5" t="s">
        <v>630</v>
      </c>
      <c r="E154" s="6">
        <v>3.0</v>
      </c>
      <c r="F154" s="6">
        <v>1990.0</v>
      </c>
      <c r="G154" s="6" t="s">
        <v>39</v>
      </c>
      <c r="H154" s="6" t="s">
        <v>359</v>
      </c>
      <c r="I154" s="7" t="s">
        <v>637</v>
      </c>
      <c r="J154" s="7" t="s">
        <v>638</v>
      </c>
      <c r="K154" s="8"/>
      <c r="L154" s="8"/>
      <c r="M154" s="9">
        <v>4.03</v>
      </c>
      <c r="N154" s="5" t="s">
        <v>22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2" t="s">
        <v>639</v>
      </c>
      <c r="B155" s="12" t="s">
        <v>640</v>
      </c>
      <c r="C155" s="5"/>
      <c r="D155" s="12" t="s">
        <v>641</v>
      </c>
      <c r="E155" s="13">
        <v>1.0</v>
      </c>
      <c r="F155" s="13">
        <v>2006.0</v>
      </c>
      <c r="G155" s="13" t="s">
        <v>18</v>
      </c>
      <c r="H155" s="13" t="s">
        <v>229</v>
      </c>
      <c r="I155" s="14" t="s">
        <v>642</v>
      </c>
      <c r="J155" s="17" t="s">
        <v>643</v>
      </c>
      <c r="K155" s="8"/>
      <c r="L155" s="8"/>
      <c r="M155" s="16">
        <v>4.31</v>
      </c>
      <c r="N155" s="5" t="s">
        <v>22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2" t="s">
        <v>644</v>
      </c>
      <c r="B156" s="12" t="s">
        <v>645</v>
      </c>
      <c r="C156" s="5"/>
      <c r="D156" s="5"/>
      <c r="E156" s="6"/>
      <c r="F156" s="13">
        <v>2019.0</v>
      </c>
      <c r="G156" s="13" t="s">
        <v>229</v>
      </c>
      <c r="H156" s="13" t="s">
        <v>646</v>
      </c>
      <c r="I156" s="14" t="s">
        <v>647</v>
      </c>
      <c r="J156" s="17" t="s">
        <v>648</v>
      </c>
      <c r="K156" s="8"/>
      <c r="L156" s="8"/>
      <c r="M156" s="16">
        <v>4.56</v>
      </c>
      <c r="N156" s="5" t="s">
        <v>22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5" t="s">
        <v>649</v>
      </c>
      <c r="B157" s="5" t="s">
        <v>650</v>
      </c>
      <c r="C157" s="5"/>
      <c r="D157" s="5"/>
      <c r="E157" s="6"/>
      <c r="F157" s="6">
        <v>2014.0</v>
      </c>
      <c r="G157" s="6" t="s">
        <v>18</v>
      </c>
      <c r="H157" s="6" t="s">
        <v>651</v>
      </c>
      <c r="I157" s="7" t="s">
        <v>652</v>
      </c>
      <c r="J157" s="7" t="s">
        <v>653</v>
      </c>
      <c r="K157" s="8"/>
      <c r="L157" s="8"/>
      <c r="M157" s="9"/>
      <c r="N157" s="5" t="s">
        <v>22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5" t="s">
        <v>654</v>
      </c>
      <c r="B158" s="5" t="s">
        <v>655</v>
      </c>
      <c r="C158" s="5"/>
      <c r="D158" s="5"/>
      <c r="E158" s="6"/>
      <c r="F158" s="6">
        <v>1988.0</v>
      </c>
      <c r="G158" s="6" t="s">
        <v>18</v>
      </c>
      <c r="H158" s="6" t="s">
        <v>99</v>
      </c>
      <c r="I158" s="7" t="s">
        <v>656</v>
      </c>
      <c r="J158" s="7" t="s">
        <v>657</v>
      </c>
      <c r="K158" s="8"/>
      <c r="L158" s="8"/>
      <c r="M158" s="9">
        <v>3.9</v>
      </c>
      <c r="N158" s="5" t="s">
        <v>22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5" t="s">
        <v>658</v>
      </c>
      <c r="B159" s="5" t="s">
        <v>655</v>
      </c>
      <c r="C159" s="5"/>
      <c r="D159" s="5"/>
      <c r="E159" s="6"/>
      <c r="F159" s="6">
        <v>1967.0</v>
      </c>
      <c r="G159" s="6" t="s">
        <v>18</v>
      </c>
      <c r="H159" s="6" t="s">
        <v>98</v>
      </c>
      <c r="I159" s="7" t="s">
        <v>659</v>
      </c>
      <c r="J159" s="7" t="s">
        <v>660</v>
      </c>
      <c r="K159" s="8">
        <v>4.0</v>
      </c>
      <c r="L159" s="8"/>
      <c r="M159" s="9">
        <v>4.05</v>
      </c>
      <c r="N159" s="5" t="s">
        <v>22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5" t="s">
        <v>661</v>
      </c>
      <c r="B160" s="5" t="s">
        <v>662</v>
      </c>
      <c r="C160" s="5"/>
      <c r="D160" s="5"/>
      <c r="E160" s="6"/>
      <c r="F160" s="6">
        <v>2002.0</v>
      </c>
      <c r="G160" s="6" t="s">
        <v>18</v>
      </c>
      <c r="H160" s="6" t="s">
        <v>253</v>
      </c>
      <c r="I160" s="7" t="s">
        <v>663</v>
      </c>
      <c r="J160" s="20" t="s">
        <v>664</v>
      </c>
      <c r="K160" s="8"/>
      <c r="L160" s="8">
        <v>2.0</v>
      </c>
      <c r="M160" s="9">
        <v>3.92</v>
      </c>
      <c r="N160" s="5" t="s">
        <v>22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5" t="s">
        <v>665</v>
      </c>
      <c r="B161" s="5" t="s">
        <v>666</v>
      </c>
      <c r="C161" s="5"/>
      <c r="D161" s="5" t="s">
        <v>667</v>
      </c>
      <c r="E161" s="6">
        <v>1.0</v>
      </c>
      <c r="F161" s="6">
        <v>1996.0</v>
      </c>
      <c r="G161" s="6" t="s">
        <v>18</v>
      </c>
      <c r="H161" s="6" t="s">
        <v>294</v>
      </c>
      <c r="I161" s="7" t="s">
        <v>668</v>
      </c>
      <c r="J161" s="7" t="s">
        <v>669</v>
      </c>
      <c r="K161" s="8">
        <v>5.0</v>
      </c>
      <c r="L161" s="8">
        <v>5.0</v>
      </c>
      <c r="M161" s="9">
        <v>4.65</v>
      </c>
      <c r="N161" s="5" t="s">
        <v>22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5" t="s">
        <v>670</v>
      </c>
      <c r="B162" s="5" t="s">
        <v>666</v>
      </c>
      <c r="C162" s="5"/>
      <c r="D162" s="5" t="s">
        <v>667</v>
      </c>
      <c r="E162" s="6">
        <v>2.0</v>
      </c>
      <c r="F162" s="6">
        <v>1998.0</v>
      </c>
      <c r="G162" s="6" t="s">
        <v>18</v>
      </c>
      <c r="H162" s="6" t="s">
        <v>294</v>
      </c>
      <c r="I162" s="7" t="s">
        <v>671</v>
      </c>
      <c r="J162" s="7" t="s">
        <v>672</v>
      </c>
      <c r="K162" s="8"/>
      <c r="L162" s="8"/>
      <c r="M162" s="9">
        <v>4.41</v>
      </c>
      <c r="N162" s="5" t="s">
        <v>22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5" t="s">
        <v>673</v>
      </c>
      <c r="B163" s="5" t="s">
        <v>666</v>
      </c>
      <c r="C163" s="5"/>
      <c r="D163" s="5" t="s">
        <v>667</v>
      </c>
      <c r="E163" s="6">
        <v>3.1</v>
      </c>
      <c r="F163" s="6">
        <v>2000.0</v>
      </c>
      <c r="G163" s="6" t="s">
        <v>18</v>
      </c>
      <c r="H163" s="6" t="s">
        <v>294</v>
      </c>
      <c r="I163" s="7" t="s">
        <v>674</v>
      </c>
      <c r="J163" s="7" t="s">
        <v>675</v>
      </c>
      <c r="K163" s="8"/>
      <c r="L163" s="8"/>
      <c r="M163" s="9">
        <v>4.49</v>
      </c>
      <c r="N163" s="5" t="s">
        <v>22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5" t="s">
        <v>676</v>
      </c>
      <c r="B164" s="5" t="s">
        <v>666</v>
      </c>
      <c r="C164" s="5"/>
      <c r="D164" s="5" t="s">
        <v>667</v>
      </c>
      <c r="E164" s="6">
        <v>3.2</v>
      </c>
      <c r="F164" s="6">
        <v>2000.0</v>
      </c>
      <c r="G164" s="6" t="s">
        <v>18</v>
      </c>
      <c r="H164" s="6" t="s">
        <v>294</v>
      </c>
      <c r="I164" s="7" t="s">
        <v>677</v>
      </c>
      <c r="J164" s="7" t="s">
        <v>678</v>
      </c>
      <c r="K164" s="8"/>
      <c r="L164" s="8"/>
      <c r="M164" s="9">
        <v>4.56</v>
      </c>
      <c r="N164" s="5" t="s">
        <v>22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5" t="s">
        <v>679</v>
      </c>
      <c r="B165" s="5" t="s">
        <v>666</v>
      </c>
      <c r="C165" s="5"/>
      <c r="D165" s="5" t="s">
        <v>667</v>
      </c>
      <c r="E165" s="6">
        <v>4.0</v>
      </c>
      <c r="F165" s="6">
        <v>2005.0</v>
      </c>
      <c r="G165" s="6" t="s">
        <v>18</v>
      </c>
      <c r="H165" s="6" t="s">
        <v>294</v>
      </c>
      <c r="I165" s="7" t="s">
        <v>680</v>
      </c>
      <c r="J165" s="7" t="s">
        <v>681</v>
      </c>
      <c r="K165" s="8"/>
      <c r="L165" s="8"/>
      <c r="M165" s="9">
        <v>4.12</v>
      </c>
      <c r="N165" s="5" t="s">
        <v>22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5" t="s">
        <v>682</v>
      </c>
      <c r="B166" s="5" t="s">
        <v>666</v>
      </c>
      <c r="C166" s="5"/>
      <c r="D166" s="5" t="s">
        <v>667</v>
      </c>
      <c r="E166" s="6">
        <v>5.1</v>
      </c>
      <c r="F166" s="6">
        <v>2011.0</v>
      </c>
      <c r="G166" s="6" t="s">
        <v>18</v>
      </c>
      <c r="H166" s="6" t="s">
        <v>294</v>
      </c>
      <c r="I166" s="7" t="s">
        <v>683</v>
      </c>
      <c r="J166" s="7" t="s">
        <v>684</v>
      </c>
      <c r="K166" s="8"/>
      <c r="L166" s="8"/>
      <c r="M166" s="9">
        <v>4.34</v>
      </c>
      <c r="N166" s="5" t="s">
        <v>22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5" t="s">
        <v>685</v>
      </c>
      <c r="B167" s="5" t="s">
        <v>666</v>
      </c>
      <c r="C167" s="5"/>
      <c r="D167" s="5" t="s">
        <v>667</v>
      </c>
      <c r="E167" s="6">
        <v>5.2</v>
      </c>
      <c r="F167" s="6">
        <v>2011.0</v>
      </c>
      <c r="G167" s="6" t="s">
        <v>18</v>
      </c>
      <c r="H167" s="6" t="s">
        <v>294</v>
      </c>
      <c r="I167" s="7" t="s">
        <v>686</v>
      </c>
      <c r="J167" s="7" t="s">
        <v>687</v>
      </c>
      <c r="K167" s="8"/>
      <c r="L167" s="8"/>
      <c r="M167" s="9">
        <v>4.41</v>
      </c>
      <c r="N167" s="5" t="s">
        <v>22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5" t="s">
        <v>688</v>
      </c>
      <c r="B168" s="5" t="s">
        <v>689</v>
      </c>
      <c r="C168" s="5"/>
      <c r="D168" s="5"/>
      <c r="E168" s="6"/>
      <c r="F168" s="6">
        <v>2009.0</v>
      </c>
      <c r="G168" s="6" t="s">
        <v>18</v>
      </c>
      <c r="H168" s="6" t="s">
        <v>32</v>
      </c>
      <c r="I168" s="7" t="s">
        <v>690</v>
      </c>
      <c r="J168" s="7" t="s">
        <v>691</v>
      </c>
      <c r="K168" s="8"/>
      <c r="L168" s="8"/>
      <c r="M168" s="9">
        <v>4.21</v>
      </c>
      <c r="N168" s="5" t="s">
        <v>22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5" t="s">
        <v>692</v>
      </c>
      <c r="B169" s="5" t="s">
        <v>693</v>
      </c>
      <c r="C169" s="5"/>
      <c r="D169" s="5"/>
      <c r="E169" s="6"/>
      <c r="F169" s="6">
        <v>2001.0</v>
      </c>
      <c r="G169" s="6" t="s">
        <v>98</v>
      </c>
      <c r="H169" s="6" t="s">
        <v>99</v>
      </c>
      <c r="I169" s="7" t="s">
        <v>694</v>
      </c>
      <c r="J169" s="7" t="s">
        <v>695</v>
      </c>
      <c r="K169" s="8"/>
      <c r="L169" s="8"/>
      <c r="M169" s="9"/>
      <c r="N169" s="5" t="s">
        <v>22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5" t="s">
        <v>696</v>
      </c>
      <c r="B170" s="5" t="s">
        <v>697</v>
      </c>
      <c r="C170" s="5"/>
      <c r="D170" s="5"/>
      <c r="E170" s="6"/>
      <c r="F170" s="6">
        <v>1994.0</v>
      </c>
      <c r="G170" s="6" t="s">
        <v>18</v>
      </c>
      <c r="H170" s="6" t="s">
        <v>32</v>
      </c>
      <c r="I170" s="7" t="s">
        <v>698</v>
      </c>
      <c r="J170" s="7" t="s">
        <v>699</v>
      </c>
      <c r="K170" s="8">
        <v>3.0</v>
      </c>
      <c r="L170" s="8"/>
      <c r="M170" s="9">
        <v>3.09</v>
      </c>
      <c r="N170" s="5" t="s">
        <v>22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2" t="s">
        <v>700</v>
      </c>
      <c r="B171" s="12" t="s">
        <v>701</v>
      </c>
      <c r="C171" s="5"/>
      <c r="D171" s="5"/>
      <c r="E171" s="6"/>
      <c r="F171" s="13">
        <v>2021.0</v>
      </c>
      <c r="G171" s="13" t="s">
        <v>18</v>
      </c>
      <c r="H171" s="13" t="s">
        <v>99</v>
      </c>
      <c r="I171" s="14" t="s">
        <v>702</v>
      </c>
      <c r="J171" s="17" t="s">
        <v>703</v>
      </c>
      <c r="K171" s="8"/>
      <c r="L171" s="8"/>
      <c r="M171" s="16">
        <v>3.92</v>
      </c>
      <c r="N171" s="5" t="s">
        <v>22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2" t="s">
        <v>704</v>
      </c>
      <c r="B172" s="12" t="s">
        <v>701</v>
      </c>
      <c r="C172" s="5"/>
      <c r="D172" s="5"/>
      <c r="E172" s="6"/>
      <c r="F172" s="13">
        <v>2021.0</v>
      </c>
      <c r="G172" s="13" t="s">
        <v>99</v>
      </c>
      <c r="H172" s="13" t="s">
        <v>381</v>
      </c>
      <c r="I172" s="14" t="s">
        <v>705</v>
      </c>
      <c r="J172" s="17" t="s">
        <v>706</v>
      </c>
      <c r="K172" s="8"/>
      <c r="L172" s="8"/>
      <c r="M172" s="16">
        <v>4.08</v>
      </c>
      <c r="N172" s="5" t="s">
        <v>22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2" t="s">
        <v>707</v>
      </c>
      <c r="B173" s="12" t="s">
        <v>708</v>
      </c>
      <c r="C173" s="5"/>
      <c r="D173" s="5"/>
      <c r="E173" s="6"/>
      <c r="F173" s="13">
        <v>1851.0</v>
      </c>
      <c r="G173" s="13" t="s">
        <v>253</v>
      </c>
      <c r="H173" s="6"/>
      <c r="I173" s="14" t="s">
        <v>709</v>
      </c>
      <c r="J173" s="17" t="s">
        <v>710</v>
      </c>
      <c r="K173" s="8"/>
      <c r="L173" s="8"/>
      <c r="M173" s="16">
        <v>3.53</v>
      </c>
      <c r="N173" s="5" t="s">
        <v>22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2" t="s">
        <v>711</v>
      </c>
      <c r="B174" s="12" t="s">
        <v>712</v>
      </c>
      <c r="C174" s="5"/>
      <c r="D174" s="5"/>
      <c r="E174" s="6"/>
      <c r="F174" s="13">
        <v>2018.0</v>
      </c>
      <c r="G174" s="13" t="s">
        <v>18</v>
      </c>
      <c r="H174" s="13" t="s">
        <v>713</v>
      </c>
      <c r="I174" s="14" t="s">
        <v>714</v>
      </c>
      <c r="J174" s="18" t="s">
        <v>715</v>
      </c>
      <c r="K174" s="8"/>
      <c r="L174" s="19">
        <v>4.0</v>
      </c>
      <c r="M174" s="16">
        <v>4.23</v>
      </c>
      <c r="N174" s="5" t="s">
        <v>22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2" t="s">
        <v>716</v>
      </c>
      <c r="B175" s="12" t="s">
        <v>717</v>
      </c>
      <c r="C175" s="5"/>
      <c r="D175" s="5"/>
      <c r="E175" s="6"/>
      <c r="F175" s="13">
        <v>1978.0</v>
      </c>
      <c r="G175" s="13" t="s">
        <v>18</v>
      </c>
      <c r="H175" s="13" t="s">
        <v>109</v>
      </c>
      <c r="I175" s="14" t="s">
        <v>718</v>
      </c>
      <c r="J175" s="15" t="s">
        <v>719</v>
      </c>
      <c r="K175" s="8"/>
      <c r="L175" s="8"/>
      <c r="M175" s="16">
        <v>4.12</v>
      </c>
      <c r="N175" s="5" t="s">
        <v>22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5" t="s">
        <v>720</v>
      </c>
      <c r="B176" s="5" t="s">
        <v>721</v>
      </c>
      <c r="C176" s="5"/>
      <c r="D176" s="5" t="s">
        <v>722</v>
      </c>
      <c r="E176" s="6">
        <v>1.0</v>
      </c>
      <c r="F176" s="6">
        <v>2011.0</v>
      </c>
      <c r="G176" s="6" t="s">
        <v>18</v>
      </c>
      <c r="H176" s="6" t="s">
        <v>229</v>
      </c>
      <c r="I176" s="7" t="s">
        <v>723</v>
      </c>
      <c r="J176" s="7" t="s">
        <v>724</v>
      </c>
      <c r="K176" s="8"/>
      <c r="L176" s="8"/>
      <c r="M176" s="9">
        <v>4.07</v>
      </c>
      <c r="N176" s="5" t="s">
        <v>22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5" t="s">
        <v>725</v>
      </c>
      <c r="B177" s="5" t="s">
        <v>721</v>
      </c>
      <c r="C177" s="5"/>
      <c r="D177" s="5" t="s">
        <v>726</v>
      </c>
      <c r="E177" s="6">
        <v>1.0</v>
      </c>
      <c r="F177" s="6">
        <v>2014.0</v>
      </c>
      <c r="G177" s="6" t="s">
        <v>18</v>
      </c>
      <c r="H177" s="6" t="s">
        <v>229</v>
      </c>
      <c r="I177" s="7" t="s">
        <v>727</v>
      </c>
      <c r="J177" s="7" t="s">
        <v>728</v>
      </c>
      <c r="K177" s="8"/>
      <c r="L177" s="8"/>
      <c r="M177" s="9">
        <v>4.23</v>
      </c>
      <c r="N177" s="5" t="s">
        <v>22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2" t="s">
        <v>729</v>
      </c>
      <c r="B178" s="12" t="s">
        <v>730</v>
      </c>
      <c r="C178" s="12"/>
      <c r="D178" s="5"/>
      <c r="E178" s="6"/>
      <c r="F178" s="13">
        <v>2002.0</v>
      </c>
      <c r="G178" s="13" t="s">
        <v>18</v>
      </c>
      <c r="H178" s="13" t="s">
        <v>731</v>
      </c>
      <c r="I178" s="14" t="s">
        <v>732</v>
      </c>
      <c r="J178" s="18" t="s">
        <v>733</v>
      </c>
      <c r="K178" s="8"/>
      <c r="L178" s="8"/>
      <c r="M178" s="16">
        <v>4.14</v>
      </c>
      <c r="N178" s="5" t="s">
        <v>22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2" t="s">
        <v>734</v>
      </c>
      <c r="B179" s="12" t="s">
        <v>730</v>
      </c>
      <c r="C179" s="12"/>
      <c r="D179" s="5"/>
      <c r="E179" s="6"/>
      <c r="F179" s="13">
        <v>1987.0</v>
      </c>
      <c r="G179" s="13" t="s">
        <v>18</v>
      </c>
      <c r="H179" s="13" t="s">
        <v>731</v>
      </c>
      <c r="I179" s="14" t="s">
        <v>735</v>
      </c>
      <c r="J179" s="15" t="s">
        <v>736</v>
      </c>
      <c r="K179" s="8"/>
      <c r="L179" s="8"/>
      <c r="M179" s="16">
        <v>4.03</v>
      </c>
      <c r="N179" s="5" t="s">
        <v>22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5" t="s">
        <v>737</v>
      </c>
      <c r="B180" s="5" t="s">
        <v>730</v>
      </c>
      <c r="C180" s="5"/>
      <c r="D180" s="5"/>
      <c r="E180" s="6"/>
      <c r="F180" s="6">
        <v>1993.0</v>
      </c>
      <c r="G180" s="6" t="s">
        <v>18</v>
      </c>
      <c r="H180" s="6" t="s">
        <v>109</v>
      </c>
      <c r="I180" s="7" t="s">
        <v>738</v>
      </c>
      <c r="J180" s="7" t="s">
        <v>739</v>
      </c>
      <c r="K180" s="8"/>
      <c r="L180" s="8"/>
      <c r="M180" s="9">
        <v>3.88</v>
      </c>
      <c r="N180" s="5" t="s">
        <v>22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5" t="s">
        <v>740</v>
      </c>
      <c r="B181" s="5" t="s">
        <v>741</v>
      </c>
      <c r="C181" s="5"/>
      <c r="D181" s="5"/>
      <c r="E181" s="6"/>
      <c r="F181" s="6">
        <v>1958.0</v>
      </c>
      <c r="G181" s="6" t="s">
        <v>38</v>
      </c>
      <c r="H181" s="6"/>
      <c r="I181" s="7" t="s">
        <v>742</v>
      </c>
      <c r="J181" s="7" t="s">
        <v>743</v>
      </c>
      <c r="K181" s="8"/>
      <c r="L181" s="8"/>
      <c r="M181" s="9">
        <v>3.91</v>
      </c>
      <c r="N181" s="5" t="s">
        <v>22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5" t="s">
        <v>744</v>
      </c>
      <c r="B182" s="5" t="s">
        <v>745</v>
      </c>
      <c r="C182" s="5"/>
      <c r="D182" s="5" t="s">
        <v>746</v>
      </c>
      <c r="E182" s="6">
        <v>2.0</v>
      </c>
      <c r="F182" s="6">
        <v>1990.0</v>
      </c>
      <c r="G182" s="6" t="s">
        <v>18</v>
      </c>
      <c r="H182" s="6" t="s">
        <v>381</v>
      </c>
      <c r="I182" s="7" t="s">
        <v>747</v>
      </c>
      <c r="J182" s="20" t="s">
        <v>748</v>
      </c>
      <c r="K182" s="8"/>
      <c r="L182" s="8"/>
      <c r="M182" s="9">
        <v>4.07</v>
      </c>
      <c r="N182" s="5" t="s">
        <v>22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5" t="s">
        <v>749</v>
      </c>
      <c r="B183" s="5" t="s">
        <v>750</v>
      </c>
      <c r="C183" s="5"/>
      <c r="D183" s="5" t="s">
        <v>751</v>
      </c>
      <c r="E183" s="6">
        <v>1.0</v>
      </c>
      <c r="F183" s="6">
        <v>1902.0</v>
      </c>
      <c r="G183" s="6" t="s">
        <v>18</v>
      </c>
      <c r="H183" s="6" t="s">
        <v>752</v>
      </c>
      <c r="I183" s="7" t="s">
        <v>753</v>
      </c>
      <c r="J183" s="20" t="s">
        <v>754</v>
      </c>
      <c r="K183" s="8"/>
      <c r="L183" s="8"/>
      <c r="M183" s="9">
        <v>3.88</v>
      </c>
      <c r="N183" s="5" t="s">
        <v>22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5" t="s">
        <v>755</v>
      </c>
      <c r="B184" s="5" t="s">
        <v>756</v>
      </c>
      <c r="C184" s="5"/>
      <c r="D184" s="5"/>
      <c r="E184" s="6"/>
      <c r="F184" s="6">
        <v>2003.0</v>
      </c>
      <c r="G184" s="6" t="s">
        <v>18</v>
      </c>
      <c r="H184" s="6" t="s">
        <v>99</v>
      </c>
      <c r="I184" s="7" t="s">
        <v>757</v>
      </c>
      <c r="J184" s="20" t="s">
        <v>758</v>
      </c>
      <c r="K184" s="8"/>
      <c r="L184" s="8"/>
      <c r="M184" s="9">
        <v>3.98</v>
      </c>
      <c r="N184" s="5" t="s">
        <v>22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5" t="s">
        <v>759</v>
      </c>
      <c r="B185" s="5" t="s">
        <v>760</v>
      </c>
      <c r="C185" s="5"/>
      <c r="D185" s="5" t="s">
        <v>761</v>
      </c>
      <c r="E185" s="6">
        <v>4.0</v>
      </c>
      <c r="F185" s="6">
        <v>2007.0</v>
      </c>
      <c r="G185" s="6" t="s">
        <v>18</v>
      </c>
      <c r="H185" s="6" t="s">
        <v>762</v>
      </c>
      <c r="I185" s="7" t="s">
        <v>763</v>
      </c>
      <c r="J185" s="7" t="s">
        <v>764</v>
      </c>
      <c r="K185" s="8"/>
      <c r="L185" s="8"/>
      <c r="M185" s="9">
        <v>3.93</v>
      </c>
      <c r="N185" s="5" t="s">
        <v>22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5" t="s">
        <v>765</v>
      </c>
      <c r="B186" s="5" t="s">
        <v>766</v>
      </c>
      <c r="C186" s="5"/>
      <c r="D186" s="5"/>
      <c r="E186" s="6"/>
      <c r="F186" s="6">
        <v>2020.0</v>
      </c>
      <c r="G186" s="6" t="s">
        <v>651</v>
      </c>
      <c r="H186" s="6" t="s">
        <v>294</v>
      </c>
      <c r="I186" s="7" t="s">
        <v>767</v>
      </c>
      <c r="J186" s="20" t="s">
        <v>768</v>
      </c>
      <c r="K186" s="8">
        <v>4.0</v>
      </c>
      <c r="L186" s="8">
        <v>3.0</v>
      </c>
      <c r="M186" s="9">
        <v>3.85</v>
      </c>
      <c r="N186" s="5" t="s">
        <v>22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5" t="s">
        <v>769</v>
      </c>
      <c r="B187" s="5" t="s">
        <v>770</v>
      </c>
      <c r="C187" s="5"/>
      <c r="D187" s="5" t="s">
        <v>771</v>
      </c>
      <c r="E187" s="6">
        <v>1.0</v>
      </c>
      <c r="F187" s="6">
        <v>1992.0</v>
      </c>
      <c r="G187" s="6" t="s">
        <v>85</v>
      </c>
      <c r="H187" s="6" t="s">
        <v>39</v>
      </c>
      <c r="I187" s="7" t="s">
        <v>772</v>
      </c>
      <c r="J187" s="7" t="s">
        <v>773</v>
      </c>
      <c r="K187" s="8"/>
      <c r="L187" s="8"/>
      <c r="M187" s="9"/>
      <c r="N187" s="5" t="s">
        <v>22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5" t="s">
        <v>774</v>
      </c>
      <c r="B188" s="5" t="s">
        <v>775</v>
      </c>
      <c r="C188" s="5"/>
      <c r="D188" s="5" t="s">
        <v>776</v>
      </c>
      <c r="E188" s="6"/>
      <c r="F188" s="6">
        <v>2019.0</v>
      </c>
      <c r="G188" s="6" t="s">
        <v>18</v>
      </c>
      <c r="H188" s="6"/>
      <c r="I188" s="7" t="s">
        <v>777</v>
      </c>
      <c r="J188" s="20" t="s">
        <v>778</v>
      </c>
      <c r="K188" s="8"/>
      <c r="L188" s="8"/>
      <c r="M188" s="9">
        <v>3.97</v>
      </c>
      <c r="N188" s="5" t="s">
        <v>22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5" t="s">
        <v>779</v>
      </c>
      <c r="B189" s="5" t="s">
        <v>775</v>
      </c>
      <c r="C189" s="5"/>
      <c r="D189" s="5"/>
      <c r="E189" s="6"/>
      <c r="F189" s="6">
        <v>1963.0</v>
      </c>
      <c r="G189" s="6" t="s">
        <v>38</v>
      </c>
      <c r="H189" s="6"/>
      <c r="I189" s="7" t="s">
        <v>780</v>
      </c>
      <c r="J189" s="7" t="s">
        <v>781</v>
      </c>
      <c r="K189" s="8"/>
      <c r="L189" s="8"/>
      <c r="M189" s="9">
        <v>3.98</v>
      </c>
      <c r="N189" s="5" t="s">
        <v>22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5" t="s">
        <v>782</v>
      </c>
      <c r="B190" s="5" t="s">
        <v>783</v>
      </c>
      <c r="C190" s="5"/>
      <c r="D190" s="5" t="s">
        <v>784</v>
      </c>
      <c r="E190" s="6">
        <v>1.0</v>
      </c>
      <c r="F190" s="6">
        <v>1983.0</v>
      </c>
      <c r="G190" s="6" t="s">
        <v>18</v>
      </c>
      <c r="H190" s="6" t="s">
        <v>381</v>
      </c>
      <c r="I190" s="7" t="s">
        <v>785</v>
      </c>
      <c r="J190" s="7" t="s">
        <v>786</v>
      </c>
      <c r="K190" s="8"/>
      <c r="L190" s="8"/>
      <c r="M190" s="9"/>
      <c r="N190" s="5" t="s">
        <v>22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5" t="s">
        <v>787</v>
      </c>
      <c r="B191" s="5" t="s">
        <v>783</v>
      </c>
      <c r="C191" s="5"/>
      <c r="D191" s="5" t="s">
        <v>784</v>
      </c>
      <c r="E191" s="6">
        <v>4.0</v>
      </c>
      <c r="F191" s="6">
        <v>1987.0</v>
      </c>
      <c r="G191" s="6" t="s">
        <v>18</v>
      </c>
      <c r="H191" s="6" t="s">
        <v>381</v>
      </c>
      <c r="I191" s="7" t="s">
        <v>788</v>
      </c>
      <c r="J191" s="7" t="s">
        <v>789</v>
      </c>
      <c r="K191" s="8"/>
      <c r="L191" s="8"/>
      <c r="M191" s="9">
        <v>4.23</v>
      </c>
      <c r="N191" s="5" t="s">
        <v>22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5" t="s">
        <v>790</v>
      </c>
      <c r="B192" s="5" t="s">
        <v>783</v>
      </c>
      <c r="C192" s="5"/>
      <c r="D192" s="5" t="s">
        <v>784</v>
      </c>
      <c r="E192" s="6">
        <v>13.0</v>
      </c>
      <c r="F192" s="6">
        <v>1992.0</v>
      </c>
      <c r="G192" s="6" t="s">
        <v>18</v>
      </c>
      <c r="H192" s="6" t="s">
        <v>381</v>
      </c>
      <c r="I192" s="7" t="s">
        <v>791</v>
      </c>
      <c r="J192" s="7" t="s">
        <v>792</v>
      </c>
      <c r="K192" s="8"/>
      <c r="L192" s="8"/>
      <c r="M192" s="9">
        <v>4.29</v>
      </c>
      <c r="N192" s="5" t="s">
        <v>22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5" t="s">
        <v>793</v>
      </c>
      <c r="B193" s="5" t="s">
        <v>783</v>
      </c>
      <c r="C193" s="5"/>
      <c r="D193" s="5" t="s">
        <v>784</v>
      </c>
      <c r="E193" s="6">
        <v>18.0</v>
      </c>
      <c r="F193" s="6">
        <v>1995.0</v>
      </c>
      <c r="G193" s="6" t="s">
        <v>18</v>
      </c>
      <c r="H193" s="6" t="s">
        <v>381</v>
      </c>
      <c r="I193" s="7" t="s">
        <v>794</v>
      </c>
      <c r="J193" s="7" t="s">
        <v>795</v>
      </c>
      <c r="K193" s="8"/>
      <c r="L193" s="8"/>
      <c r="M193" s="9">
        <v>4.04</v>
      </c>
      <c r="N193" s="5" t="s">
        <v>22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5" t="s">
        <v>796</v>
      </c>
      <c r="B194" s="5" t="s">
        <v>783</v>
      </c>
      <c r="C194" s="5"/>
      <c r="D194" s="5" t="s">
        <v>784</v>
      </c>
      <c r="E194" s="6">
        <v>19.0</v>
      </c>
      <c r="F194" s="6">
        <v>1996.0</v>
      </c>
      <c r="G194" s="6" t="s">
        <v>18</v>
      </c>
      <c r="H194" s="6" t="s">
        <v>381</v>
      </c>
      <c r="I194" s="7" t="s">
        <v>797</v>
      </c>
      <c r="J194" s="7" t="s">
        <v>798</v>
      </c>
      <c r="K194" s="8"/>
      <c r="L194" s="8"/>
      <c r="M194" s="9">
        <v>4.24</v>
      </c>
      <c r="N194" s="5" t="s">
        <v>22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2" t="s">
        <v>799</v>
      </c>
      <c r="B195" s="12" t="s">
        <v>783</v>
      </c>
      <c r="C195" s="5"/>
      <c r="D195" s="5" t="s">
        <v>784</v>
      </c>
      <c r="E195" s="13">
        <v>29.0</v>
      </c>
      <c r="F195" s="13">
        <v>2002.0</v>
      </c>
      <c r="G195" s="6" t="s">
        <v>18</v>
      </c>
      <c r="H195" s="6" t="s">
        <v>381</v>
      </c>
      <c r="I195" s="14" t="s">
        <v>800</v>
      </c>
      <c r="J195" s="17" t="s">
        <v>801</v>
      </c>
      <c r="K195" s="8"/>
      <c r="L195" s="8"/>
      <c r="M195" s="16">
        <v>4.5</v>
      </c>
      <c r="N195" s="5" t="s">
        <v>22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5" t="s">
        <v>802</v>
      </c>
      <c r="B196" s="5" t="s">
        <v>783</v>
      </c>
      <c r="C196" s="5"/>
      <c r="D196" s="5" t="s">
        <v>784</v>
      </c>
      <c r="E196" s="6">
        <v>32.0</v>
      </c>
      <c r="F196" s="6">
        <v>2004.0</v>
      </c>
      <c r="G196" s="6" t="s">
        <v>18</v>
      </c>
      <c r="H196" s="6" t="s">
        <v>381</v>
      </c>
      <c r="I196" s="7" t="s">
        <v>803</v>
      </c>
      <c r="J196" s="7" t="s">
        <v>804</v>
      </c>
      <c r="K196" s="8"/>
      <c r="L196" s="8"/>
      <c r="M196" s="9">
        <v>4.3</v>
      </c>
      <c r="N196" s="5" t="s">
        <v>22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5" t="s">
        <v>805</v>
      </c>
      <c r="B197" s="5" t="s">
        <v>783</v>
      </c>
      <c r="C197" s="5"/>
      <c r="D197" s="5" t="s">
        <v>784</v>
      </c>
      <c r="E197" s="6">
        <v>39.0</v>
      </c>
      <c r="F197" s="6">
        <v>2011.0</v>
      </c>
      <c r="G197" s="6" t="s">
        <v>18</v>
      </c>
      <c r="H197" s="6" t="s">
        <v>381</v>
      </c>
      <c r="I197" s="7" t="s">
        <v>806</v>
      </c>
      <c r="J197" s="7" t="s">
        <v>807</v>
      </c>
      <c r="K197" s="8"/>
      <c r="L197" s="8"/>
      <c r="M197" s="9">
        <v>4.13</v>
      </c>
      <c r="N197" s="5" t="s">
        <v>22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5" t="s">
        <v>808</v>
      </c>
      <c r="B198" s="5" t="s">
        <v>783</v>
      </c>
      <c r="C198" s="5"/>
      <c r="D198" s="5"/>
      <c r="E198" s="6"/>
      <c r="F198" s="6">
        <v>2012.0</v>
      </c>
      <c r="G198" s="6" t="s">
        <v>18</v>
      </c>
      <c r="H198" s="6" t="s">
        <v>381</v>
      </c>
      <c r="I198" s="7" t="s">
        <v>809</v>
      </c>
      <c r="J198" s="20" t="s">
        <v>810</v>
      </c>
      <c r="K198" s="8"/>
      <c r="L198" s="8"/>
      <c r="M198" s="9">
        <v>3.92</v>
      </c>
      <c r="N198" s="5" t="s">
        <v>22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5" t="s">
        <v>811</v>
      </c>
      <c r="B199" s="5" t="s">
        <v>812</v>
      </c>
      <c r="C199" s="5"/>
      <c r="D199" s="5"/>
      <c r="E199" s="6"/>
      <c r="F199" s="6">
        <v>1990.0</v>
      </c>
      <c r="G199" s="6" t="s">
        <v>18</v>
      </c>
      <c r="H199" s="6" t="s">
        <v>381</v>
      </c>
      <c r="I199" s="7" t="s">
        <v>813</v>
      </c>
      <c r="J199" s="20" t="s">
        <v>814</v>
      </c>
      <c r="K199" s="8"/>
      <c r="L199" s="8"/>
      <c r="M199" s="9">
        <v>4.24</v>
      </c>
      <c r="N199" s="5" t="s">
        <v>22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5" t="s">
        <v>815</v>
      </c>
      <c r="B200" s="5" t="s">
        <v>816</v>
      </c>
      <c r="C200" s="5"/>
      <c r="D200" s="5" t="s">
        <v>817</v>
      </c>
      <c r="E200" s="6">
        <v>2.0</v>
      </c>
      <c r="F200" s="6">
        <v>1997.0</v>
      </c>
      <c r="G200" s="6" t="s">
        <v>18</v>
      </c>
      <c r="H200" s="6" t="s">
        <v>104</v>
      </c>
      <c r="I200" s="7" t="s">
        <v>818</v>
      </c>
      <c r="J200" s="20" t="s">
        <v>819</v>
      </c>
      <c r="K200" s="8"/>
      <c r="L200" s="8"/>
      <c r="M200" s="9">
        <v>4.13</v>
      </c>
      <c r="N200" s="5" t="s">
        <v>22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5" t="s">
        <v>820</v>
      </c>
      <c r="B201" s="5" t="s">
        <v>821</v>
      </c>
      <c r="C201" s="5"/>
      <c r="D201" s="5"/>
      <c r="E201" s="6"/>
      <c r="F201" s="6">
        <v>2002.0</v>
      </c>
      <c r="G201" s="6" t="s">
        <v>98</v>
      </c>
      <c r="H201" s="6" t="s">
        <v>822</v>
      </c>
      <c r="I201" s="7" t="s">
        <v>823</v>
      </c>
      <c r="J201" s="20" t="s">
        <v>824</v>
      </c>
      <c r="K201" s="8"/>
      <c r="L201" s="8"/>
      <c r="M201" s="9">
        <v>3.94</v>
      </c>
      <c r="N201" s="5" t="s">
        <v>22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5" t="s">
        <v>825</v>
      </c>
      <c r="B202" s="5" t="s">
        <v>826</v>
      </c>
      <c r="C202" s="5"/>
      <c r="D202" s="5"/>
      <c r="E202" s="6"/>
      <c r="F202" s="6">
        <v>2004.0</v>
      </c>
      <c r="G202" s="6" t="s">
        <v>18</v>
      </c>
      <c r="H202" s="6" t="s">
        <v>752</v>
      </c>
      <c r="I202" s="7" t="s">
        <v>827</v>
      </c>
      <c r="J202" s="7" t="s">
        <v>828</v>
      </c>
      <c r="K202" s="8">
        <v>3.0</v>
      </c>
      <c r="L202" s="8">
        <v>3.0</v>
      </c>
      <c r="M202" s="9">
        <v>4.19</v>
      </c>
      <c r="N202" s="5" t="s">
        <v>22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5" t="s">
        <v>829</v>
      </c>
      <c r="B203" s="5" t="s">
        <v>830</v>
      </c>
      <c r="C203" s="5"/>
      <c r="D203" s="5"/>
      <c r="E203" s="6"/>
      <c r="F203" s="6">
        <v>1969.0</v>
      </c>
      <c r="G203" s="6" t="s">
        <v>152</v>
      </c>
      <c r="H203" s="6" t="s">
        <v>38</v>
      </c>
      <c r="I203" s="7" t="s">
        <v>831</v>
      </c>
      <c r="J203" s="7" t="s">
        <v>832</v>
      </c>
      <c r="K203" s="8">
        <v>4.0</v>
      </c>
      <c r="L203" s="8"/>
      <c r="M203" s="9">
        <v>4.35</v>
      </c>
      <c r="N203" s="5" t="s">
        <v>22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5" t="s">
        <v>833</v>
      </c>
      <c r="B204" s="5" t="s">
        <v>830</v>
      </c>
      <c r="C204" s="5"/>
      <c r="D204" s="5"/>
      <c r="E204" s="6"/>
      <c r="F204" s="6">
        <v>1984.0</v>
      </c>
      <c r="G204" s="6" t="s">
        <v>152</v>
      </c>
      <c r="H204" s="6" t="s">
        <v>38</v>
      </c>
      <c r="I204" s="7" t="s">
        <v>834</v>
      </c>
      <c r="J204" s="7"/>
      <c r="K204" s="8"/>
      <c r="L204" s="8"/>
      <c r="M204" s="9">
        <v>3.98</v>
      </c>
      <c r="N204" s="5" t="s">
        <v>22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5" t="s">
        <v>835</v>
      </c>
      <c r="B205" s="5" t="s">
        <v>836</v>
      </c>
      <c r="C205" s="5"/>
      <c r="D205" s="5" t="s">
        <v>835</v>
      </c>
      <c r="E205" s="6">
        <v>1.0</v>
      </c>
      <c r="F205" s="6">
        <v>2014.0</v>
      </c>
      <c r="G205" s="6" t="s">
        <v>18</v>
      </c>
      <c r="H205" s="6" t="s">
        <v>19</v>
      </c>
      <c r="I205" s="7" t="s">
        <v>837</v>
      </c>
      <c r="J205" s="7" t="s">
        <v>838</v>
      </c>
      <c r="K205" s="8"/>
      <c r="L205" s="8"/>
      <c r="M205" s="9">
        <v>3.98</v>
      </c>
      <c r="N205" s="5" t="s">
        <v>22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2" t="s">
        <v>839</v>
      </c>
      <c r="B206" s="12" t="s">
        <v>840</v>
      </c>
      <c r="C206" s="5"/>
      <c r="D206" s="5"/>
      <c r="E206" s="6"/>
      <c r="F206" s="13">
        <v>1985.0</v>
      </c>
      <c r="G206" s="13" t="s">
        <v>841</v>
      </c>
      <c r="H206" s="13" t="s">
        <v>38</v>
      </c>
      <c r="I206" s="14" t="s">
        <v>842</v>
      </c>
      <c r="J206" s="17" t="s">
        <v>843</v>
      </c>
      <c r="K206" s="8"/>
      <c r="L206" s="8"/>
      <c r="M206" s="16">
        <v>4.56</v>
      </c>
      <c r="N206" s="5" t="s">
        <v>22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5" t="s">
        <v>844</v>
      </c>
      <c r="B207" s="5" t="s">
        <v>845</v>
      </c>
      <c r="C207" s="5"/>
      <c r="D207" s="5" t="s">
        <v>846</v>
      </c>
      <c r="E207" s="6">
        <v>1.0</v>
      </c>
      <c r="F207" s="6">
        <v>1994.0</v>
      </c>
      <c r="G207" s="6" t="s">
        <v>18</v>
      </c>
      <c r="H207" s="6" t="s">
        <v>104</v>
      </c>
      <c r="I207" s="7" t="s">
        <v>847</v>
      </c>
      <c r="J207" s="7" t="s">
        <v>848</v>
      </c>
      <c r="K207" s="8"/>
      <c r="L207" s="8"/>
      <c r="M207" s="9">
        <v>3.96</v>
      </c>
      <c r="N207" s="5" t="s">
        <v>22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5" t="s">
        <v>849</v>
      </c>
      <c r="B208" s="5" t="s">
        <v>850</v>
      </c>
      <c r="C208" s="5"/>
      <c r="D208" s="5" t="s">
        <v>851</v>
      </c>
      <c r="E208" s="6">
        <v>1.0</v>
      </c>
      <c r="F208" s="6">
        <v>2005.0</v>
      </c>
      <c r="G208" s="6" t="s">
        <v>18</v>
      </c>
      <c r="H208" s="6" t="s">
        <v>371</v>
      </c>
      <c r="I208" s="7" t="s">
        <v>852</v>
      </c>
      <c r="J208" s="7" t="s">
        <v>853</v>
      </c>
      <c r="K208" s="8"/>
      <c r="L208" s="8"/>
      <c r="M208" s="9"/>
      <c r="N208" s="5" t="s">
        <v>22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5" t="s">
        <v>854</v>
      </c>
      <c r="B209" s="5" t="s">
        <v>855</v>
      </c>
      <c r="C209" s="5"/>
      <c r="D209" s="5" t="s">
        <v>854</v>
      </c>
      <c r="E209" s="6">
        <v>1.0</v>
      </c>
      <c r="F209" s="6">
        <v>2003.0</v>
      </c>
      <c r="G209" s="6" t="s">
        <v>38</v>
      </c>
      <c r="H209" s="6" t="s">
        <v>152</v>
      </c>
      <c r="I209" s="7" t="s">
        <v>856</v>
      </c>
      <c r="J209" s="7" t="s">
        <v>857</v>
      </c>
      <c r="K209" s="8"/>
      <c r="L209" s="8"/>
      <c r="M209" s="9">
        <v>4.26</v>
      </c>
      <c r="N209" s="5" t="s">
        <v>22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2" t="s">
        <v>858</v>
      </c>
      <c r="B210" s="12" t="s">
        <v>859</v>
      </c>
      <c r="C210" s="5"/>
      <c r="D210" s="5"/>
      <c r="E210" s="6"/>
      <c r="F210" s="13">
        <v>2018.0</v>
      </c>
      <c r="G210" s="13" t="s">
        <v>99</v>
      </c>
      <c r="H210" s="6"/>
      <c r="I210" s="14" t="s">
        <v>860</v>
      </c>
      <c r="J210" s="17" t="s">
        <v>861</v>
      </c>
      <c r="K210" s="8"/>
      <c r="L210" s="8"/>
      <c r="M210" s="16">
        <v>3.81</v>
      </c>
      <c r="N210" s="5" t="s">
        <v>22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2" t="s">
        <v>862</v>
      </c>
      <c r="B211" s="12" t="s">
        <v>863</v>
      </c>
      <c r="C211" s="5"/>
      <c r="D211" s="5"/>
      <c r="E211" s="6"/>
      <c r="F211" s="13">
        <v>2021.0</v>
      </c>
      <c r="G211" s="13" t="s">
        <v>235</v>
      </c>
      <c r="H211" s="13" t="s">
        <v>864</v>
      </c>
      <c r="I211" s="14" t="s">
        <v>865</v>
      </c>
      <c r="J211" s="15" t="s">
        <v>866</v>
      </c>
      <c r="K211" s="8"/>
      <c r="L211" s="19"/>
      <c r="M211" s="16">
        <v>4.0</v>
      </c>
      <c r="N211" s="5" t="s">
        <v>22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5" t="s">
        <v>867</v>
      </c>
      <c r="B212" s="5" t="s">
        <v>868</v>
      </c>
      <c r="C212" s="5"/>
      <c r="D212" s="5"/>
      <c r="E212" s="6"/>
      <c r="F212" s="6">
        <v>1981.0</v>
      </c>
      <c r="G212" s="6" t="s">
        <v>18</v>
      </c>
      <c r="H212" s="6" t="s">
        <v>109</v>
      </c>
      <c r="I212" s="7" t="s">
        <v>869</v>
      </c>
      <c r="J212" s="20" t="s">
        <v>870</v>
      </c>
      <c r="K212" s="8"/>
      <c r="L212" s="8"/>
      <c r="M212" s="9">
        <v>3.98</v>
      </c>
      <c r="N212" s="5" t="s">
        <v>22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5" t="s">
        <v>871</v>
      </c>
      <c r="B213" s="5" t="s">
        <v>872</v>
      </c>
      <c r="C213" s="5"/>
      <c r="D213" s="5" t="s">
        <v>873</v>
      </c>
      <c r="E213" s="6">
        <v>1.0</v>
      </c>
      <c r="F213" s="6">
        <v>2005.0</v>
      </c>
      <c r="G213" s="6" t="s">
        <v>18</v>
      </c>
      <c r="H213" s="6" t="s">
        <v>104</v>
      </c>
      <c r="I213" s="7" t="s">
        <v>874</v>
      </c>
      <c r="J213" s="7" t="s">
        <v>875</v>
      </c>
      <c r="K213" s="8"/>
      <c r="L213" s="8"/>
      <c r="M213" s="9">
        <v>3.8</v>
      </c>
      <c r="N213" s="5" t="s">
        <v>22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2" t="s">
        <v>876</v>
      </c>
      <c r="B214" s="12" t="s">
        <v>877</v>
      </c>
      <c r="C214" s="5"/>
      <c r="D214" s="5"/>
      <c r="E214" s="6"/>
      <c r="F214" s="13">
        <v>1951.0</v>
      </c>
      <c r="G214" s="13" t="s">
        <v>38</v>
      </c>
      <c r="H214" s="13" t="s">
        <v>878</v>
      </c>
      <c r="I214" s="14" t="s">
        <v>879</v>
      </c>
      <c r="J214" s="15" t="s">
        <v>880</v>
      </c>
      <c r="K214" s="8"/>
      <c r="L214" s="8"/>
      <c r="M214" s="16">
        <v>3.81</v>
      </c>
      <c r="N214" s="5" t="s">
        <v>22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5" t="s">
        <v>881</v>
      </c>
      <c r="B215" s="5" t="s">
        <v>882</v>
      </c>
      <c r="C215" s="5"/>
      <c r="D215" s="5" t="s">
        <v>881</v>
      </c>
      <c r="E215" s="6">
        <v>1.0</v>
      </c>
      <c r="F215" s="6">
        <v>2013.0</v>
      </c>
      <c r="G215" s="6" t="s">
        <v>18</v>
      </c>
      <c r="H215" s="6" t="s">
        <v>158</v>
      </c>
      <c r="I215" s="7" t="s">
        <v>883</v>
      </c>
      <c r="J215" s="7" t="s">
        <v>884</v>
      </c>
      <c r="K215" s="8">
        <v>4.0</v>
      </c>
      <c r="L215" s="8">
        <v>4.0</v>
      </c>
      <c r="M215" s="9">
        <v>4.21</v>
      </c>
      <c r="N215" s="5" t="s">
        <v>22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5" t="s">
        <v>885</v>
      </c>
      <c r="B216" s="5" t="s">
        <v>882</v>
      </c>
      <c r="C216" s="5"/>
      <c r="D216" s="5" t="s">
        <v>886</v>
      </c>
      <c r="E216" s="6">
        <v>1.0</v>
      </c>
      <c r="F216" s="6">
        <v>2010.0</v>
      </c>
      <c r="G216" s="6" t="s">
        <v>18</v>
      </c>
      <c r="H216" s="6" t="s">
        <v>104</v>
      </c>
      <c r="I216" s="7" t="s">
        <v>887</v>
      </c>
      <c r="J216" s="7" t="s">
        <v>888</v>
      </c>
      <c r="K216" s="8">
        <v>5.0</v>
      </c>
      <c r="L216" s="8"/>
      <c r="M216" s="9">
        <v>4.62</v>
      </c>
      <c r="N216" s="12" t="s">
        <v>22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5" t="s">
        <v>889</v>
      </c>
      <c r="B217" s="5" t="s">
        <v>882</v>
      </c>
      <c r="C217" s="5"/>
      <c r="D217" s="5" t="s">
        <v>886</v>
      </c>
      <c r="E217" s="6">
        <v>2.0</v>
      </c>
      <c r="F217" s="6">
        <v>2014.0</v>
      </c>
      <c r="G217" s="6" t="s">
        <v>18</v>
      </c>
      <c r="H217" s="6" t="s">
        <v>104</v>
      </c>
      <c r="I217" s="7" t="s">
        <v>890</v>
      </c>
      <c r="J217" s="7" t="s">
        <v>891</v>
      </c>
      <c r="K217" s="8">
        <v>5.0</v>
      </c>
      <c r="L217" s="8"/>
      <c r="M217" s="9">
        <v>4.76</v>
      </c>
      <c r="N217" s="5" t="s">
        <v>22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5" t="s">
        <v>892</v>
      </c>
      <c r="B218" s="5" t="s">
        <v>882</v>
      </c>
      <c r="C218" s="5"/>
      <c r="D218" s="5" t="s">
        <v>886</v>
      </c>
      <c r="E218" s="6">
        <v>3.0</v>
      </c>
      <c r="F218" s="6">
        <v>2017.0</v>
      </c>
      <c r="G218" s="6" t="s">
        <v>18</v>
      </c>
      <c r="H218" s="6" t="s">
        <v>104</v>
      </c>
      <c r="I218" s="7" t="s">
        <v>893</v>
      </c>
      <c r="J218" s="20" t="s">
        <v>894</v>
      </c>
      <c r="K218" s="8">
        <v>5.0</v>
      </c>
      <c r="L218" s="8">
        <v>4.0</v>
      </c>
      <c r="M218" s="9">
        <v>4.58</v>
      </c>
      <c r="N218" s="5" t="s">
        <v>22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2" t="s">
        <v>895</v>
      </c>
      <c r="B219" s="12" t="s">
        <v>882</v>
      </c>
      <c r="C219" s="5"/>
      <c r="D219" s="12" t="s">
        <v>886</v>
      </c>
      <c r="E219" s="13">
        <v>4.0</v>
      </c>
      <c r="F219" s="13">
        <v>2020.0</v>
      </c>
      <c r="G219" s="13" t="s">
        <v>18</v>
      </c>
      <c r="H219" s="6" t="s">
        <v>104</v>
      </c>
      <c r="I219" s="14" t="s">
        <v>896</v>
      </c>
      <c r="J219" s="17" t="s">
        <v>897</v>
      </c>
      <c r="K219" s="19">
        <v>5.0</v>
      </c>
      <c r="L219" s="19">
        <v>5.0</v>
      </c>
      <c r="M219" s="16">
        <v>4.62</v>
      </c>
      <c r="N219" s="5" t="s">
        <v>22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2" t="s">
        <v>898</v>
      </c>
      <c r="B220" s="12" t="s">
        <v>882</v>
      </c>
      <c r="C220" s="5"/>
      <c r="D220" s="12" t="s">
        <v>886</v>
      </c>
      <c r="E220" s="13">
        <v>5.0</v>
      </c>
      <c r="F220" s="13">
        <v>2024.0</v>
      </c>
      <c r="G220" s="13" t="s">
        <v>18</v>
      </c>
      <c r="H220" s="6" t="s">
        <v>104</v>
      </c>
      <c r="I220" s="14" t="s">
        <v>899</v>
      </c>
      <c r="J220" s="17" t="s">
        <v>900</v>
      </c>
      <c r="K220" s="19">
        <v>4.0</v>
      </c>
      <c r="L220" s="8"/>
      <c r="M220" s="16">
        <v>4.63</v>
      </c>
      <c r="N220" s="5" t="s">
        <v>22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5" t="s">
        <v>901</v>
      </c>
      <c r="B221" s="5" t="s">
        <v>902</v>
      </c>
      <c r="C221" s="5"/>
      <c r="D221" s="5" t="s">
        <v>903</v>
      </c>
      <c r="E221" s="6">
        <v>1.0</v>
      </c>
      <c r="F221" s="6">
        <v>2003.0</v>
      </c>
      <c r="G221" s="6" t="s">
        <v>18</v>
      </c>
      <c r="H221" s="6" t="s">
        <v>104</v>
      </c>
      <c r="I221" s="7" t="s">
        <v>904</v>
      </c>
      <c r="J221" s="7" t="s">
        <v>905</v>
      </c>
      <c r="K221" s="8"/>
      <c r="L221" s="8"/>
      <c r="M221" s="9">
        <v>4.08</v>
      </c>
      <c r="N221" s="5" t="s">
        <v>22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5" t="s">
        <v>906</v>
      </c>
      <c r="B222" s="5" t="s">
        <v>907</v>
      </c>
      <c r="C222" s="5"/>
      <c r="D222" s="5"/>
      <c r="E222" s="6"/>
      <c r="F222" s="6">
        <v>2019.0</v>
      </c>
      <c r="G222" s="6" t="s">
        <v>38</v>
      </c>
      <c r="H222" s="6" t="s">
        <v>98</v>
      </c>
      <c r="I222" s="7" t="s">
        <v>908</v>
      </c>
      <c r="J222" s="20" t="s">
        <v>909</v>
      </c>
      <c r="K222" s="8"/>
      <c r="L222" s="8"/>
      <c r="M222" s="9">
        <v>3.76</v>
      </c>
      <c r="N222" s="5" t="s">
        <v>22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2" t="s">
        <v>910</v>
      </c>
      <c r="B223" s="12" t="s">
        <v>911</v>
      </c>
      <c r="C223" s="5"/>
      <c r="D223" s="5"/>
      <c r="E223" s="6"/>
      <c r="F223" s="13">
        <v>2022.0</v>
      </c>
      <c r="G223" s="13" t="s">
        <v>120</v>
      </c>
      <c r="H223" s="13" t="s">
        <v>98</v>
      </c>
      <c r="I223" s="14" t="s">
        <v>912</v>
      </c>
      <c r="J223" s="15" t="s">
        <v>913</v>
      </c>
      <c r="K223" s="8"/>
      <c r="L223" s="8"/>
      <c r="M223" s="16">
        <v>3.69</v>
      </c>
      <c r="N223" s="5" t="s">
        <v>22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5" t="s">
        <v>914</v>
      </c>
      <c r="B224" s="5" t="s">
        <v>915</v>
      </c>
      <c r="C224" s="5"/>
      <c r="D224" s="5"/>
      <c r="E224" s="6"/>
      <c r="F224" s="6">
        <v>2013.0</v>
      </c>
      <c r="G224" s="6" t="s">
        <v>18</v>
      </c>
      <c r="H224" s="6"/>
      <c r="I224" s="7" t="s">
        <v>916</v>
      </c>
      <c r="J224" s="7" t="s">
        <v>917</v>
      </c>
      <c r="K224" s="8"/>
      <c r="L224" s="8"/>
      <c r="M224" s="9"/>
      <c r="N224" s="5" t="s">
        <v>22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5" t="s">
        <v>918</v>
      </c>
      <c r="B225" s="5" t="s">
        <v>919</v>
      </c>
      <c r="C225" s="5"/>
      <c r="D225" s="5"/>
      <c r="E225" s="6"/>
      <c r="F225" s="6">
        <v>2002.0</v>
      </c>
      <c r="G225" s="6" t="s">
        <v>85</v>
      </c>
      <c r="H225" s="6" t="s">
        <v>229</v>
      </c>
      <c r="I225" s="7" t="s">
        <v>920</v>
      </c>
      <c r="J225" s="20" t="s">
        <v>921</v>
      </c>
      <c r="K225" s="8"/>
      <c r="L225" s="8"/>
      <c r="M225" s="9">
        <v>3.82</v>
      </c>
      <c r="N225" s="5" t="s">
        <v>22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5" t="s">
        <v>922</v>
      </c>
      <c r="B226" s="5" t="s">
        <v>923</v>
      </c>
      <c r="C226" s="5"/>
      <c r="D226" s="5" t="s">
        <v>924</v>
      </c>
      <c r="E226" s="6">
        <v>1.0</v>
      </c>
      <c r="F226" s="6">
        <v>1993.0</v>
      </c>
      <c r="G226" s="6" t="s">
        <v>38</v>
      </c>
      <c r="H226" s="6"/>
      <c r="I226" s="7" t="s">
        <v>925</v>
      </c>
      <c r="J226" s="7" t="s">
        <v>926</v>
      </c>
      <c r="K226" s="8"/>
      <c r="L226" s="8"/>
      <c r="M226" s="9">
        <v>4.1</v>
      </c>
      <c r="N226" s="5" t="s">
        <v>22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2" t="s">
        <v>927</v>
      </c>
      <c r="B227" s="12" t="s">
        <v>928</v>
      </c>
      <c r="C227" s="5"/>
      <c r="D227" s="5"/>
      <c r="E227" s="6"/>
      <c r="F227" s="13">
        <v>1601.0</v>
      </c>
      <c r="G227" s="13" t="s">
        <v>929</v>
      </c>
      <c r="H227" s="13" t="s">
        <v>930</v>
      </c>
      <c r="I227" s="14" t="s">
        <v>931</v>
      </c>
      <c r="J227" s="15" t="s">
        <v>932</v>
      </c>
      <c r="K227" s="8"/>
      <c r="L227" s="8"/>
      <c r="M227" s="16">
        <v>4.03</v>
      </c>
      <c r="N227" s="5" t="s">
        <v>22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5" t="s">
        <v>933</v>
      </c>
      <c r="B228" s="5" t="s">
        <v>928</v>
      </c>
      <c r="C228" s="5"/>
      <c r="D228" s="5"/>
      <c r="E228" s="6"/>
      <c r="F228" s="6">
        <v>1599.0</v>
      </c>
      <c r="G228" s="6" t="s">
        <v>98</v>
      </c>
      <c r="H228" s="6" t="s">
        <v>930</v>
      </c>
      <c r="I228" s="7" t="s">
        <v>934</v>
      </c>
      <c r="J228" s="7" t="s">
        <v>935</v>
      </c>
      <c r="K228" s="8"/>
      <c r="L228" s="8"/>
      <c r="M228" s="9">
        <v>3.87</v>
      </c>
      <c r="N228" s="5" t="s">
        <v>22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2" t="s">
        <v>936</v>
      </c>
      <c r="B229" s="12" t="s">
        <v>928</v>
      </c>
      <c r="C229" s="5"/>
      <c r="D229" s="5"/>
      <c r="E229" s="6"/>
      <c r="F229" s="13">
        <v>1603.0</v>
      </c>
      <c r="G229" s="13" t="s">
        <v>930</v>
      </c>
      <c r="H229" s="13" t="s">
        <v>38</v>
      </c>
      <c r="I229" s="14" t="s">
        <v>937</v>
      </c>
      <c r="J229" s="17" t="s">
        <v>938</v>
      </c>
      <c r="K229" s="8"/>
      <c r="L229" s="8"/>
      <c r="M229" s="16">
        <v>3.89</v>
      </c>
      <c r="N229" s="5" t="s">
        <v>22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5" t="s">
        <v>939</v>
      </c>
      <c r="B230" s="5" t="s">
        <v>940</v>
      </c>
      <c r="C230" s="5"/>
      <c r="D230" s="5" t="s">
        <v>941</v>
      </c>
      <c r="E230" s="11" t="s">
        <v>84</v>
      </c>
      <c r="F230" s="6">
        <v>2003.0</v>
      </c>
      <c r="G230" s="6" t="s">
        <v>18</v>
      </c>
      <c r="H230" s="6" t="s">
        <v>235</v>
      </c>
      <c r="I230" s="7" t="s">
        <v>942</v>
      </c>
      <c r="J230" s="7" t="s">
        <v>943</v>
      </c>
      <c r="K230" s="8"/>
      <c r="L230" s="8"/>
      <c r="M230" s="9">
        <v>4.21</v>
      </c>
      <c r="N230" s="5" t="s">
        <v>22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5" t="s">
        <v>944</v>
      </c>
      <c r="B231" s="5" t="s">
        <v>945</v>
      </c>
      <c r="C231" s="5"/>
      <c r="D231" s="5"/>
      <c r="E231" s="6"/>
      <c r="F231" s="6">
        <v>2016.0</v>
      </c>
      <c r="G231" s="6" t="s">
        <v>38</v>
      </c>
      <c r="H231" s="6"/>
      <c r="I231" s="7" t="s">
        <v>946</v>
      </c>
      <c r="J231" s="7" t="s">
        <v>947</v>
      </c>
      <c r="K231" s="8"/>
      <c r="L231" s="8"/>
      <c r="M231" s="9">
        <v>3.96</v>
      </c>
      <c r="N231" s="5" t="s">
        <v>22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5" t="s">
        <v>948</v>
      </c>
      <c r="B232" s="5" t="s">
        <v>949</v>
      </c>
      <c r="C232" s="5"/>
      <c r="D232" s="5"/>
      <c r="E232" s="6"/>
      <c r="F232" s="6">
        <v>2003.0</v>
      </c>
      <c r="G232" s="6" t="s">
        <v>39</v>
      </c>
      <c r="H232" s="6" t="s">
        <v>950</v>
      </c>
      <c r="I232" s="7" t="s">
        <v>951</v>
      </c>
      <c r="J232" s="7" t="s">
        <v>952</v>
      </c>
      <c r="K232" s="8"/>
      <c r="L232" s="8"/>
      <c r="M232" s="9">
        <v>4.08</v>
      </c>
      <c r="N232" s="5" t="s">
        <v>22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2" t="s">
        <v>953</v>
      </c>
      <c r="B233" s="12" t="s">
        <v>954</v>
      </c>
      <c r="C233" s="5"/>
      <c r="D233" s="5"/>
      <c r="E233" s="6"/>
      <c r="F233" s="13">
        <v>2022.0</v>
      </c>
      <c r="G233" s="13" t="s">
        <v>114</v>
      </c>
      <c r="H233" s="6"/>
      <c r="I233" s="14" t="s">
        <v>955</v>
      </c>
      <c r="J233" s="17" t="s">
        <v>956</v>
      </c>
      <c r="K233" s="8"/>
      <c r="L233" s="8"/>
      <c r="M233" s="16" t="s">
        <v>957</v>
      </c>
      <c r="N233" s="5" t="s">
        <v>22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5" t="s">
        <v>958</v>
      </c>
      <c r="B234" s="5" t="s">
        <v>959</v>
      </c>
      <c r="C234" s="5"/>
      <c r="D234" s="5" t="s">
        <v>958</v>
      </c>
      <c r="E234" s="6">
        <v>1.0</v>
      </c>
      <c r="F234" s="6">
        <v>2016.0</v>
      </c>
      <c r="G234" s="6" t="s">
        <v>18</v>
      </c>
      <c r="H234" s="6" t="s">
        <v>98</v>
      </c>
      <c r="I234" s="7" t="s">
        <v>960</v>
      </c>
      <c r="J234" s="7" t="s">
        <v>961</v>
      </c>
      <c r="K234" s="8"/>
      <c r="L234" s="8"/>
      <c r="M234" s="9">
        <v>3.83</v>
      </c>
      <c r="N234" s="5" t="s">
        <v>22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2" t="s">
        <v>962</v>
      </c>
      <c r="B235" s="12" t="s">
        <v>963</v>
      </c>
      <c r="C235" s="5"/>
      <c r="D235" s="12" t="s">
        <v>964</v>
      </c>
      <c r="E235" s="13">
        <v>7.0</v>
      </c>
      <c r="F235" s="13">
        <v>2006.0</v>
      </c>
      <c r="G235" s="13" t="s">
        <v>85</v>
      </c>
      <c r="H235" s="13" t="s">
        <v>965</v>
      </c>
      <c r="I235" s="14" t="s">
        <v>966</v>
      </c>
      <c r="J235" s="17" t="s">
        <v>967</v>
      </c>
      <c r="K235" s="8"/>
      <c r="L235" s="8"/>
      <c r="M235" s="16">
        <v>4.06</v>
      </c>
      <c r="N235" s="5" t="s">
        <v>22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5" t="s">
        <v>968</v>
      </c>
      <c r="B236" s="5" t="s">
        <v>969</v>
      </c>
      <c r="C236" s="5"/>
      <c r="D236" s="5" t="s">
        <v>970</v>
      </c>
      <c r="E236" s="6">
        <v>1.0</v>
      </c>
      <c r="F236" s="6">
        <v>2008.0</v>
      </c>
      <c r="G236" s="6" t="s">
        <v>85</v>
      </c>
      <c r="H236" s="6" t="s">
        <v>98</v>
      </c>
      <c r="I236" s="7" t="s">
        <v>971</v>
      </c>
      <c r="J236" s="7" t="s">
        <v>972</v>
      </c>
      <c r="K236" s="8"/>
      <c r="L236" s="8"/>
      <c r="M236" s="9">
        <v>4.08</v>
      </c>
      <c r="N236" s="5" t="s">
        <v>22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5" t="s">
        <v>973</v>
      </c>
      <c r="B237" s="5" t="s">
        <v>974</v>
      </c>
      <c r="C237" s="5"/>
      <c r="D237" s="5" t="s">
        <v>975</v>
      </c>
      <c r="E237" s="6">
        <v>1.0</v>
      </c>
      <c r="F237" s="6">
        <v>1993.0</v>
      </c>
      <c r="G237" s="6" t="s">
        <v>38</v>
      </c>
      <c r="H237" s="6" t="s">
        <v>976</v>
      </c>
      <c r="I237" s="7" t="s">
        <v>977</v>
      </c>
      <c r="J237" s="7" t="s">
        <v>978</v>
      </c>
      <c r="K237" s="8"/>
      <c r="L237" s="8"/>
      <c r="M237" s="9">
        <v>4.2</v>
      </c>
      <c r="N237" s="5" t="s">
        <v>22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2" t="s">
        <v>979</v>
      </c>
      <c r="B238" s="12" t="s">
        <v>980</v>
      </c>
      <c r="C238" s="5"/>
      <c r="D238" s="5"/>
      <c r="E238" s="6"/>
      <c r="F238" s="13">
        <v>1882.0</v>
      </c>
      <c r="G238" s="13" t="s">
        <v>253</v>
      </c>
      <c r="H238" s="13" t="s">
        <v>515</v>
      </c>
      <c r="I238" s="14" t="s">
        <v>981</v>
      </c>
      <c r="J238" s="17" t="s">
        <v>982</v>
      </c>
      <c r="K238" s="8"/>
      <c r="L238" s="8"/>
      <c r="M238" s="16">
        <v>3.85</v>
      </c>
      <c r="N238" s="5" t="s">
        <v>22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2" t="s">
        <v>983</v>
      </c>
      <c r="B239" s="12" t="s">
        <v>984</v>
      </c>
      <c r="C239" s="12"/>
      <c r="D239" s="5" t="s">
        <v>985</v>
      </c>
      <c r="E239" s="13">
        <v>1.0</v>
      </c>
      <c r="F239" s="13">
        <v>1995.0</v>
      </c>
      <c r="G239" s="13" t="s">
        <v>235</v>
      </c>
      <c r="H239" s="13" t="s">
        <v>115</v>
      </c>
      <c r="I239" s="14" t="s">
        <v>986</v>
      </c>
      <c r="J239" s="17" t="s">
        <v>987</v>
      </c>
      <c r="K239" s="8"/>
      <c r="L239" s="8"/>
      <c r="M239" s="16">
        <v>3.77</v>
      </c>
      <c r="N239" s="5" t="s">
        <v>22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2" t="s">
        <v>988</v>
      </c>
      <c r="B240" s="12" t="s">
        <v>984</v>
      </c>
      <c r="C240" s="12"/>
      <c r="D240" s="5" t="s">
        <v>985</v>
      </c>
      <c r="E240" s="13">
        <v>12.0</v>
      </c>
      <c r="F240" s="13">
        <v>1996.0</v>
      </c>
      <c r="G240" s="13" t="s">
        <v>235</v>
      </c>
      <c r="H240" s="13" t="s">
        <v>115</v>
      </c>
      <c r="I240" s="14" t="s">
        <v>989</v>
      </c>
      <c r="J240" s="17" t="s">
        <v>990</v>
      </c>
      <c r="K240" s="8"/>
      <c r="L240" s="19"/>
      <c r="M240" s="16">
        <v>3.72</v>
      </c>
      <c r="N240" s="5" t="s">
        <v>22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2" t="s">
        <v>991</v>
      </c>
      <c r="B241" s="12" t="s">
        <v>984</v>
      </c>
      <c r="C241" s="12"/>
      <c r="D241" s="5" t="s">
        <v>985</v>
      </c>
      <c r="E241" s="13">
        <v>35.0</v>
      </c>
      <c r="F241" s="13">
        <v>1999.0</v>
      </c>
      <c r="G241" s="13" t="s">
        <v>235</v>
      </c>
      <c r="H241" s="13" t="s">
        <v>115</v>
      </c>
      <c r="I241" s="14" t="s">
        <v>992</v>
      </c>
      <c r="J241" s="15" t="s">
        <v>993</v>
      </c>
      <c r="K241" s="8"/>
      <c r="L241" s="8"/>
      <c r="M241" s="16">
        <v>3.92</v>
      </c>
      <c r="N241" s="5" t="s">
        <v>22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5" t="s">
        <v>994</v>
      </c>
      <c r="B242" s="5" t="s">
        <v>984</v>
      </c>
      <c r="C242" s="5"/>
      <c r="D242" s="5" t="s">
        <v>985</v>
      </c>
      <c r="E242" s="6">
        <v>39.0</v>
      </c>
      <c r="F242" s="6">
        <v>1999.0</v>
      </c>
      <c r="G242" s="6" t="s">
        <v>235</v>
      </c>
      <c r="H242" s="6" t="s">
        <v>158</v>
      </c>
      <c r="I242" s="7" t="s">
        <v>995</v>
      </c>
      <c r="J242" s="7" t="s">
        <v>996</v>
      </c>
      <c r="K242" s="8">
        <v>3.0</v>
      </c>
      <c r="L242" s="8">
        <v>3.0</v>
      </c>
      <c r="M242" s="9">
        <v>4.0</v>
      </c>
      <c r="N242" s="5" t="s">
        <v>22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5" t="s">
        <v>997</v>
      </c>
      <c r="B243" s="5" t="s">
        <v>984</v>
      </c>
      <c r="C243" s="5"/>
      <c r="D243" s="5" t="s">
        <v>998</v>
      </c>
      <c r="E243" s="6">
        <v>2.0</v>
      </c>
      <c r="F243" s="6">
        <v>1993.0</v>
      </c>
      <c r="G243" s="6" t="s">
        <v>235</v>
      </c>
      <c r="H243" s="6" t="s">
        <v>158</v>
      </c>
      <c r="I243" s="7" t="s">
        <v>999</v>
      </c>
      <c r="J243" s="20" t="s">
        <v>1000</v>
      </c>
      <c r="K243" s="8"/>
      <c r="L243" s="8">
        <v>3.0</v>
      </c>
      <c r="M243" s="9">
        <v>3.62</v>
      </c>
      <c r="N243" s="5" t="s">
        <v>22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5" t="s">
        <v>1001</v>
      </c>
      <c r="B244" s="5" t="s">
        <v>984</v>
      </c>
      <c r="C244" s="5"/>
      <c r="D244" s="5" t="s">
        <v>1002</v>
      </c>
      <c r="E244" s="6">
        <v>3.0</v>
      </c>
      <c r="F244" s="6">
        <v>1996.0</v>
      </c>
      <c r="G244" s="6" t="s">
        <v>235</v>
      </c>
      <c r="H244" s="6" t="s">
        <v>158</v>
      </c>
      <c r="I244" s="7" t="s">
        <v>1003</v>
      </c>
      <c r="J244" s="7" t="s">
        <v>1004</v>
      </c>
      <c r="K244" s="8">
        <v>3.0</v>
      </c>
      <c r="L244" s="8">
        <v>3.0</v>
      </c>
      <c r="M244" s="9">
        <v>3.87</v>
      </c>
      <c r="N244" s="5" t="s">
        <v>22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5" t="s">
        <v>1005</v>
      </c>
      <c r="B245" s="5" t="s">
        <v>984</v>
      </c>
      <c r="C245" s="5"/>
      <c r="D245" s="5" t="s">
        <v>1006</v>
      </c>
      <c r="E245" s="6">
        <v>3.0</v>
      </c>
      <c r="F245" s="6">
        <v>2001.0</v>
      </c>
      <c r="G245" s="6" t="s">
        <v>235</v>
      </c>
      <c r="H245" s="6" t="s">
        <v>158</v>
      </c>
      <c r="I245" s="7" t="s">
        <v>1007</v>
      </c>
      <c r="J245" s="7" t="s">
        <v>1008</v>
      </c>
      <c r="K245" s="8"/>
      <c r="L245" s="8"/>
      <c r="M245" s="9">
        <v>3.84</v>
      </c>
      <c r="N245" s="5" t="s">
        <v>22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5" t="s">
        <v>1009</v>
      </c>
      <c r="B246" s="5" t="s">
        <v>1010</v>
      </c>
      <c r="C246" s="5"/>
      <c r="D246" s="5"/>
      <c r="E246" s="6"/>
      <c r="F246" s="6">
        <v>2009.0</v>
      </c>
      <c r="G246" s="6" t="s">
        <v>38</v>
      </c>
      <c r="H246" s="6" t="s">
        <v>98</v>
      </c>
      <c r="I246" s="7" t="s">
        <v>1011</v>
      </c>
      <c r="J246" s="7" t="s">
        <v>1012</v>
      </c>
      <c r="K246" s="8"/>
      <c r="L246" s="8"/>
      <c r="M246" s="9"/>
      <c r="N246" s="5" t="s">
        <v>22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5" t="s">
        <v>1013</v>
      </c>
      <c r="B247" s="5" t="s">
        <v>1014</v>
      </c>
      <c r="C247" s="5"/>
      <c r="D247" s="5"/>
      <c r="E247" s="6"/>
      <c r="F247" s="6">
        <v>1897.0</v>
      </c>
      <c r="G247" s="6" t="s">
        <v>18</v>
      </c>
      <c r="H247" s="6" t="s">
        <v>235</v>
      </c>
      <c r="I247" s="7" t="s">
        <v>1015</v>
      </c>
      <c r="J247" s="7" t="s">
        <v>1016</v>
      </c>
      <c r="K247" s="8">
        <v>3.0</v>
      </c>
      <c r="L247" s="8"/>
      <c r="M247" s="9">
        <v>3.99</v>
      </c>
      <c r="N247" s="5" t="s">
        <v>22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5" t="s">
        <v>1017</v>
      </c>
      <c r="B248" s="5" t="s">
        <v>1018</v>
      </c>
      <c r="C248" s="5"/>
      <c r="D248" s="5" t="s">
        <v>1019</v>
      </c>
      <c r="E248" s="6">
        <v>0.5</v>
      </c>
      <c r="F248" s="6">
        <v>2010.0</v>
      </c>
      <c r="G248" s="6" t="s">
        <v>18</v>
      </c>
      <c r="H248" s="6" t="s">
        <v>158</v>
      </c>
      <c r="I248" s="7" t="s">
        <v>1020</v>
      </c>
      <c r="J248" s="7" t="s">
        <v>1021</v>
      </c>
      <c r="K248" s="8"/>
      <c r="L248" s="8"/>
      <c r="M248" s="9">
        <v>4.2</v>
      </c>
      <c r="N248" s="5" t="s">
        <v>22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5" t="s">
        <v>1022</v>
      </c>
      <c r="B249" s="5" t="s">
        <v>1018</v>
      </c>
      <c r="C249" s="5"/>
      <c r="D249" s="5" t="s">
        <v>1019</v>
      </c>
      <c r="E249" s="6">
        <v>1.0</v>
      </c>
      <c r="F249" s="6">
        <v>2003.0</v>
      </c>
      <c r="G249" s="6" t="s">
        <v>18</v>
      </c>
      <c r="H249" s="6" t="s">
        <v>158</v>
      </c>
      <c r="I249" s="7" t="s">
        <v>1023</v>
      </c>
      <c r="J249" s="7" t="s">
        <v>1024</v>
      </c>
      <c r="K249" s="8"/>
      <c r="L249" s="8"/>
      <c r="M249" s="9">
        <v>3.99</v>
      </c>
      <c r="N249" s="5" t="s">
        <v>22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5" t="s">
        <v>1025</v>
      </c>
      <c r="B250" s="5" t="s">
        <v>1018</v>
      </c>
      <c r="C250" s="5"/>
      <c r="D250" s="5" t="s">
        <v>1019</v>
      </c>
      <c r="E250" s="6">
        <v>2.0</v>
      </c>
      <c r="F250" s="6">
        <v>2004.0</v>
      </c>
      <c r="G250" s="6" t="s">
        <v>18</v>
      </c>
      <c r="H250" s="6" t="s">
        <v>158</v>
      </c>
      <c r="I250" s="7" t="s">
        <v>1026</v>
      </c>
      <c r="J250" s="7" t="s">
        <v>1027</v>
      </c>
      <c r="K250" s="8"/>
      <c r="L250" s="8"/>
      <c r="M250" s="9">
        <v>4.1</v>
      </c>
      <c r="N250" s="5" t="s">
        <v>22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5" t="s">
        <v>1028</v>
      </c>
      <c r="B251" s="5" t="s">
        <v>1018</v>
      </c>
      <c r="C251" s="5"/>
      <c r="D251" s="5" t="s">
        <v>1019</v>
      </c>
      <c r="E251" s="6">
        <v>3.0</v>
      </c>
      <c r="F251" s="6">
        <v>2005.0</v>
      </c>
      <c r="G251" s="6" t="s">
        <v>18</v>
      </c>
      <c r="H251" s="6" t="s">
        <v>158</v>
      </c>
      <c r="I251" s="7" t="s">
        <v>1029</v>
      </c>
      <c r="J251" s="7" t="s">
        <v>1030</v>
      </c>
      <c r="K251" s="8"/>
      <c r="L251" s="8"/>
      <c r="M251" s="9">
        <v>4.24</v>
      </c>
      <c r="N251" s="5" t="s">
        <v>22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2" t="s">
        <v>1031</v>
      </c>
      <c r="B252" s="12" t="s">
        <v>1032</v>
      </c>
      <c r="C252" s="5"/>
      <c r="D252" s="5"/>
      <c r="E252" s="6"/>
      <c r="F252" s="13">
        <v>2005.0</v>
      </c>
      <c r="G252" s="13" t="s">
        <v>253</v>
      </c>
      <c r="H252" s="13" t="s">
        <v>38</v>
      </c>
      <c r="I252" s="14" t="s">
        <v>1033</v>
      </c>
      <c r="J252" s="17" t="s">
        <v>1034</v>
      </c>
      <c r="K252" s="8"/>
      <c r="L252" s="8"/>
      <c r="M252" s="16">
        <v>4.02</v>
      </c>
      <c r="N252" s="5" t="s">
        <v>22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5" t="s">
        <v>1035</v>
      </c>
      <c r="B253" s="5" t="s">
        <v>1032</v>
      </c>
      <c r="C253" s="5"/>
      <c r="D253" s="5"/>
      <c r="E253" s="6"/>
      <c r="F253" s="6">
        <v>2008.0</v>
      </c>
      <c r="G253" s="6" t="s">
        <v>85</v>
      </c>
      <c r="H253" s="6"/>
      <c r="I253" s="7" t="s">
        <v>1036</v>
      </c>
      <c r="J253" s="7" t="s">
        <v>1037</v>
      </c>
      <c r="K253" s="8"/>
      <c r="L253" s="8"/>
      <c r="M253" s="9">
        <v>3.54</v>
      </c>
      <c r="N253" s="5" t="s">
        <v>22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5" t="s">
        <v>1038</v>
      </c>
      <c r="B254" s="5" t="s">
        <v>1039</v>
      </c>
      <c r="C254" s="5"/>
      <c r="D254" s="5" t="s">
        <v>1038</v>
      </c>
      <c r="E254" s="6">
        <v>1.0</v>
      </c>
      <c r="F254" s="6">
        <v>2015.0</v>
      </c>
      <c r="G254" s="6" t="s">
        <v>18</v>
      </c>
      <c r="H254" s="6" t="s">
        <v>19</v>
      </c>
      <c r="I254" s="7" t="s">
        <v>1040</v>
      </c>
      <c r="J254" s="7" t="s">
        <v>1041</v>
      </c>
      <c r="K254" s="8"/>
      <c r="L254" s="8"/>
      <c r="M254" s="9">
        <v>4.32</v>
      </c>
      <c r="N254" s="5" t="s">
        <v>22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5" t="s">
        <v>1042</v>
      </c>
      <c r="B255" s="5" t="s">
        <v>1043</v>
      </c>
      <c r="C255" s="5"/>
      <c r="D255" s="5" t="s">
        <v>1044</v>
      </c>
      <c r="E255" s="6">
        <v>1.0</v>
      </c>
      <c r="F255" s="6">
        <v>2014.0</v>
      </c>
      <c r="G255" s="6" t="s">
        <v>18</v>
      </c>
      <c r="H255" s="6" t="s">
        <v>19</v>
      </c>
      <c r="I255" s="7" t="s">
        <v>1045</v>
      </c>
      <c r="J255" s="7" t="s">
        <v>1046</v>
      </c>
      <c r="K255" s="8"/>
      <c r="L255" s="8"/>
      <c r="M255" s="9">
        <v>4.02</v>
      </c>
      <c r="N255" s="5" t="s">
        <v>22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5" t="s">
        <v>1047</v>
      </c>
      <c r="B256" s="12" t="s">
        <v>1048</v>
      </c>
      <c r="C256" s="5"/>
      <c r="D256" s="5"/>
      <c r="E256" s="6"/>
      <c r="F256" s="6">
        <v>2014.0</v>
      </c>
      <c r="G256" s="6" t="s">
        <v>229</v>
      </c>
      <c r="H256" s="6" t="s">
        <v>371</v>
      </c>
      <c r="I256" s="7" t="s">
        <v>1049</v>
      </c>
      <c r="J256" s="20" t="s">
        <v>1050</v>
      </c>
      <c r="K256" s="8"/>
      <c r="L256" s="8"/>
      <c r="M256" s="9">
        <v>3.87</v>
      </c>
      <c r="N256" s="5" t="s">
        <v>22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5" t="s">
        <v>1051</v>
      </c>
      <c r="B257" s="5" t="s">
        <v>1052</v>
      </c>
      <c r="C257" s="5"/>
      <c r="D257" s="5" t="s">
        <v>1053</v>
      </c>
      <c r="E257" s="6"/>
      <c r="F257" s="6">
        <v>1955.0</v>
      </c>
      <c r="G257" s="6" t="s">
        <v>229</v>
      </c>
      <c r="H257" s="6"/>
      <c r="I257" s="7" t="s">
        <v>1054</v>
      </c>
      <c r="J257" s="20" t="s">
        <v>1055</v>
      </c>
      <c r="K257" s="8"/>
      <c r="L257" s="8"/>
      <c r="M257" s="9">
        <v>4.51</v>
      </c>
      <c r="N257" s="5" t="s">
        <v>22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5" t="s">
        <v>1056</v>
      </c>
      <c r="B258" s="26" t="s">
        <v>1052</v>
      </c>
      <c r="C258" s="5"/>
      <c r="D258" s="5"/>
      <c r="E258" s="6"/>
      <c r="F258" s="6">
        <v>2013.0</v>
      </c>
      <c r="G258" s="6" t="s">
        <v>18</v>
      </c>
      <c r="H258" s="6"/>
      <c r="I258" s="27" t="s">
        <v>1057</v>
      </c>
      <c r="J258" s="7" t="s">
        <v>1058</v>
      </c>
      <c r="K258" s="8"/>
      <c r="L258" s="8"/>
      <c r="M258" s="9">
        <v>3.82</v>
      </c>
      <c r="N258" s="5" t="s">
        <v>22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5" t="s">
        <v>1059</v>
      </c>
      <c r="B259" s="5" t="s">
        <v>1052</v>
      </c>
      <c r="C259" s="5"/>
      <c r="D259" s="5"/>
      <c r="E259" s="6"/>
      <c r="F259" s="6">
        <v>1937.0</v>
      </c>
      <c r="G259" s="6" t="s">
        <v>18</v>
      </c>
      <c r="H259" s="6" t="s">
        <v>752</v>
      </c>
      <c r="I259" s="7" t="s">
        <v>1060</v>
      </c>
      <c r="J259" s="7" t="s">
        <v>1061</v>
      </c>
      <c r="K259" s="8"/>
      <c r="L259" s="8"/>
      <c r="M259" s="9">
        <v>4.23</v>
      </c>
      <c r="N259" s="5" t="s">
        <v>22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2" t="s">
        <v>1062</v>
      </c>
      <c r="B260" s="12" t="s">
        <v>1063</v>
      </c>
      <c r="C260" s="5"/>
      <c r="D260" s="5"/>
      <c r="E260" s="6"/>
      <c r="F260" s="13">
        <v>2008.0</v>
      </c>
      <c r="G260" s="13" t="s">
        <v>497</v>
      </c>
      <c r="H260" s="6"/>
      <c r="I260" s="14" t="s">
        <v>1064</v>
      </c>
      <c r="J260" s="15" t="s">
        <v>1065</v>
      </c>
      <c r="K260" s="8"/>
      <c r="L260" s="8"/>
      <c r="M260" s="16">
        <v>4.14</v>
      </c>
      <c r="N260" s="5" t="s">
        <v>22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5" t="s">
        <v>1066</v>
      </c>
      <c r="B261" s="5" t="s">
        <v>1067</v>
      </c>
      <c r="C261" s="5"/>
      <c r="D261" s="5"/>
      <c r="E261" s="6"/>
      <c r="F261" s="6">
        <v>2016.0</v>
      </c>
      <c r="G261" s="6" t="s">
        <v>18</v>
      </c>
      <c r="H261" s="6" t="s">
        <v>1068</v>
      </c>
      <c r="I261" s="7" t="s">
        <v>1069</v>
      </c>
      <c r="J261" s="7" t="s">
        <v>1070</v>
      </c>
      <c r="K261" s="8"/>
      <c r="L261" s="8"/>
      <c r="M261" s="9"/>
      <c r="N261" s="5" t="s">
        <v>22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5" t="s">
        <v>1071</v>
      </c>
      <c r="B262" s="5" t="s">
        <v>1072</v>
      </c>
      <c r="C262" s="5"/>
      <c r="D262" s="5"/>
      <c r="E262" s="6"/>
      <c r="F262" s="6">
        <v>1976.0</v>
      </c>
      <c r="G262" s="6" t="s">
        <v>18</v>
      </c>
      <c r="H262" s="6"/>
      <c r="I262" s="7" t="s">
        <v>1073</v>
      </c>
      <c r="J262" s="7" t="s">
        <v>1074</v>
      </c>
      <c r="K262" s="8"/>
      <c r="L262" s="8"/>
      <c r="M262" s="9">
        <v>3.87</v>
      </c>
      <c r="N262" s="5" t="s">
        <v>22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5" t="s">
        <v>1075</v>
      </c>
      <c r="B263" s="5" t="s">
        <v>1076</v>
      </c>
      <c r="C263" s="5"/>
      <c r="D263" s="5"/>
      <c r="E263" s="6"/>
      <c r="F263" s="6">
        <v>2002.0</v>
      </c>
      <c r="G263" s="6" t="s">
        <v>39</v>
      </c>
      <c r="H263" s="6" t="s">
        <v>98</v>
      </c>
      <c r="I263" s="7" t="s">
        <v>1077</v>
      </c>
      <c r="J263" s="7" t="s">
        <v>1078</v>
      </c>
      <c r="K263" s="8"/>
      <c r="L263" s="8"/>
      <c r="M263" s="9">
        <v>4.02</v>
      </c>
      <c r="N263" s="5" t="s">
        <v>22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5" t="s">
        <v>1079</v>
      </c>
      <c r="B264" s="5" t="s">
        <v>1080</v>
      </c>
      <c r="C264" s="5"/>
      <c r="D264" s="5" t="s">
        <v>1081</v>
      </c>
      <c r="E264" s="6">
        <v>1.0</v>
      </c>
      <c r="F264" s="6">
        <v>2014.0</v>
      </c>
      <c r="G264" s="6" t="s">
        <v>18</v>
      </c>
      <c r="H264" s="6"/>
      <c r="I264" s="7" t="s">
        <v>1082</v>
      </c>
      <c r="J264" s="7" t="s">
        <v>1083</v>
      </c>
      <c r="K264" s="8"/>
      <c r="L264" s="8"/>
      <c r="M264" s="9">
        <v>3.89</v>
      </c>
      <c r="N264" s="5" t="s">
        <v>22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5" t="s">
        <v>1084</v>
      </c>
      <c r="B265" s="5" t="s">
        <v>1085</v>
      </c>
      <c r="C265" s="5"/>
      <c r="D265" s="5" t="s">
        <v>1086</v>
      </c>
      <c r="E265" s="6">
        <v>3.2</v>
      </c>
      <c r="F265" s="6">
        <v>1990.0</v>
      </c>
      <c r="G265" s="6" t="s">
        <v>381</v>
      </c>
      <c r="H265" s="6"/>
      <c r="I265" s="7" t="s">
        <v>1087</v>
      </c>
      <c r="J265" s="7" t="s">
        <v>1088</v>
      </c>
      <c r="K265" s="8"/>
      <c r="L265" s="8"/>
      <c r="M265" s="9">
        <v>4.09</v>
      </c>
      <c r="N265" s="5" t="s">
        <v>22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5" t="s">
        <v>1089</v>
      </c>
      <c r="B266" s="5" t="s">
        <v>1090</v>
      </c>
      <c r="C266" s="5"/>
      <c r="D266" s="5"/>
      <c r="E266" s="6"/>
      <c r="F266" s="6">
        <v>2005.0</v>
      </c>
      <c r="G266" s="6" t="s">
        <v>98</v>
      </c>
      <c r="H266" s="6" t="s">
        <v>19</v>
      </c>
      <c r="I266" s="7" t="s">
        <v>1091</v>
      </c>
      <c r="J266" s="7" t="s">
        <v>1092</v>
      </c>
      <c r="K266" s="8"/>
      <c r="L266" s="8"/>
      <c r="M266" s="9">
        <v>4.36</v>
      </c>
      <c r="N266" s="5" t="s">
        <v>22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2" t="s">
        <v>1093</v>
      </c>
      <c r="B267" s="12" t="s">
        <v>1094</v>
      </c>
      <c r="C267" s="5"/>
      <c r="D267" s="5"/>
      <c r="E267" s="6"/>
      <c r="F267" s="13">
        <v>1934.0</v>
      </c>
      <c r="G267" s="13" t="s">
        <v>1095</v>
      </c>
      <c r="H267" s="13" t="s">
        <v>39</v>
      </c>
      <c r="I267" s="14" t="s">
        <v>1096</v>
      </c>
      <c r="J267" s="17" t="s">
        <v>1097</v>
      </c>
      <c r="K267" s="8"/>
      <c r="L267" s="8"/>
      <c r="M267" s="16">
        <v>3.81</v>
      </c>
      <c r="N267" s="5" t="s">
        <v>22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2" t="s">
        <v>1098</v>
      </c>
      <c r="B268" s="12" t="s">
        <v>1099</v>
      </c>
      <c r="C268" s="5"/>
      <c r="D268" s="5"/>
      <c r="E268" s="6"/>
      <c r="F268" s="13">
        <v>2020.0</v>
      </c>
      <c r="G268" s="13" t="s">
        <v>114</v>
      </c>
      <c r="H268" s="13" t="s">
        <v>1100</v>
      </c>
      <c r="I268" s="14" t="s">
        <v>1101</v>
      </c>
      <c r="J268" s="17" t="s">
        <v>1102</v>
      </c>
      <c r="K268" s="8"/>
      <c r="L268" s="8"/>
      <c r="M268" s="16">
        <v>4.25</v>
      </c>
      <c r="N268" s="5" t="s">
        <v>22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2" t="s">
        <v>1103</v>
      </c>
      <c r="B269" s="12" t="s">
        <v>1104</v>
      </c>
      <c r="C269" s="5"/>
      <c r="D269" s="5"/>
      <c r="E269" s="6"/>
      <c r="F269" s="13">
        <v>2024.0</v>
      </c>
      <c r="G269" s="13" t="s">
        <v>114</v>
      </c>
      <c r="H269" s="13" t="s">
        <v>18</v>
      </c>
      <c r="I269" s="14" t="s">
        <v>1105</v>
      </c>
      <c r="J269" s="17" t="s">
        <v>1106</v>
      </c>
      <c r="K269" s="8"/>
      <c r="L269" s="8"/>
      <c r="M269" s="9"/>
      <c r="N269" s="5" t="s">
        <v>22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2" t="s">
        <v>1107</v>
      </c>
      <c r="B270" s="12" t="s">
        <v>1108</v>
      </c>
      <c r="C270" s="5"/>
      <c r="D270" s="5"/>
      <c r="E270" s="6"/>
      <c r="F270" s="13">
        <v>1818.0</v>
      </c>
      <c r="G270" s="13" t="s">
        <v>18</v>
      </c>
      <c r="H270" s="13" t="s">
        <v>235</v>
      </c>
      <c r="I270" s="14" t="s">
        <v>1109</v>
      </c>
      <c r="J270" s="17" t="s">
        <v>1110</v>
      </c>
      <c r="K270" s="8"/>
      <c r="L270" s="8"/>
      <c r="M270" s="9"/>
      <c r="N270" s="5" t="s">
        <v>22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5"/>
      <c r="B271" s="5"/>
      <c r="C271" s="5"/>
      <c r="D271" s="5"/>
      <c r="E271" s="6"/>
      <c r="F271" s="6"/>
      <c r="G271" s="6"/>
      <c r="H271" s="6"/>
      <c r="I271" s="7"/>
      <c r="J271" s="7"/>
      <c r="K271" s="8"/>
      <c r="L271" s="8"/>
      <c r="M271" s="9"/>
      <c r="N271" s="5" t="s">
        <v>22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5"/>
      <c r="B272" s="5"/>
      <c r="C272" s="5"/>
      <c r="D272" s="5"/>
      <c r="E272" s="6"/>
      <c r="F272" s="6"/>
      <c r="G272" s="6"/>
      <c r="H272" s="6"/>
      <c r="I272" s="7"/>
      <c r="J272" s="7"/>
      <c r="K272" s="8"/>
      <c r="L272" s="8"/>
      <c r="M272" s="9"/>
      <c r="N272" s="5" t="s">
        <v>22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0"/>
      <c r="B273" s="10"/>
      <c r="C273" s="10"/>
      <c r="D273" s="10"/>
      <c r="E273" s="10"/>
      <c r="F273" s="28"/>
      <c r="G273" s="28"/>
      <c r="H273" s="28"/>
      <c r="I273" s="29"/>
      <c r="J273" s="29"/>
      <c r="K273" s="29"/>
      <c r="L273" s="29"/>
      <c r="M273" s="2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0"/>
      <c r="B274" s="10"/>
      <c r="C274" s="10"/>
      <c r="D274" s="10"/>
      <c r="E274" s="10"/>
      <c r="F274" s="28"/>
      <c r="G274" s="28"/>
      <c r="H274" s="28"/>
      <c r="I274" s="29"/>
      <c r="J274" s="29"/>
      <c r="K274" s="29"/>
      <c r="L274" s="29"/>
      <c r="M274" s="2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0"/>
      <c r="B275" s="10"/>
      <c r="C275" s="10"/>
      <c r="D275" s="10"/>
      <c r="E275" s="10"/>
      <c r="F275" s="28"/>
      <c r="G275" s="28"/>
      <c r="H275" s="28"/>
      <c r="I275" s="29"/>
      <c r="J275" s="29"/>
      <c r="K275" s="29"/>
      <c r="L275" s="29"/>
      <c r="M275" s="2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0"/>
      <c r="B276" s="10"/>
      <c r="C276" s="10"/>
      <c r="D276" s="10"/>
      <c r="E276" s="10"/>
      <c r="F276" s="28"/>
      <c r="G276" s="28"/>
      <c r="H276" s="28"/>
      <c r="I276" s="29"/>
      <c r="J276" s="29"/>
      <c r="K276" s="29"/>
      <c r="L276" s="29"/>
      <c r="M276" s="2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0"/>
      <c r="B277" s="10"/>
      <c r="C277" s="10"/>
      <c r="D277" s="10"/>
      <c r="E277" s="10"/>
      <c r="F277" s="28"/>
      <c r="G277" s="28"/>
      <c r="H277" s="28"/>
      <c r="I277" s="29"/>
      <c r="J277" s="29"/>
      <c r="K277" s="29"/>
      <c r="L277" s="29"/>
      <c r="M277" s="2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0"/>
      <c r="B278" s="10"/>
      <c r="C278" s="10"/>
      <c r="D278" s="10"/>
      <c r="E278" s="10"/>
      <c r="F278" s="28"/>
      <c r="G278" s="28"/>
      <c r="H278" s="28"/>
      <c r="I278" s="29"/>
      <c r="J278" s="29"/>
      <c r="K278" s="29"/>
      <c r="L278" s="29"/>
      <c r="M278" s="2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0"/>
      <c r="B279" s="10"/>
      <c r="C279" s="10"/>
      <c r="D279" s="10"/>
      <c r="E279" s="10"/>
      <c r="F279" s="28"/>
      <c r="G279" s="28"/>
      <c r="H279" s="28"/>
      <c r="I279" s="29"/>
      <c r="J279" s="29"/>
      <c r="K279" s="29"/>
      <c r="L279" s="29"/>
      <c r="M279" s="2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0"/>
      <c r="B280" s="10"/>
      <c r="C280" s="10"/>
      <c r="D280" s="10"/>
      <c r="E280" s="10"/>
      <c r="F280" s="28"/>
      <c r="G280" s="28"/>
      <c r="H280" s="28"/>
      <c r="I280" s="29"/>
      <c r="J280" s="29"/>
      <c r="K280" s="29"/>
      <c r="L280" s="29"/>
      <c r="M280" s="2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0"/>
      <c r="B281" s="10"/>
      <c r="C281" s="10"/>
      <c r="D281" s="10"/>
      <c r="E281" s="10"/>
      <c r="F281" s="28"/>
      <c r="G281" s="28"/>
      <c r="H281" s="28"/>
      <c r="I281" s="29"/>
      <c r="J281" s="29"/>
      <c r="K281" s="29"/>
      <c r="L281" s="29"/>
      <c r="M281" s="2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0"/>
      <c r="B282" s="10"/>
      <c r="C282" s="10"/>
      <c r="D282" s="10"/>
      <c r="E282" s="10"/>
      <c r="F282" s="28"/>
      <c r="G282" s="28"/>
      <c r="H282" s="28"/>
      <c r="I282" s="29"/>
      <c r="J282" s="29"/>
      <c r="K282" s="29"/>
      <c r="L282" s="29"/>
      <c r="M282" s="2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0"/>
      <c r="B283" s="10"/>
      <c r="C283" s="10"/>
      <c r="D283" s="10"/>
      <c r="E283" s="10"/>
      <c r="F283" s="28"/>
      <c r="G283" s="28"/>
      <c r="H283" s="28"/>
      <c r="I283" s="29"/>
      <c r="J283" s="29"/>
      <c r="K283" s="29"/>
      <c r="L283" s="29"/>
      <c r="M283" s="2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0"/>
      <c r="B284" s="10"/>
      <c r="C284" s="10"/>
      <c r="D284" s="10"/>
      <c r="E284" s="10"/>
      <c r="F284" s="28"/>
      <c r="G284" s="28"/>
      <c r="H284" s="28"/>
      <c r="I284" s="29"/>
      <c r="J284" s="29"/>
      <c r="K284" s="29"/>
      <c r="L284" s="29"/>
      <c r="M284" s="2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0"/>
      <c r="B285" s="10"/>
      <c r="C285" s="10"/>
      <c r="D285" s="10"/>
      <c r="E285" s="10"/>
      <c r="F285" s="28"/>
      <c r="G285" s="28"/>
      <c r="H285" s="28"/>
      <c r="I285" s="29"/>
      <c r="J285" s="29"/>
      <c r="K285" s="29"/>
      <c r="L285" s="29"/>
      <c r="M285" s="2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0"/>
      <c r="B286" s="10"/>
      <c r="C286" s="10"/>
      <c r="D286" s="10"/>
      <c r="E286" s="10"/>
      <c r="F286" s="28"/>
      <c r="G286" s="28"/>
      <c r="H286" s="28"/>
      <c r="I286" s="29"/>
      <c r="J286" s="29"/>
      <c r="K286" s="29"/>
      <c r="L286" s="29"/>
      <c r="M286" s="2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0"/>
      <c r="B287" s="10"/>
      <c r="C287" s="10"/>
      <c r="D287" s="10"/>
      <c r="E287" s="10"/>
      <c r="F287" s="28"/>
      <c r="G287" s="28"/>
      <c r="H287" s="28"/>
      <c r="I287" s="29"/>
      <c r="J287" s="29"/>
      <c r="K287" s="29"/>
      <c r="L287" s="29"/>
      <c r="M287" s="2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0"/>
      <c r="B288" s="10"/>
      <c r="C288" s="10"/>
      <c r="D288" s="10"/>
      <c r="E288" s="10"/>
      <c r="F288" s="28"/>
      <c r="G288" s="28"/>
      <c r="H288" s="28"/>
      <c r="I288" s="29"/>
      <c r="J288" s="29"/>
      <c r="K288" s="29"/>
      <c r="L288" s="29"/>
      <c r="M288" s="2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0"/>
      <c r="B289" s="10"/>
      <c r="C289" s="10"/>
      <c r="D289" s="10"/>
      <c r="E289" s="10"/>
      <c r="F289" s="28"/>
      <c r="G289" s="28"/>
      <c r="H289" s="28"/>
      <c r="I289" s="29"/>
      <c r="J289" s="29"/>
      <c r="K289" s="29"/>
      <c r="L289" s="29"/>
      <c r="M289" s="2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0"/>
      <c r="B290" s="10"/>
      <c r="C290" s="10"/>
      <c r="D290" s="10"/>
      <c r="E290" s="10"/>
      <c r="F290" s="28"/>
      <c r="G290" s="28"/>
      <c r="H290" s="28"/>
      <c r="I290" s="29"/>
      <c r="J290" s="29"/>
      <c r="K290" s="29"/>
      <c r="L290" s="29"/>
      <c r="M290" s="2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0"/>
      <c r="B291" s="10"/>
      <c r="C291" s="10"/>
      <c r="D291" s="10"/>
      <c r="E291" s="10"/>
      <c r="F291" s="28"/>
      <c r="G291" s="28"/>
      <c r="H291" s="28"/>
      <c r="I291" s="29"/>
      <c r="J291" s="29"/>
      <c r="K291" s="29"/>
      <c r="L291" s="29"/>
      <c r="M291" s="2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0"/>
      <c r="B292" s="10"/>
      <c r="C292" s="10"/>
      <c r="D292" s="10"/>
      <c r="E292" s="10"/>
      <c r="F292" s="28"/>
      <c r="G292" s="28"/>
      <c r="H292" s="28"/>
      <c r="I292" s="29"/>
      <c r="J292" s="29"/>
      <c r="K292" s="29"/>
      <c r="L292" s="29"/>
      <c r="M292" s="2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0"/>
      <c r="B293" s="10"/>
      <c r="C293" s="10"/>
      <c r="D293" s="10"/>
      <c r="E293" s="10"/>
      <c r="F293" s="28"/>
      <c r="G293" s="28"/>
      <c r="H293" s="28"/>
      <c r="I293" s="29"/>
      <c r="J293" s="29"/>
      <c r="K293" s="29"/>
      <c r="L293" s="29"/>
      <c r="M293" s="2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0"/>
      <c r="B294" s="10"/>
      <c r="C294" s="10"/>
      <c r="D294" s="10"/>
      <c r="E294" s="10"/>
      <c r="F294" s="28"/>
      <c r="G294" s="28"/>
      <c r="H294" s="28"/>
      <c r="I294" s="29"/>
      <c r="J294" s="29"/>
      <c r="K294" s="29"/>
      <c r="L294" s="29"/>
      <c r="M294" s="2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0"/>
      <c r="B295" s="10"/>
      <c r="C295" s="10"/>
      <c r="D295" s="10"/>
      <c r="E295" s="10"/>
      <c r="F295" s="28"/>
      <c r="G295" s="28"/>
      <c r="H295" s="28"/>
      <c r="I295" s="29"/>
      <c r="J295" s="29"/>
      <c r="K295" s="29"/>
      <c r="L295" s="29"/>
      <c r="M295" s="2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0"/>
      <c r="B296" s="10"/>
      <c r="C296" s="10"/>
      <c r="D296" s="10"/>
      <c r="E296" s="10"/>
      <c r="F296" s="28"/>
      <c r="G296" s="28"/>
      <c r="H296" s="28"/>
      <c r="I296" s="29"/>
      <c r="J296" s="29"/>
      <c r="K296" s="29"/>
      <c r="L296" s="29"/>
      <c r="M296" s="2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0"/>
      <c r="B297" s="10"/>
      <c r="C297" s="10"/>
      <c r="D297" s="10"/>
      <c r="E297" s="10"/>
      <c r="F297" s="28"/>
      <c r="G297" s="28"/>
      <c r="H297" s="28"/>
      <c r="I297" s="29"/>
      <c r="J297" s="29"/>
      <c r="K297" s="29"/>
      <c r="L297" s="29"/>
      <c r="M297" s="2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0"/>
      <c r="B298" s="10"/>
      <c r="C298" s="10"/>
      <c r="D298" s="10"/>
      <c r="E298" s="10"/>
      <c r="F298" s="28"/>
      <c r="G298" s="28"/>
      <c r="H298" s="28"/>
      <c r="I298" s="29"/>
      <c r="J298" s="29"/>
      <c r="K298" s="29"/>
      <c r="L298" s="29"/>
      <c r="M298" s="2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0"/>
      <c r="B299" s="10"/>
      <c r="C299" s="10"/>
      <c r="D299" s="10"/>
      <c r="E299" s="10"/>
      <c r="F299" s="28"/>
      <c r="G299" s="28"/>
      <c r="H299" s="28"/>
      <c r="I299" s="29"/>
      <c r="J299" s="29"/>
      <c r="K299" s="29"/>
      <c r="L299" s="29"/>
      <c r="M299" s="2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0"/>
      <c r="B300" s="10"/>
      <c r="C300" s="10"/>
      <c r="D300" s="10"/>
      <c r="E300" s="10"/>
      <c r="F300" s="28"/>
      <c r="G300" s="28"/>
      <c r="H300" s="28"/>
      <c r="I300" s="29"/>
      <c r="J300" s="29"/>
      <c r="K300" s="29"/>
      <c r="L300" s="29"/>
      <c r="M300" s="2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0"/>
      <c r="B301" s="10"/>
      <c r="C301" s="10"/>
      <c r="D301" s="10"/>
      <c r="E301" s="10"/>
      <c r="F301" s="28"/>
      <c r="G301" s="28"/>
      <c r="H301" s="28"/>
      <c r="I301" s="29"/>
      <c r="J301" s="29"/>
      <c r="K301" s="29"/>
      <c r="L301" s="29"/>
      <c r="M301" s="2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0"/>
      <c r="B302" s="10"/>
      <c r="C302" s="10"/>
      <c r="D302" s="10"/>
      <c r="E302" s="10"/>
      <c r="F302" s="28"/>
      <c r="G302" s="28"/>
      <c r="H302" s="28"/>
      <c r="I302" s="29"/>
      <c r="J302" s="29"/>
      <c r="K302" s="29"/>
      <c r="L302" s="29"/>
      <c r="M302" s="2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0"/>
      <c r="B303" s="10"/>
      <c r="C303" s="10"/>
      <c r="D303" s="10"/>
      <c r="E303" s="10"/>
      <c r="F303" s="28"/>
      <c r="G303" s="28"/>
      <c r="H303" s="28"/>
      <c r="I303" s="29"/>
      <c r="J303" s="29"/>
      <c r="K303" s="29"/>
      <c r="L303" s="29"/>
      <c r="M303" s="2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0"/>
      <c r="B304" s="10"/>
      <c r="C304" s="10"/>
      <c r="D304" s="10"/>
      <c r="E304" s="10"/>
      <c r="F304" s="28"/>
      <c r="G304" s="28"/>
      <c r="H304" s="28"/>
      <c r="I304" s="29"/>
      <c r="J304" s="29"/>
      <c r="K304" s="29"/>
      <c r="L304" s="29"/>
      <c r="M304" s="2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0"/>
      <c r="B305" s="10"/>
      <c r="C305" s="10"/>
      <c r="D305" s="10"/>
      <c r="E305" s="10"/>
      <c r="F305" s="28"/>
      <c r="G305" s="28"/>
      <c r="H305" s="28"/>
      <c r="I305" s="29"/>
      <c r="J305" s="29"/>
      <c r="K305" s="29"/>
      <c r="L305" s="29"/>
      <c r="M305" s="2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0"/>
      <c r="B306" s="10"/>
      <c r="C306" s="10"/>
      <c r="D306" s="10"/>
      <c r="E306" s="10"/>
      <c r="F306" s="28"/>
      <c r="G306" s="28"/>
      <c r="H306" s="28"/>
      <c r="I306" s="29"/>
      <c r="J306" s="29"/>
      <c r="K306" s="29"/>
      <c r="L306" s="29"/>
      <c r="M306" s="2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0"/>
      <c r="B307" s="10"/>
      <c r="C307" s="10"/>
      <c r="D307" s="10"/>
      <c r="E307" s="10"/>
      <c r="F307" s="28"/>
      <c r="G307" s="28"/>
      <c r="H307" s="28"/>
      <c r="I307" s="29"/>
      <c r="J307" s="29"/>
      <c r="K307" s="29"/>
      <c r="L307" s="29"/>
      <c r="M307" s="2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0"/>
      <c r="B308" s="10"/>
      <c r="C308" s="10"/>
      <c r="D308" s="10"/>
      <c r="E308" s="10"/>
      <c r="F308" s="28"/>
      <c r="G308" s="28"/>
      <c r="H308" s="28"/>
      <c r="I308" s="29"/>
      <c r="J308" s="29"/>
      <c r="K308" s="29"/>
      <c r="L308" s="29"/>
      <c r="M308" s="2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0"/>
      <c r="B309" s="10"/>
      <c r="C309" s="10"/>
      <c r="D309" s="10"/>
      <c r="E309" s="10"/>
      <c r="F309" s="28"/>
      <c r="G309" s="28"/>
      <c r="H309" s="28"/>
      <c r="I309" s="29"/>
      <c r="J309" s="29"/>
      <c r="K309" s="29"/>
      <c r="L309" s="29"/>
      <c r="M309" s="2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0"/>
      <c r="B310" s="10"/>
      <c r="C310" s="10"/>
      <c r="D310" s="10"/>
      <c r="E310" s="10"/>
      <c r="F310" s="28"/>
      <c r="G310" s="28"/>
      <c r="H310" s="28"/>
      <c r="I310" s="29"/>
      <c r="J310" s="29"/>
      <c r="K310" s="29"/>
      <c r="L310" s="29"/>
      <c r="M310" s="2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0"/>
      <c r="B311" s="10"/>
      <c r="C311" s="10"/>
      <c r="D311" s="10"/>
      <c r="E311" s="10"/>
      <c r="F311" s="28"/>
      <c r="G311" s="28"/>
      <c r="H311" s="28"/>
      <c r="I311" s="29"/>
      <c r="J311" s="29"/>
      <c r="K311" s="29"/>
      <c r="L311" s="29"/>
      <c r="M311" s="2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0"/>
      <c r="B312" s="10"/>
      <c r="C312" s="10"/>
      <c r="D312" s="10"/>
      <c r="E312" s="10"/>
      <c r="F312" s="28"/>
      <c r="G312" s="28"/>
      <c r="H312" s="28"/>
      <c r="I312" s="29"/>
      <c r="J312" s="29"/>
      <c r="K312" s="29"/>
      <c r="L312" s="29"/>
      <c r="M312" s="2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0"/>
      <c r="B313" s="10"/>
      <c r="C313" s="10"/>
      <c r="D313" s="10"/>
      <c r="E313" s="10"/>
      <c r="F313" s="28"/>
      <c r="G313" s="28"/>
      <c r="H313" s="28"/>
      <c r="I313" s="29"/>
      <c r="J313" s="29"/>
      <c r="K313" s="29"/>
      <c r="L313" s="29"/>
      <c r="M313" s="2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0"/>
      <c r="B314" s="10"/>
      <c r="C314" s="10"/>
      <c r="D314" s="10"/>
      <c r="E314" s="10"/>
      <c r="F314" s="28"/>
      <c r="G314" s="28"/>
      <c r="H314" s="28"/>
      <c r="I314" s="29"/>
      <c r="J314" s="29"/>
      <c r="K314" s="29"/>
      <c r="L314" s="29"/>
      <c r="M314" s="2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0"/>
      <c r="B315" s="10"/>
      <c r="C315" s="10"/>
      <c r="D315" s="10"/>
      <c r="E315" s="10"/>
      <c r="F315" s="28"/>
      <c r="G315" s="28"/>
      <c r="H315" s="28"/>
      <c r="I315" s="29"/>
      <c r="J315" s="29"/>
      <c r="K315" s="29"/>
      <c r="L315" s="29"/>
      <c r="M315" s="2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0"/>
      <c r="B316" s="10"/>
      <c r="C316" s="10"/>
      <c r="D316" s="10"/>
      <c r="E316" s="10"/>
      <c r="F316" s="28"/>
      <c r="G316" s="28"/>
      <c r="H316" s="28"/>
      <c r="I316" s="29"/>
      <c r="J316" s="29"/>
      <c r="K316" s="29"/>
      <c r="L316" s="29"/>
      <c r="M316" s="2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0"/>
      <c r="B317" s="10"/>
      <c r="C317" s="10"/>
      <c r="D317" s="10"/>
      <c r="E317" s="10"/>
      <c r="F317" s="28"/>
      <c r="G317" s="28"/>
      <c r="H317" s="28"/>
      <c r="I317" s="29"/>
      <c r="J317" s="29"/>
      <c r="K317" s="29"/>
      <c r="L317" s="29"/>
      <c r="M317" s="2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0"/>
      <c r="B318" s="10"/>
      <c r="C318" s="10"/>
      <c r="D318" s="10"/>
      <c r="E318" s="10"/>
      <c r="F318" s="28"/>
      <c r="G318" s="28"/>
      <c r="H318" s="28"/>
      <c r="I318" s="29"/>
      <c r="J318" s="29"/>
      <c r="K318" s="29"/>
      <c r="L318" s="29"/>
      <c r="M318" s="2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0"/>
      <c r="B319" s="10"/>
      <c r="C319" s="10"/>
      <c r="D319" s="10"/>
      <c r="E319" s="10"/>
      <c r="F319" s="28"/>
      <c r="G319" s="28"/>
      <c r="H319" s="28"/>
      <c r="I319" s="29"/>
      <c r="J319" s="29"/>
      <c r="K319" s="29"/>
      <c r="L319" s="29"/>
      <c r="M319" s="2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0"/>
      <c r="B320" s="10"/>
      <c r="C320" s="10"/>
      <c r="D320" s="10"/>
      <c r="E320" s="10"/>
      <c r="F320" s="28"/>
      <c r="G320" s="28"/>
      <c r="H320" s="28"/>
      <c r="I320" s="29"/>
      <c r="J320" s="29"/>
      <c r="K320" s="29"/>
      <c r="L320" s="29"/>
      <c r="M320" s="2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0"/>
      <c r="B321" s="10"/>
      <c r="C321" s="10"/>
      <c r="D321" s="10"/>
      <c r="E321" s="10"/>
      <c r="F321" s="28"/>
      <c r="G321" s="28"/>
      <c r="H321" s="28"/>
      <c r="I321" s="29"/>
      <c r="J321" s="29"/>
      <c r="K321" s="29"/>
      <c r="L321" s="29"/>
      <c r="M321" s="2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0"/>
      <c r="B322" s="10"/>
      <c r="C322" s="10"/>
      <c r="D322" s="10"/>
      <c r="E322" s="10"/>
      <c r="F322" s="28"/>
      <c r="G322" s="28"/>
      <c r="H322" s="28"/>
      <c r="I322" s="29"/>
      <c r="J322" s="29"/>
      <c r="K322" s="29"/>
      <c r="L322" s="29"/>
      <c r="M322" s="2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0"/>
      <c r="B323" s="10"/>
      <c r="C323" s="10"/>
      <c r="D323" s="10"/>
      <c r="E323" s="10"/>
      <c r="F323" s="28"/>
      <c r="G323" s="28"/>
      <c r="H323" s="28"/>
      <c r="I323" s="29"/>
      <c r="J323" s="29"/>
      <c r="K323" s="29"/>
      <c r="L323" s="29"/>
      <c r="M323" s="2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0"/>
      <c r="B324" s="10"/>
      <c r="C324" s="10"/>
      <c r="D324" s="10"/>
      <c r="E324" s="10"/>
      <c r="F324" s="28"/>
      <c r="G324" s="28"/>
      <c r="H324" s="28"/>
      <c r="I324" s="29"/>
      <c r="J324" s="29"/>
      <c r="K324" s="29"/>
      <c r="L324" s="29"/>
      <c r="M324" s="2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0"/>
      <c r="B325" s="10"/>
      <c r="C325" s="10"/>
      <c r="D325" s="10"/>
      <c r="E325" s="10"/>
      <c r="F325" s="28"/>
      <c r="G325" s="28"/>
      <c r="H325" s="28"/>
      <c r="I325" s="29"/>
      <c r="J325" s="29"/>
      <c r="K325" s="29"/>
      <c r="L325" s="29"/>
      <c r="M325" s="2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0"/>
      <c r="B326" s="10"/>
      <c r="C326" s="10"/>
      <c r="D326" s="10"/>
      <c r="E326" s="10"/>
      <c r="F326" s="28"/>
      <c r="G326" s="28"/>
      <c r="H326" s="28"/>
      <c r="I326" s="29"/>
      <c r="J326" s="29"/>
      <c r="K326" s="29"/>
      <c r="L326" s="29"/>
      <c r="M326" s="2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0"/>
      <c r="B327" s="10"/>
      <c r="C327" s="10"/>
      <c r="D327" s="10"/>
      <c r="E327" s="10"/>
      <c r="F327" s="28"/>
      <c r="G327" s="28"/>
      <c r="H327" s="28"/>
      <c r="I327" s="29"/>
      <c r="J327" s="29"/>
      <c r="K327" s="29"/>
      <c r="L327" s="29"/>
      <c r="M327" s="2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0"/>
      <c r="B328" s="10"/>
      <c r="C328" s="10"/>
      <c r="D328" s="10"/>
      <c r="E328" s="10"/>
      <c r="F328" s="28"/>
      <c r="G328" s="28"/>
      <c r="H328" s="28"/>
      <c r="I328" s="29"/>
      <c r="J328" s="29"/>
      <c r="K328" s="29"/>
      <c r="L328" s="29"/>
      <c r="M328" s="2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0"/>
      <c r="B329" s="10"/>
      <c r="C329" s="10"/>
      <c r="D329" s="10"/>
      <c r="E329" s="10"/>
      <c r="F329" s="28"/>
      <c r="G329" s="28"/>
      <c r="H329" s="28"/>
      <c r="I329" s="29"/>
      <c r="J329" s="29"/>
      <c r="K329" s="29"/>
      <c r="L329" s="29"/>
      <c r="M329" s="2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0"/>
      <c r="B330" s="10"/>
      <c r="C330" s="10"/>
      <c r="D330" s="10"/>
      <c r="E330" s="10"/>
      <c r="F330" s="28"/>
      <c r="G330" s="28"/>
      <c r="H330" s="28"/>
      <c r="I330" s="29"/>
      <c r="J330" s="29"/>
      <c r="K330" s="29"/>
      <c r="L330" s="29"/>
      <c r="M330" s="2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0"/>
      <c r="B331" s="10"/>
      <c r="C331" s="10"/>
      <c r="D331" s="10"/>
      <c r="E331" s="10"/>
      <c r="F331" s="28"/>
      <c r="G331" s="28"/>
      <c r="H331" s="28"/>
      <c r="I331" s="29"/>
      <c r="J331" s="29"/>
      <c r="K331" s="29"/>
      <c r="L331" s="29"/>
      <c r="M331" s="2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0"/>
      <c r="B332" s="10"/>
      <c r="C332" s="10"/>
      <c r="D332" s="10"/>
      <c r="E332" s="10"/>
      <c r="F332" s="28"/>
      <c r="G332" s="28"/>
      <c r="H332" s="28"/>
      <c r="I332" s="29"/>
      <c r="J332" s="29"/>
      <c r="K332" s="29"/>
      <c r="L332" s="29"/>
      <c r="M332" s="2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0"/>
      <c r="B333" s="10"/>
      <c r="C333" s="10"/>
      <c r="D333" s="10"/>
      <c r="E333" s="10"/>
      <c r="F333" s="28"/>
      <c r="G333" s="28"/>
      <c r="H333" s="28"/>
      <c r="I333" s="29"/>
      <c r="J333" s="29"/>
      <c r="K333" s="29"/>
      <c r="L333" s="29"/>
      <c r="M333" s="2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0"/>
      <c r="B334" s="10"/>
      <c r="C334" s="10"/>
      <c r="D334" s="10"/>
      <c r="E334" s="10"/>
      <c r="F334" s="28"/>
      <c r="G334" s="28"/>
      <c r="H334" s="28"/>
      <c r="I334" s="29"/>
      <c r="J334" s="29"/>
      <c r="K334" s="29"/>
      <c r="L334" s="29"/>
      <c r="M334" s="2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0"/>
      <c r="B335" s="10"/>
      <c r="C335" s="10"/>
      <c r="D335" s="10"/>
      <c r="E335" s="10"/>
      <c r="F335" s="28"/>
      <c r="G335" s="28"/>
      <c r="H335" s="28"/>
      <c r="I335" s="29"/>
      <c r="J335" s="29"/>
      <c r="K335" s="29"/>
      <c r="L335" s="29"/>
      <c r="M335" s="2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0"/>
      <c r="B336" s="10"/>
      <c r="C336" s="10"/>
      <c r="D336" s="10"/>
      <c r="E336" s="10"/>
      <c r="F336" s="28"/>
      <c r="G336" s="28"/>
      <c r="H336" s="28"/>
      <c r="I336" s="29"/>
      <c r="J336" s="29"/>
      <c r="K336" s="29"/>
      <c r="L336" s="29"/>
      <c r="M336" s="2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0"/>
      <c r="B337" s="10"/>
      <c r="C337" s="10"/>
      <c r="D337" s="10"/>
      <c r="E337" s="10"/>
      <c r="F337" s="28"/>
      <c r="G337" s="28"/>
      <c r="H337" s="28"/>
      <c r="I337" s="29"/>
      <c r="J337" s="29"/>
      <c r="K337" s="29"/>
      <c r="L337" s="29"/>
      <c r="M337" s="2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0"/>
      <c r="B338" s="10"/>
      <c r="C338" s="10"/>
      <c r="D338" s="10"/>
      <c r="E338" s="10"/>
      <c r="F338" s="28"/>
      <c r="G338" s="28"/>
      <c r="H338" s="28"/>
      <c r="I338" s="29"/>
      <c r="J338" s="29"/>
      <c r="K338" s="29"/>
      <c r="L338" s="29"/>
      <c r="M338" s="2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0"/>
      <c r="B339" s="10"/>
      <c r="C339" s="10"/>
      <c r="D339" s="10"/>
      <c r="E339" s="10"/>
      <c r="F339" s="28"/>
      <c r="G339" s="28"/>
      <c r="H339" s="28"/>
      <c r="I339" s="29"/>
      <c r="J339" s="29"/>
      <c r="K339" s="29"/>
      <c r="L339" s="29"/>
      <c r="M339" s="2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0"/>
      <c r="B340" s="10"/>
      <c r="C340" s="10"/>
      <c r="D340" s="10"/>
      <c r="E340" s="10"/>
      <c r="F340" s="28"/>
      <c r="G340" s="28"/>
      <c r="H340" s="28"/>
      <c r="I340" s="29"/>
      <c r="J340" s="29"/>
      <c r="K340" s="29"/>
      <c r="L340" s="29"/>
      <c r="M340" s="2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0"/>
      <c r="B341" s="10"/>
      <c r="C341" s="10"/>
      <c r="D341" s="10"/>
      <c r="E341" s="10"/>
      <c r="F341" s="28"/>
      <c r="G341" s="28"/>
      <c r="H341" s="28"/>
      <c r="I341" s="29"/>
      <c r="J341" s="29"/>
      <c r="K341" s="29"/>
      <c r="L341" s="29"/>
      <c r="M341" s="2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0"/>
      <c r="B342" s="10"/>
      <c r="C342" s="10"/>
      <c r="D342" s="10"/>
      <c r="E342" s="10"/>
      <c r="F342" s="28"/>
      <c r="G342" s="28"/>
      <c r="H342" s="28"/>
      <c r="I342" s="29"/>
      <c r="J342" s="29"/>
      <c r="K342" s="29"/>
      <c r="L342" s="29"/>
      <c r="M342" s="2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0"/>
      <c r="B343" s="10"/>
      <c r="C343" s="10"/>
      <c r="D343" s="10"/>
      <c r="E343" s="10"/>
      <c r="F343" s="28"/>
      <c r="G343" s="28"/>
      <c r="H343" s="28"/>
      <c r="I343" s="29"/>
      <c r="J343" s="29"/>
      <c r="K343" s="29"/>
      <c r="L343" s="29"/>
      <c r="M343" s="2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0"/>
      <c r="B344" s="10"/>
      <c r="C344" s="10"/>
      <c r="D344" s="10"/>
      <c r="E344" s="10"/>
      <c r="F344" s="28"/>
      <c r="G344" s="28"/>
      <c r="H344" s="28"/>
      <c r="I344" s="29"/>
      <c r="J344" s="29"/>
      <c r="K344" s="29"/>
      <c r="L344" s="29"/>
      <c r="M344" s="2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0"/>
      <c r="B345" s="10"/>
      <c r="C345" s="10"/>
      <c r="D345" s="10"/>
      <c r="E345" s="10"/>
      <c r="F345" s="28"/>
      <c r="G345" s="28"/>
      <c r="H345" s="28"/>
      <c r="I345" s="29"/>
      <c r="J345" s="29"/>
      <c r="K345" s="29"/>
      <c r="L345" s="29"/>
      <c r="M345" s="2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0"/>
      <c r="B346" s="10"/>
      <c r="C346" s="10"/>
      <c r="D346" s="10"/>
      <c r="E346" s="10"/>
      <c r="F346" s="28"/>
      <c r="G346" s="28"/>
      <c r="H346" s="28"/>
      <c r="I346" s="29"/>
      <c r="J346" s="29"/>
      <c r="K346" s="29"/>
      <c r="L346" s="29"/>
      <c r="M346" s="2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0"/>
      <c r="B347" s="10"/>
      <c r="C347" s="10"/>
      <c r="D347" s="10"/>
      <c r="E347" s="10"/>
      <c r="F347" s="28"/>
      <c r="G347" s="28"/>
      <c r="H347" s="28"/>
      <c r="I347" s="29"/>
      <c r="J347" s="29"/>
      <c r="K347" s="29"/>
      <c r="L347" s="29"/>
      <c r="M347" s="2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0"/>
      <c r="B348" s="10"/>
      <c r="C348" s="10"/>
      <c r="D348" s="10"/>
      <c r="E348" s="10"/>
      <c r="F348" s="28"/>
      <c r="G348" s="28"/>
      <c r="H348" s="28"/>
      <c r="I348" s="29"/>
      <c r="J348" s="29"/>
      <c r="K348" s="29"/>
      <c r="L348" s="29"/>
      <c r="M348" s="2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0"/>
      <c r="B349" s="10"/>
      <c r="C349" s="10"/>
      <c r="D349" s="10"/>
      <c r="E349" s="10"/>
      <c r="F349" s="28"/>
      <c r="G349" s="28"/>
      <c r="H349" s="28"/>
      <c r="I349" s="29"/>
      <c r="J349" s="29"/>
      <c r="K349" s="29"/>
      <c r="L349" s="29"/>
      <c r="M349" s="2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0"/>
      <c r="B350" s="10"/>
      <c r="C350" s="10"/>
      <c r="D350" s="10"/>
      <c r="E350" s="10"/>
      <c r="F350" s="28"/>
      <c r="G350" s="28"/>
      <c r="H350" s="28"/>
      <c r="I350" s="29"/>
      <c r="J350" s="29"/>
      <c r="K350" s="29"/>
      <c r="L350" s="29"/>
      <c r="M350" s="2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0"/>
      <c r="B351" s="10"/>
      <c r="C351" s="10"/>
      <c r="D351" s="10"/>
      <c r="E351" s="10"/>
      <c r="F351" s="28"/>
      <c r="G351" s="28"/>
      <c r="H351" s="28"/>
      <c r="I351" s="29"/>
      <c r="J351" s="29"/>
      <c r="K351" s="29"/>
      <c r="L351" s="29"/>
      <c r="M351" s="2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0"/>
      <c r="B352" s="10"/>
      <c r="C352" s="10"/>
      <c r="D352" s="10"/>
      <c r="E352" s="10"/>
      <c r="F352" s="28"/>
      <c r="G352" s="28"/>
      <c r="H352" s="28"/>
      <c r="I352" s="29"/>
      <c r="J352" s="29"/>
      <c r="K352" s="29"/>
      <c r="L352" s="29"/>
      <c r="M352" s="2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0"/>
      <c r="B353" s="10"/>
      <c r="C353" s="10"/>
      <c r="D353" s="10"/>
      <c r="E353" s="10"/>
      <c r="F353" s="28"/>
      <c r="G353" s="28"/>
      <c r="H353" s="28"/>
      <c r="I353" s="29"/>
      <c r="J353" s="29"/>
      <c r="K353" s="29"/>
      <c r="L353" s="29"/>
      <c r="M353" s="2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0"/>
      <c r="B354" s="10"/>
      <c r="C354" s="10"/>
      <c r="D354" s="10"/>
      <c r="E354" s="10"/>
      <c r="F354" s="28"/>
      <c r="G354" s="28"/>
      <c r="H354" s="28"/>
      <c r="I354" s="29"/>
      <c r="J354" s="29"/>
      <c r="K354" s="29"/>
      <c r="L354" s="29"/>
      <c r="M354" s="2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0"/>
      <c r="B355" s="10"/>
      <c r="C355" s="10"/>
      <c r="D355" s="10"/>
      <c r="E355" s="10"/>
      <c r="F355" s="28"/>
      <c r="G355" s="28"/>
      <c r="H355" s="28"/>
      <c r="I355" s="29"/>
      <c r="J355" s="29"/>
      <c r="K355" s="29"/>
      <c r="L355" s="29"/>
      <c r="M355" s="2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0"/>
      <c r="B356" s="10"/>
      <c r="C356" s="10"/>
      <c r="D356" s="10"/>
      <c r="E356" s="10"/>
      <c r="F356" s="28"/>
      <c r="G356" s="28"/>
      <c r="H356" s="28"/>
      <c r="I356" s="29"/>
      <c r="J356" s="29"/>
      <c r="K356" s="29"/>
      <c r="L356" s="29"/>
      <c r="M356" s="2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0"/>
      <c r="B357" s="10"/>
      <c r="C357" s="10"/>
      <c r="D357" s="10"/>
      <c r="E357" s="10"/>
      <c r="F357" s="28"/>
      <c r="G357" s="28"/>
      <c r="H357" s="28"/>
      <c r="I357" s="29"/>
      <c r="J357" s="29"/>
      <c r="K357" s="29"/>
      <c r="L357" s="29"/>
      <c r="M357" s="2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0"/>
      <c r="B358" s="10"/>
      <c r="C358" s="10"/>
      <c r="D358" s="10"/>
      <c r="E358" s="10"/>
      <c r="F358" s="28"/>
      <c r="G358" s="28"/>
      <c r="H358" s="28"/>
      <c r="I358" s="29"/>
      <c r="J358" s="29"/>
      <c r="K358" s="29"/>
      <c r="L358" s="29"/>
      <c r="M358" s="2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0"/>
      <c r="B359" s="10"/>
      <c r="C359" s="10"/>
      <c r="D359" s="10"/>
      <c r="E359" s="10"/>
      <c r="F359" s="28"/>
      <c r="G359" s="28"/>
      <c r="H359" s="28"/>
      <c r="I359" s="29"/>
      <c r="J359" s="29"/>
      <c r="K359" s="29"/>
      <c r="L359" s="29"/>
      <c r="M359" s="2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0"/>
      <c r="B360" s="10"/>
      <c r="C360" s="10"/>
      <c r="D360" s="10"/>
      <c r="E360" s="10"/>
      <c r="F360" s="28"/>
      <c r="G360" s="28"/>
      <c r="H360" s="28"/>
      <c r="I360" s="29"/>
      <c r="J360" s="29"/>
      <c r="K360" s="29"/>
      <c r="L360" s="29"/>
      <c r="M360" s="2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0"/>
      <c r="B361" s="10"/>
      <c r="C361" s="10"/>
      <c r="D361" s="10"/>
      <c r="E361" s="10"/>
      <c r="F361" s="28"/>
      <c r="G361" s="28"/>
      <c r="H361" s="28"/>
      <c r="I361" s="29"/>
      <c r="J361" s="29"/>
      <c r="K361" s="29"/>
      <c r="L361" s="29"/>
      <c r="M361" s="2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0"/>
      <c r="B362" s="10"/>
      <c r="C362" s="10"/>
      <c r="D362" s="10"/>
      <c r="E362" s="10"/>
      <c r="F362" s="28"/>
      <c r="G362" s="28"/>
      <c r="H362" s="28"/>
      <c r="I362" s="29"/>
      <c r="J362" s="29"/>
      <c r="K362" s="29"/>
      <c r="L362" s="29"/>
      <c r="M362" s="2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0"/>
      <c r="B363" s="10"/>
      <c r="C363" s="10"/>
      <c r="D363" s="10"/>
      <c r="E363" s="10"/>
      <c r="F363" s="28"/>
      <c r="G363" s="28"/>
      <c r="H363" s="28"/>
      <c r="I363" s="29"/>
      <c r="J363" s="29"/>
      <c r="K363" s="29"/>
      <c r="L363" s="29"/>
      <c r="M363" s="2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0"/>
      <c r="B364" s="10"/>
      <c r="C364" s="10"/>
      <c r="D364" s="10"/>
      <c r="E364" s="10"/>
      <c r="F364" s="28"/>
      <c r="G364" s="28"/>
      <c r="H364" s="28"/>
      <c r="I364" s="29"/>
      <c r="J364" s="29"/>
      <c r="K364" s="29"/>
      <c r="L364" s="29"/>
      <c r="M364" s="2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0"/>
      <c r="B365" s="10"/>
      <c r="C365" s="10"/>
      <c r="D365" s="10"/>
      <c r="E365" s="10"/>
      <c r="F365" s="28"/>
      <c r="G365" s="28"/>
      <c r="H365" s="28"/>
      <c r="I365" s="29"/>
      <c r="J365" s="29"/>
      <c r="K365" s="29"/>
      <c r="L365" s="29"/>
      <c r="M365" s="2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0"/>
      <c r="B366" s="10"/>
      <c r="C366" s="10"/>
      <c r="D366" s="10"/>
      <c r="E366" s="10"/>
      <c r="F366" s="28"/>
      <c r="G366" s="28"/>
      <c r="H366" s="28"/>
      <c r="I366" s="29"/>
      <c r="J366" s="29"/>
      <c r="K366" s="29"/>
      <c r="L366" s="29"/>
      <c r="M366" s="2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0"/>
      <c r="B367" s="10"/>
      <c r="C367" s="10"/>
      <c r="D367" s="10"/>
      <c r="E367" s="10"/>
      <c r="F367" s="28"/>
      <c r="G367" s="28"/>
      <c r="H367" s="28"/>
      <c r="I367" s="29"/>
      <c r="J367" s="29"/>
      <c r="K367" s="29"/>
      <c r="L367" s="29"/>
      <c r="M367" s="2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0"/>
      <c r="B368" s="10"/>
      <c r="C368" s="10"/>
      <c r="D368" s="10"/>
      <c r="E368" s="10"/>
      <c r="F368" s="28"/>
      <c r="G368" s="28"/>
      <c r="H368" s="28"/>
      <c r="I368" s="29"/>
      <c r="J368" s="29"/>
      <c r="K368" s="29"/>
      <c r="L368" s="29"/>
      <c r="M368" s="2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0"/>
      <c r="B369" s="10"/>
      <c r="C369" s="10"/>
      <c r="D369" s="10"/>
      <c r="E369" s="10"/>
      <c r="F369" s="28"/>
      <c r="G369" s="28"/>
      <c r="H369" s="28"/>
      <c r="I369" s="29"/>
      <c r="J369" s="29"/>
      <c r="K369" s="29"/>
      <c r="L369" s="29"/>
      <c r="M369" s="2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0"/>
      <c r="B370" s="10"/>
      <c r="C370" s="10"/>
      <c r="D370" s="10"/>
      <c r="E370" s="10"/>
      <c r="F370" s="28"/>
      <c r="G370" s="28"/>
      <c r="H370" s="28"/>
      <c r="I370" s="29"/>
      <c r="J370" s="29"/>
      <c r="K370" s="29"/>
      <c r="L370" s="29"/>
      <c r="M370" s="2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0"/>
      <c r="B371" s="10"/>
      <c r="C371" s="10"/>
      <c r="D371" s="10"/>
      <c r="E371" s="10"/>
      <c r="F371" s="28"/>
      <c r="G371" s="28"/>
      <c r="H371" s="28"/>
      <c r="I371" s="29"/>
      <c r="J371" s="29"/>
      <c r="K371" s="29"/>
      <c r="L371" s="29"/>
      <c r="M371" s="2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0"/>
      <c r="B372" s="10"/>
      <c r="C372" s="10"/>
      <c r="D372" s="10"/>
      <c r="E372" s="10"/>
      <c r="F372" s="28"/>
      <c r="G372" s="28"/>
      <c r="H372" s="28"/>
      <c r="I372" s="29"/>
      <c r="J372" s="29"/>
      <c r="K372" s="29"/>
      <c r="L372" s="29"/>
      <c r="M372" s="2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0"/>
      <c r="B373" s="10"/>
      <c r="C373" s="10"/>
      <c r="D373" s="10"/>
      <c r="E373" s="10"/>
      <c r="F373" s="28"/>
      <c r="G373" s="28"/>
      <c r="H373" s="28"/>
      <c r="I373" s="29"/>
      <c r="J373" s="29"/>
      <c r="K373" s="29"/>
      <c r="L373" s="29"/>
      <c r="M373" s="2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0"/>
      <c r="B374" s="10"/>
      <c r="C374" s="10"/>
      <c r="D374" s="10"/>
      <c r="E374" s="10"/>
      <c r="F374" s="28"/>
      <c r="G374" s="28"/>
      <c r="H374" s="28"/>
      <c r="I374" s="29"/>
      <c r="J374" s="29"/>
      <c r="K374" s="29"/>
      <c r="L374" s="29"/>
      <c r="M374" s="2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0"/>
      <c r="B375" s="10"/>
      <c r="C375" s="10"/>
      <c r="D375" s="10"/>
      <c r="E375" s="10"/>
      <c r="F375" s="28"/>
      <c r="G375" s="28"/>
      <c r="H375" s="28"/>
      <c r="I375" s="29"/>
      <c r="J375" s="29"/>
      <c r="K375" s="29"/>
      <c r="L375" s="29"/>
      <c r="M375" s="2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0"/>
      <c r="B376" s="10"/>
      <c r="C376" s="10"/>
      <c r="D376" s="10"/>
      <c r="E376" s="10"/>
      <c r="F376" s="28"/>
      <c r="G376" s="28"/>
      <c r="H376" s="28"/>
      <c r="I376" s="29"/>
      <c r="J376" s="29"/>
      <c r="K376" s="29"/>
      <c r="L376" s="29"/>
      <c r="M376" s="2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0"/>
      <c r="B377" s="10"/>
      <c r="C377" s="10"/>
      <c r="D377" s="10"/>
      <c r="E377" s="10"/>
      <c r="F377" s="28"/>
      <c r="G377" s="28"/>
      <c r="H377" s="28"/>
      <c r="I377" s="29"/>
      <c r="J377" s="29"/>
      <c r="K377" s="29"/>
      <c r="L377" s="29"/>
      <c r="M377" s="2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0"/>
      <c r="B378" s="10"/>
      <c r="C378" s="10"/>
      <c r="D378" s="10"/>
      <c r="E378" s="10"/>
      <c r="F378" s="28"/>
      <c r="G378" s="28"/>
      <c r="H378" s="28"/>
      <c r="I378" s="29"/>
      <c r="J378" s="29"/>
      <c r="K378" s="29"/>
      <c r="L378" s="29"/>
      <c r="M378" s="2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0"/>
      <c r="B379" s="10"/>
      <c r="C379" s="10"/>
      <c r="D379" s="10"/>
      <c r="E379" s="10"/>
      <c r="F379" s="28"/>
      <c r="G379" s="28"/>
      <c r="H379" s="28"/>
      <c r="I379" s="29"/>
      <c r="J379" s="29"/>
      <c r="K379" s="29"/>
      <c r="L379" s="29"/>
      <c r="M379" s="2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0"/>
      <c r="B380" s="10"/>
      <c r="C380" s="10"/>
      <c r="D380" s="10"/>
      <c r="E380" s="10"/>
      <c r="F380" s="28"/>
      <c r="G380" s="28"/>
      <c r="H380" s="28"/>
      <c r="I380" s="29"/>
      <c r="J380" s="29"/>
      <c r="K380" s="29"/>
      <c r="L380" s="29"/>
      <c r="M380" s="2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0"/>
      <c r="B381" s="10"/>
      <c r="C381" s="10"/>
      <c r="D381" s="10"/>
      <c r="E381" s="10"/>
      <c r="F381" s="28"/>
      <c r="G381" s="28"/>
      <c r="H381" s="28"/>
      <c r="I381" s="29"/>
      <c r="J381" s="29"/>
      <c r="K381" s="29"/>
      <c r="L381" s="29"/>
      <c r="M381" s="2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0"/>
      <c r="B382" s="10"/>
      <c r="C382" s="10"/>
      <c r="D382" s="10"/>
      <c r="E382" s="10"/>
      <c r="F382" s="28"/>
      <c r="G382" s="28"/>
      <c r="H382" s="28"/>
      <c r="I382" s="29"/>
      <c r="J382" s="29"/>
      <c r="K382" s="29"/>
      <c r="L382" s="29"/>
      <c r="M382" s="2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0"/>
      <c r="B383" s="10"/>
      <c r="C383" s="10"/>
      <c r="D383" s="10"/>
      <c r="E383" s="10"/>
      <c r="F383" s="28"/>
      <c r="G383" s="28"/>
      <c r="H383" s="28"/>
      <c r="I383" s="29"/>
      <c r="J383" s="29"/>
      <c r="K383" s="29"/>
      <c r="L383" s="29"/>
      <c r="M383" s="2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0"/>
      <c r="B384" s="10"/>
      <c r="C384" s="10"/>
      <c r="D384" s="10"/>
      <c r="E384" s="10"/>
      <c r="F384" s="28"/>
      <c r="G384" s="28"/>
      <c r="H384" s="28"/>
      <c r="I384" s="29"/>
      <c r="J384" s="29"/>
      <c r="K384" s="29"/>
      <c r="L384" s="29"/>
      <c r="M384" s="2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0"/>
      <c r="B385" s="10"/>
      <c r="C385" s="10"/>
      <c r="D385" s="10"/>
      <c r="E385" s="10"/>
      <c r="F385" s="28"/>
      <c r="G385" s="28"/>
      <c r="H385" s="28"/>
      <c r="I385" s="29"/>
      <c r="J385" s="29"/>
      <c r="K385" s="29"/>
      <c r="L385" s="29"/>
      <c r="M385" s="2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0"/>
      <c r="B386" s="10"/>
      <c r="C386" s="10"/>
      <c r="D386" s="10"/>
      <c r="E386" s="10"/>
      <c r="F386" s="28"/>
      <c r="G386" s="28"/>
      <c r="H386" s="28"/>
      <c r="I386" s="29"/>
      <c r="J386" s="29"/>
      <c r="K386" s="29"/>
      <c r="L386" s="29"/>
      <c r="M386" s="2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0"/>
      <c r="B387" s="10"/>
      <c r="C387" s="10"/>
      <c r="D387" s="10"/>
      <c r="E387" s="10"/>
      <c r="F387" s="28"/>
      <c r="G387" s="28"/>
      <c r="H387" s="28"/>
      <c r="I387" s="29"/>
      <c r="J387" s="29"/>
      <c r="K387" s="29"/>
      <c r="L387" s="29"/>
      <c r="M387" s="2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0"/>
      <c r="B388" s="10"/>
      <c r="C388" s="10"/>
      <c r="D388" s="10"/>
      <c r="E388" s="10"/>
      <c r="F388" s="28"/>
      <c r="G388" s="28"/>
      <c r="H388" s="28"/>
      <c r="I388" s="29"/>
      <c r="J388" s="29"/>
      <c r="K388" s="29"/>
      <c r="L388" s="29"/>
      <c r="M388" s="2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0"/>
      <c r="B389" s="10"/>
      <c r="C389" s="10"/>
      <c r="D389" s="10"/>
      <c r="E389" s="10"/>
      <c r="F389" s="28"/>
      <c r="G389" s="28"/>
      <c r="H389" s="28"/>
      <c r="I389" s="29"/>
      <c r="J389" s="29"/>
      <c r="K389" s="29"/>
      <c r="L389" s="29"/>
      <c r="M389" s="2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0"/>
      <c r="B390" s="10"/>
      <c r="C390" s="10"/>
      <c r="D390" s="10"/>
      <c r="E390" s="10"/>
      <c r="F390" s="28"/>
      <c r="G390" s="28"/>
      <c r="H390" s="28"/>
      <c r="I390" s="29"/>
      <c r="J390" s="29"/>
      <c r="K390" s="29"/>
      <c r="L390" s="29"/>
      <c r="M390" s="2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0"/>
      <c r="B391" s="10"/>
      <c r="C391" s="10"/>
      <c r="D391" s="10"/>
      <c r="E391" s="10"/>
      <c r="F391" s="28"/>
      <c r="G391" s="28"/>
      <c r="H391" s="28"/>
      <c r="I391" s="29"/>
      <c r="J391" s="29"/>
      <c r="K391" s="29"/>
      <c r="L391" s="29"/>
      <c r="M391" s="2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0"/>
      <c r="B392" s="10"/>
      <c r="C392" s="10"/>
      <c r="D392" s="10"/>
      <c r="E392" s="10"/>
      <c r="F392" s="28"/>
      <c r="G392" s="28"/>
      <c r="H392" s="28"/>
      <c r="I392" s="29"/>
      <c r="J392" s="29"/>
      <c r="K392" s="29"/>
      <c r="L392" s="29"/>
      <c r="M392" s="2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0"/>
      <c r="B393" s="10"/>
      <c r="C393" s="10"/>
      <c r="D393" s="10"/>
      <c r="E393" s="10"/>
      <c r="F393" s="28"/>
      <c r="G393" s="28"/>
      <c r="H393" s="28"/>
      <c r="I393" s="29"/>
      <c r="J393" s="29"/>
      <c r="K393" s="29"/>
      <c r="L393" s="29"/>
      <c r="M393" s="2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0"/>
      <c r="B394" s="10"/>
      <c r="C394" s="10"/>
      <c r="D394" s="10"/>
      <c r="E394" s="10"/>
      <c r="F394" s="28"/>
      <c r="G394" s="28"/>
      <c r="H394" s="28"/>
      <c r="I394" s="29"/>
      <c r="J394" s="29"/>
      <c r="K394" s="29"/>
      <c r="L394" s="29"/>
      <c r="M394" s="2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0"/>
      <c r="B395" s="10"/>
      <c r="C395" s="10"/>
      <c r="D395" s="10"/>
      <c r="E395" s="10"/>
      <c r="F395" s="28"/>
      <c r="G395" s="28"/>
      <c r="H395" s="28"/>
      <c r="I395" s="29"/>
      <c r="J395" s="29"/>
      <c r="K395" s="29"/>
      <c r="L395" s="29"/>
      <c r="M395" s="2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0"/>
      <c r="B396" s="10"/>
      <c r="C396" s="10"/>
      <c r="D396" s="10"/>
      <c r="E396" s="10"/>
      <c r="F396" s="28"/>
      <c r="G396" s="28"/>
      <c r="H396" s="28"/>
      <c r="I396" s="29"/>
      <c r="J396" s="29"/>
      <c r="K396" s="29"/>
      <c r="L396" s="29"/>
      <c r="M396" s="2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0"/>
      <c r="B397" s="10"/>
      <c r="C397" s="10"/>
      <c r="D397" s="10"/>
      <c r="E397" s="10"/>
      <c r="F397" s="28"/>
      <c r="G397" s="28"/>
      <c r="H397" s="28"/>
      <c r="I397" s="29"/>
      <c r="J397" s="29"/>
      <c r="K397" s="29"/>
      <c r="L397" s="29"/>
      <c r="M397" s="2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0"/>
      <c r="B398" s="10"/>
      <c r="C398" s="10"/>
      <c r="D398" s="10"/>
      <c r="E398" s="10"/>
      <c r="F398" s="28"/>
      <c r="G398" s="28"/>
      <c r="H398" s="28"/>
      <c r="I398" s="29"/>
      <c r="J398" s="29"/>
      <c r="K398" s="29"/>
      <c r="L398" s="29"/>
      <c r="M398" s="2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0"/>
      <c r="B399" s="10"/>
      <c r="C399" s="10"/>
      <c r="D399" s="10"/>
      <c r="E399" s="10"/>
      <c r="F399" s="28"/>
      <c r="G399" s="28"/>
      <c r="H399" s="28"/>
      <c r="I399" s="29"/>
      <c r="J399" s="29"/>
      <c r="K399" s="29"/>
      <c r="L399" s="29"/>
      <c r="M399" s="2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0"/>
      <c r="B400" s="10"/>
      <c r="C400" s="10"/>
      <c r="D400" s="10"/>
      <c r="E400" s="10"/>
      <c r="F400" s="28"/>
      <c r="G400" s="28"/>
      <c r="H400" s="28"/>
      <c r="I400" s="29"/>
      <c r="J400" s="29"/>
      <c r="K400" s="29"/>
      <c r="L400" s="29"/>
      <c r="M400" s="2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0"/>
      <c r="B401" s="10"/>
      <c r="C401" s="10"/>
      <c r="D401" s="10"/>
      <c r="E401" s="10"/>
      <c r="F401" s="28"/>
      <c r="G401" s="28"/>
      <c r="H401" s="28"/>
      <c r="I401" s="29"/>
      <c r="J401" s="29"/>
      <c r="K401" s="29"/>
      <c r="L401" s="29"/>
      <c r="M401" s="2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0"/>
      <c r="B402" s="10"/>
      <c r="C402" s="10"/>
      <c r="D402" s="10"/>
      <c r="E402" s="10"/>
      <c r="F402" s="28"/>
      <c r="G402" s="28"/>
      <c r="H402" s="28"/>
      <c r="I402" s="29"/>
      <c r="J402" s="29"/>
      <c r="K402" s="29"/>
      <c r="L402" s="29"/>
      <c r="M402" s="2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0"/>
      <c r="B403" s="10"/>
      <c r="C403" s="10"/>
      <c r="D403" s="10"/>
      <c r="E403" s="10"/>
      <c r="F403" s="28"/>
      <c r="G403" s="28"/>
      <c r="H403" s="28"/>
      <c r="I403" s="29"/>
      <c r="J403" s="29"/>
      <c r="K403" s="29"/>
      <c r="L403" s="29"/>
      <c r="M403" s="2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0"/>
      <c r="B404" s="10"/>
      <c r="C404" s="10"/>
      <c r="D404" s="10"/>
      <c r="E404" s="10"/>
      <c r="F404" s="28"/>
      <c r="G404" s="28"/>
      <c r="H404" s="28"/>
      <c r="I404" s="29"/>
      <c r="J404" s="29"/>
      <c r="K404" s="29"/>
      <c r="L404" s="29"/>
      <c r="M404" s="2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0"/>
      <c r="B405" s="10"/>
      <c r="C405" s="10"/>
      <c r="D405" s="10"/>
      <c r="E405" s="10"/>
      <c r="F405" s="28"/>
      <c r="G405" s="28"/>
      <c r="H405" s="28"/>
      <c r="I405" s="29"/>
      <c r="J405" s="29"/>
      <c r="K405" s="29"/>
      <c r="L405" s="29"/>
      <c r="M405" s="2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0"/>
      <c r="B406" s="10"/>
      <c r="C406" s="10"/>
      <c r="D406" s="10"/>
      <c r="E406" s="10"/>
      <c r="F406" s="28"/>
      <c r="G406" s="28"/>
      <c r="H406" s="28"/>
      <c r="I406" s="29"/>
      <c r="J406" s="29"/>
      <c r="K406" s="29"/>
      <c r="L406" s="29"/>
      <c r="M406" s="2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0"/>
      <c r="B407" s="10"/>
      <c r="C407" s="10"/>
      <c r="D407" s="10"/>
      <c r="E407" s="10"/>
      <c r="F407" s="28"/>
      <c r="G407" s="28"/>
      <c r="H407" s="28"/>
      <c r="I407" s="29"/>
      <c r="J407" s="29"/>
      <c r="K407" s="29"/>
      <c r="L407" s="29"/>
      <c r="M407" s="2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0"/>
      <c r="B408" s="10"/>
      <c r="C408" s="10"/>
      <c r="D408" s="10"/>
      <c r="E408" s="10"/>
      <c r="F408" s="28"/>
      <c r="G408" s="28"/>
      <c r="H408" s="28"/>
      <c r="I408" s="29"/>
      <c r="J408" s="29"/>
      <c r="K408" s="29"/>
      <c r="L408" s="29"/>
      <c r="M408" s="2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0"/>
      <c r="B409" s="10"/>
      <c r="C409" s="10"/>
      <c r="D409" s="10"/>
      <c r="E409" s="10"/>
      <c r="F409" s="28"/>
      <c r="G409" s="28"/>
      <c r="H409" s="28"/>
      <c r="I409" s="29"/>
      <c r="J409" s="29"/>
      <c r="K409" s="29"/>
      <c r="L409" s="29"/>
      <c r="M409" s="2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0"/>
      <c r="B410" s="10"/>
      <c r="C410" s="10"/>
      <c r="D410" s="10"/>
      <c r="E410" s="10"/>
      <c r="F410" s="28"/>
      <c r="G410" s="28"/>
      <c r="H410" s="28"/>
      <c r="I410" s="29"/>
      <c r="J410" s="29"/>
      <c r="K410" s="29"/>
      <c r="L410" s="29"/>
      <c r="M410" s="2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0"/>
      <c r="B411" s="10"/>
      <c r="C411" s="10"/>
      <c r="D411" s="10"/>
      <c r="E411" s="10"/>
      <c r="F411" s="28"/>
      <c r="G411" s="28"/>
      <c r="H411" s="28"/>
      <c r="I411" s="29"/>
      <c r="J411" s="29"/>
      <c r="K411" s="29"/>
      <c r="L411" s="29"/>
      <c r="M411" s="2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0"/>
      <c r="B412" s="10"/>
      <c r="C412" s="10"/>
      <c r="D412" s="10"/>
      <c r="E412" s="10"/>
      <c r="F412" s="28"/>
      <c r="G412" s="28"/>
      <c r="H412" s="28"/>
      <c r="I412" s="29"/>
      <c r="J412" s="29"/>
      <c r="K412" s="29"/>
      <c r="L412" s="29"/>
      <c r="M412" s="2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0"/>
      <c r="B413" s="10"/>
      <c r="C413" s="10"/>
      <c r="D413" s="10"/>
      <c r="E413" s="10"/>
      <c r="F413" s="28"/>
      <c r="G413" s="28"/>
      <c r="H413" s="28"/>
      <c r="I413" s="29"/>
      <c r="J413" s="29"/>
      <c r="K413" s="29"/>
      <c r="L413" s="29"/>
      <c r="M413" s="2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0"/>
      <c r="B414" s="10"/>
      <c r="C414" s="10"/>
      <c r="D414" s="10"/>
      <c r="E414" s="10"/>
      <c r="F414" s="28"/>
      <c r="G414" s="28"/>
      <c r="H414" s="28"/>
      <c r="I414" s="29"/>
      <c r="J414" s="29"/>
      <c r="K414" s="29"/>
      <c r="L414" s="29"/>
      <c r="M414" s="2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0"/>
      <c r="B415" s="10"/>
      <c r="C415" s="10"/>
      <c r="D415" s="10"/>
      <c r="E415" s="10"/>
      <c r="F415" s="28"/>
      <c r="G415" s="28"/>
      <c r="H415" s="28"/>
      <c r="I415" s="29"/>
      <c r="J415" s="29"/>
      <c r="K415" s="29"/>
      <c r="L415" s="29"/>
      <c r="M415" s="2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0"/>
      <c r="B416" s="10"/>
      <c r="C416" s="10"/>
      <c r="D416" s="10"/>
      <c r="E416" s="10"/>
      <c r="F416" s="28"/>
      <c r="G416" s="28"/>
      <c r="H416" s="28"/>
      <c r="I416" s="29"/>
      <c r="J416" s="29"/>
      <c r="K416" s="29"/>
      <c r="L416" s="29"/>
      <c r="M416" s="2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0"/>
      <c r="B417" s="10"/>
      <c r="C417" s="10"/>
      <c r="D417" s="10"/>
      <c r="E417" s="10"/>
      <c r="F417" s="28"/>
      <c r="G417" s="28"/>
      <c r="H417" s="28"/>
      <c r="I417" s="29"/>
      <c r="J417" s="29"/>
      <c r="K417" s="29"/>
      <c r="L417" s="29"/>
      <c r="M417" s="2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0"/>
      <c r="B418" s="10"/>
      <c r="C418" s="10"/>
      <c r="D418" s="10"/>
      <c r="E418" s="10"/>
      <c r="F418" s="28"/>
      <c r="G418" s="28"/>
      <c r="H418" s="28"/>
      <c r="I418" s="29"/>
      <c r="J418" s="29"/>
      <c r="K418" s="29"/>
      <c r="L418" s="29"/>
      <c r="M418" s="2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0"/>
      <c r="B419" s="10"/>
      <c r="C419" s="10"/>
      <c r="D419" s="10"/>
      <c r="E419" s="10"/>
      <c r="F419" s="28"/>
      <c r="G419" s="28"/>
      <c r="H419" s="28"/>
      <c r="I419" s="29"/>
      <c r="J419" s="29"/>
      <c r="K419" s="29"/>
      <c r="L419" s="29"/>
      <c r="M419" s="2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0"/>
      <c r="B420" s="10"/>
      <c r="C420" s="10"/>
      <c r="D420" s="10"/>
      <c r="E420" s="10"/>
      <c r="F420" s="28"/>
      <c r="G420" s="28"/>
      <c r="H420" s="28"/>
      <c r="I420" s="29"/>
      <c r="J420" s="29"/>
      <c r="K420" s="29"/>
      <c r="L420" s="29"/>
      <c r="M420" s="2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0"/>
      <c r="B421" s="10"/>
      <c r="C421" s="10"/>
      <c r="D421" s="10"/>
      <c r="E421" s="10"/>
      <c r="F421" s="28"/>
      <c r="G421" s="28"/>
      <c r="H421" s="28"/>
      <c r="I421" s="29"/>
      <c r="J421" s="29"/>
      <c r="K421" s="29"/>
      <c r="L421" s="29"/>
      <c r="M421" s="2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0"/>
      <c r="B422" s="10"/>
      <c r="C422" s="10"/>
      <c r="D422" s="10"/>
      <c r="E422" s="10"/>
      <c r="F422" s="28"/>
      <c r="G422" s="28"/>
      <c r="H422" s="28"/>
      <c r="I422" s="29"/>
      <c r="J422" s="29"/>
      <c r="K422" s="29"/>
      <c r="L422" s="29"/>
      <c r="M422" s="2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0"/>
      <c r="B423" s="10"/>
      <c r="C423" s="10"/>
      <c r="D423" s="10"/>
      <c r="E423" s="10"/>
      <c r="F423" s="28"/>
      <c r="G423" s="28"/>
      <c r="H423" s="28"/>
      <c r="I423" s="29"/>
      <c r="J423" s="29"/>
      <c r="K423" s="29"/>
      <c r="L423" s="29"/>
      <c r="M423" s="2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0"/>
      <c r="B424" s="10"/>
      <c r="C424" s="10"/>
      <c r="D424" s="10"/>
      <c r="E424" s="10"/>
      <c r="F424" s="28"/>
      <c r="G424" s="28"/>
      <c r="H424" s="28"/>
      <c r="I424" s="29"/>
      <c r="J424" s="29"/>
      <c r="K424" s="29"/>
      <c r="L424" s="29"/>
      <c r="M424" s="2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0"/>
      <c r="B425" s="10"/>
      <c r="C425" s="10"/>
      <c r="D425" s="10"/>
      <c r="E425" s="10"/>
      <c r="F425" s="28"/>
      <c r="G425" s="28"/>
      <c r="H425" s="28"/>
      <c r="I425" s="29"/>
      <c r="J425" s="29"/>
      <c r="K425" s="29"/>
      <c r="L425" s="29"/>
      <c r="M425" s="2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0"/>
      <c r="B426" s="10"/>
      <c r="C426" s="10"/>
      <c r="D426" s="10"/>
      <c r="E426" s="10"/>
      <c r="F426" s="28"/>
      <c r="G426" s="28"/>
      <c r="H426" s="28"/>
      <c r="I426" s="29"/>
      <c r="J426" s="29"/>
      <c r="K426" s="29"/>
      <c r="L426" s="29"/>
      <c r="M426" s="2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0"/>
      <c r="B427" s="10"/>
      <c r="C427" s="10"/>
      <c r="D427" s="10"/>
      <c r="E427" s="10"/>
      <c r="F427" s="28"/>
      <c r="G427" s="28"/>
      <c r="H427" s="28"/>
      <c r="I427" s="29"/>
      <c r="J427" s="29"/>
      <c r="K427" s="29"/>
      <c r="L427" s="29"/>
      <c r="M427" s="2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0"/>
      <c r="B428" s="10"/>
      <c r="C428" s="10"/>
      <c r="D428" s="10"/>
      <c r="E428" s="10"/>
      <c r="F428" s="28"/>
      <c r="G428" s="28"/>
      <c r="H428" s="28"/>
      <c r="I428" s="29"/>
      <c r="J428" s="29"/>
      <c r="K428" s="29"/>
      <c r="L428" s="29"/>
      <c r="M428" s="2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0"/>
      <c r="B429" s="10"/>
      <c r="C429" s="10"/>
      <c r="D429" s="10"/>
      <c r="E429" s="10"/>
      <c r="F429" s="28"/>
      <c r="G429" s="28"/>
      <c r="H429" s="28"/>
      <c r="I429" s="29"/>
      <c r="J429" s="29"/>
      <c r="K429" s="29"/>
      <c r="L429" s="29"/>
      <c r="M429" s="2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0"/>
      <c r="B430" s="10"/>
      <c r="C430" s="10"/>
      <c r="D430" s="10"/>
      <c r="E430" s="10"/>
      <c r="F430" s="28"/>
      <c r="G430" s="28"/>
      <c r="H430" s="28"/>
      <c r="I430" s="29"/>
      <c r="J430" s="29"/>
      <c r="K430" s="29"/>
      <c r="L430" s="29"/>
      <c r="M430" s="2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0"/>
      <c r="B431" s="10"/>
      <c r="C431" s="10"/>
      <c r="D431" s="10"/>
      <c r="E431" s="10"/>
      <c r="F431" s="28"/>
      <c r="G431" s="28"/>
      <c r="H431" s="28"/>
      <c r="I431" s="29"/>
      <c r="J431" s="29"/>
      <c r="K431" s="29"/>
      <c r="L431" s="29"/>
      <c r="M431" s="2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0"/>
      <c r="B432" s="10"/>
      <c r="C432" s="10"/>
      <c r="D432" s="10"/>
      <c r="E432" s="10"/>
      <c r="F432" s="28"/>
      <c r="G432" s="28"/>
      <c r="H432" s="28"/>
      <c r="I432" s="29"/>
      <c r="J432" s="29"/>
      <c r="K432" s="29"/>
      <c r="L432" s="29"/>
      <c r="M432" s="2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0"/>
      <c r="B433" s="10"/>
      <c r="C433" s="10"/>
      <c r="D433" s="10"/>
      <c r="E433" s="10"/>
      <c r="F433" s="28"/>
      <c r="G433" s="28"/>
      <c r="H433" s="28"/>
      <c r="I433" s="29"/>
      <c r="J433" s="29"/>
      <c r="K433" s="29"/>
      <c r="L433" s="29"/>
      <c r="M433" s="2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0"/>
      <c r="B434" s="10"/>
      <c r="C434" s="10"/>
      <c r="D434" s="10"/>
      <c r="E434" s="10"/>
      <c r="F434" s="28"/>
      <c r="G434" s="28"/>
      <c r="H434" s="28"/>
      <c r="I434" s="29"/>
      <c r="J434" s="29"/>
      <c r="K434" s="29"/>
      <c r="L434" s="29"/>
      <c r="M434" s="2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0"/>
      <c r="B435" s="10"/>
      <c r="C435" s="10"/>
      <c r="D435" s="10"/>
      <c r="E435" s="10"/>
      <c r="F435" s="28"/>
      <c r="G435" s="28"/>
      <c r="H435" s="28"/>
      <c r="I435" s="29"/>
      <c r="J435" s="29"/>
      <c r="K435" s="29"/>
      <c r="L435" s="29"/>
      <c r="M435" s="2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0"/>
      <c r="B436" s="10"/>
      <c r="C436" s="10"/>
      <c r="D436" s="10"/>
      <c r="E436" s="10"/>
      <c r="F436" s="28"/>
      <c r="G436" s="28"/>
      <c r="H436" s="28"/>
      <c r="I436" s="29"/>
      <c r="J436" s="29"/>
      <c r="K436" s="29"/>
      <c r="L436" s="29"/>
      <c r="M436" s="2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0"/>
      <c r="B437" s="10"/>
      <c r="C437" s="10"/>
      <c r="D437" s="10"/>
      <c r="E437" s="10"/>
      <c r="F437" s="28"/>
      <c r="G437" s="28"/>
      <c r="H437" s="28"/>
      <c r="I437" s="29"/>
      <c r="J437" s="29"/>
      <c r="K437" s="29"/>
      <c r="L437" s="29"/>
      <c r="M437" s="2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0"/>
      <c r="B438" s="10"/>
      <c r="C438" s="10"/>
      <c r="D438" s="10"/>
      <c r="E438" s="10"/>
      <c r="F438" s="28"/>
      <c r="G438" s="28"/>
      <c r="H438" s="28"/>
      <c r="I438" s="29"/>
      <c r="J438" s="29"/>
      <c r="K438" s="29"/>
      <c r="L438" s="29"/>
      <c r="M438" s="2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0"/>
      <c r="B439" s="10"/>
      <c r="C439" s="10"/>
      <c r="D439" s="10"/>
      <c r="E439" s="10"/>
      <c r="F439" s="28"/>
      <c r="G439" s="28"/>
      <c r="H439" s="28"/>
      <c r="I439" s="29"/>
      <c r="J439" s="29"/>
      <c r="K439" s="29"/>
      <c r="L439" s="29"/>
      <c r="M439" s="2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0"/>
      <c r="B440" s="10"/>
      <c r="C440" s="10"/>
      <c r="D440" s="10"/>
      <c r="E440" s="10"/>
      <c r="F440" s="28"/>
      <c r="G440" s="28"/>
      <c r="H440" s="28"/>
      <c r="I440" s="29"/>
      <c r="J440" s="29"/>
      <c r="K440" s="29"/>
      <c r="L440" s="29"/>
      <c r="M440" s="2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0"/>
      <c r="B441" s="10"/>
      <c r="C441" s="10"/>
      <c r="D441" s="10"/>
      <c r="E441" s="10"/>
      <c r="F441" s="28"/>
      <c r="G441" s="28"/>
      <c r="H441" s="28"/>
      <c r="I441" s="29"/>
      <c r="J441" s="29"/>
      <c r="K441" s="29"/>
      <c r="L441" s="29"/>
      <c r="M441" s="2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0"/>
      <c r="B442" s="10"/>
      <c r="C442" s="10"/>
      <c r="D442" s="10"/>
      <c r="E442" s="10"/>
      <c r="F442" s="28"/>
      <c r="G442" s="28"/>
      <c r="H442" s="28"/>
      <c r="I442" s="29"/>
      <c r="J442" s="29"/>
      <c r="K442" s="29"/>
      <c r="L442" s="29"/>
      <c r="M442" s="2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0"/>
      <c r="B443" s="10"/>
      <c r="C443" s="10"/>
      <c r="D443" s="10"/>
      <c r="E443" s="10"/>
      <c r="F443" s="28"/>
      <c r="G443" s="28"/>
      <c r="H443" s="28"/>
      <c r="I443" s="29"/>
      <c r="J443" s="29"/>
      <c r="K443" s="29"/>
      <c r="L443" s="29"/>
      <c r="M443" s="2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0"/>
      <c r="B444" s="10"/>
      <c r="C444" s="10"/>
      <c r="D444" s="10"/>
      <c r="E444" s="10"/>
      <c r="F444" s="28"/>
      <c r="G444" s="28"/>
      <c r="H444" s="28"/>
      <c r="I444" s="29"/>
      <c r="J444" s="29"/>
      <c r="K444" s="29"/>
      <c r="L444" s="29"/>
      <c r="M444" s="2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0"/>
      <c r="B445" s="10"/>
      <c r="C445" s="10"/>
      <c r="D445" s="10"/>
      <c r="E445" s="10"/>
      <c r="F445" s="28"/>
      <c r="G445" s="28"/>
      <c r="H445" s="28"/>
      <c r="I445" s="29"/>
      <c r="J445" s="29"/>
      <c r="K445" s="29"/>
      <c r="L445" s="29"/>
      <c r="M445" s="2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0"/>
      <c r="B446" s="10"/>
      <c r="C446" s="10"/>
      <c r="D446" s="10"/>
      <c r="E446" s="10"/>
      <c r="F446" s="28"/>
      <c r="G446" s="28"/>
      <c r="H446" s="28"/>
      <c r="I446" s="29"/>
      <c r="J446" s="29"/>
      <c r="K446" s="29"/>
      <c r="L446" s="29"/>
      <c r="M446" s="2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0"/>
      <c r="B447" s="10"/>
      <c r="C447" s="10"/>
      <c r="D447" s="10"/>
      <c r="E447" s="10"/>
      <c r="F447" s="28"/>
      <c r="G447" s="28"/>
      <c r="H447" s="28"/>
      <c r="I447" s="29"/>
      <c r="J447" s="29"/>
      <c r="K447" s="29"/>
      <c r="L447" s="29"/>
      <c r="M447" s="2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0"/>
      <c r="B448" s="10"/>
      <c r="C448" s="10"/>
      <c r="D448" s="10"/>
      <c r="E448" s="10"/>
      <c r="F448" s="28"/>
      <c r="G448" s="28"/>
      <c r="H448" s="28"/>
      <c r="I448" s="29"/>
      <c r="J448" s="29"/>
      <c r="K448" s="29"/>
      <c r="L448" s="29"/>
      <c r="M448" s="2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0"/>
      <c r="B449" s="10"/>
      <c r="C449" s="10"/>
      <c r="D449" s="10"/>
      <c r="E449" s="10"/>
      <c r="F449" s="28"/>
      <c r="G449" s="28"/>
      <c r="H449" s="28"/>
      <c r="I449" s="29"/>
      <c r="J449" s="29"/>
      <c r="K449" s="29"/>
      <c r="L449" s="29"/>
      <c r="M449" s="2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0"/>
      <c r="B450" s="10"/>
      <c r="C450" s="10"/>
      <c r="D450" s="10"/>
      <c r="E450" s="10"/>
      <c r="F450" s="28"/>
      <c r="G450" s="28"/>
      <c r="H450" s="28"/>
      <c r="I450" s="29"/>
      <c r="J450" s="29"/>
      <c r="K450" s="29"/>
      <c r="L450" s="29"/>
      <c r="M450" s="2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0"/>
      <c r="B451" s="10"/>
      <c r="C451" s="10"/>
      <c r="D451" s="10"/>
      <c r="E451" s="10"/>
      <c r="F451" s="28"/>
      <c r="G451" s="28"/>
      <c r="H451" s="28"/>
      <c r="I451" s="29"/>
      <c r="J451" s="29"/>
      <c r="K451" s="29"/>
      <c r="L451" s="29"/>
      <c r="M451" s="2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0"/>
      <c r="B452" s="10"/>
      <c r="C452" s="10"/>
      <c r="D452" s="10"/>
      <c r="E452" s="10"/>
      <c r="F452" s="28"/>
      <c r="G452" s="28"/>
      <c r="H452" s="28"/>
      <c r="I452" s="29"/>
      <c r="J452" s="29"/>
      <c r="K452" s="29"/>
      <c r="L452" s="29"/>
      <c r="M452" s="2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0"/>
      <c r="B453" s="10"/>
      <c r="C453" s="10"/>
      <c r="D453" s="10"/>
      <c r="E453" s="10"/>
      <c r="F453" s="28"/>
      <c r="G453" s="28"/>
      <c r="H453" s="28"/>
      <c r="I453" s="29"/>
      <c r="J453" s="29"/>
      <c r="K453" s="29"/>
      <c r="L453" s="29"/>
      <c r="M453" s="2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0"/>
      <c r="B454" s="10"/>
      <c r="C454" s="10"/>
      <c r="D454" s="10"/>
      <c r="E454" s="10"/>
      <c r="F454" s="28"/>
      <c r="G454" s="28"/>
      <c r="H454" s="28"/>
      <c r="I454" s="29"/>
      <c r="J454" s="29"/>
      <c r="K454" s="29"/>
      <c r="L454" s="29"/>
      <c r="M454" s="2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0"/>
      <c r="B455" s="10"/>
      <c r="C455" s="10"/>
      <c r="D455" s="10"/>
      <c r="E455" s="10"/>
      <c r="F455" s="28"/>
      <c r="G455" s="28"/>
      <c r="H455" s="28"/>
      <c r="I455" s="29"/>
      <c r="J455" s="29"/>
      <c r="K455" s="29"/>
      <c r="L455" s="29"/>
      <c r="M455" s="2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0"/>
      <c r="B456" s="10"/>
      <c r="C456" s="10"/>
      <c r="D456" s="10"/>
      <c r="E456" s="10"/>
      <c r="F456" s="28"/>
      <c r="G456" s="28"/>
      <c r="H456" s="28"/>
      <c r="I456" s="29"/>
      <c r="J456" s="29"/>
      <c r="K456" s="29"/>
      <c r="L456" s="29"/>
      <c r="M456" s="2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0"/>
      <c r="B457" s="10"/>
      <c r="C457" s="10"/>
      <c r="D457" s="10"/>
      <c r="E457" s="10"/>
      <c r="F457" s="28"/>
      <c r="G457" s="28"/>
      <c r="H457" s="28"/>
      <c r="I457" s="29"/>
      <c r="J457" s="29"/>
      <c r="K457" s="29"/>
      <c r="L457" s="29"/>
      <c r="M457" s="2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0"/>
      <c r="B458" s="10"/>
      <c r="C458" s="10"/>
      <c r="D458" s="10"/>
      <c r="E458" s="10"/>
      <c r="F458" s="28"/>
      <c r="G458" s="28"/>
      <c r="H458" s="28"/>
      <c r="I458" s="29"/>
      <c r="J458" s="29"/>
      <c r="K458" s="29"/>
      <c r="L458" s="29"/>
      <c r="M458" s="2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0"/>
      <c r="B459" s="10"/>
      <c r="C459" s="10"/>
      <c r="D459" s="10"/>
      <c r="E459" s="10"/>
      <c r="F459" s="28"/>
      <c r="G459" s="28"/>
      <c r="H459" s="28"/>
      <c r="I459" s="29"/>
      <c r="J459" s="29"/>
      <c r="K459" s="29"/>
      <c r="L459" s="29"/>
      <c r="M459" s="2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0"/>
      <c r="B460" s="10"/>
      <c r="C460" s="10"/>
      <c r="D460" s="10"/>
      <c r="E460" s="10"/>
      <c r="F460" s="28"/>
      <c r="G460" s="28"/>
      <c r="H460" s="28"/>
      <c r="I460" s="29"/>
      <c r="J460" s="29"/>
      <c r="K460" s="29"/>
      <c r="L460" s="29"/>
      <c r="M460" s="2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0"/>
      <c r="B461" s="10"/>
      <c r="C461" s="10"/>
      <c r="D461" s="10"/>
      <c r="E461" s="10"/>
      <c r="F461" s="28"/>
      <c r="G461" s="28"/>
      <c r="H461" s="28"/>
      <c r="I461" s="29"/>
      <c r="J461" s="29"/>
      <c r="K461" s="29"/>
      <c r="L461" s="29"/>
      <c r="M461" s="2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0"/>
      <c r="B462" s="10"/>
      <c r="C462" s="10"/>
      <c r="D462" s="10"/>
      <c r="E462" s="10"/>
      <c r="F462" s="28"/>
      <c r="G462" s="28"/>
      <c r="H462" s="28"/>
      <c r="I462" s="29"/>
      <c r="J462" s="29"/>
      <c r="K462" s="29"/>
      <c r="L462" s="29"/>
      <c r="M462" s="2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0"/>
      <c r="B463" s="10"/>
      <c r="C463" s="10"/>
      <c r="D463" s="10"/>
      <c r="E463" s="10"/>
      <c r="F463" s="28"/>
      <c r="G463" s="28"/>
      <c r="H463" s="28"/>
      <c r="I463" s="29"/>
      <c r="J463" s="29"/>
      <c r="K463" s="29"/>
      <c r="L463" s="29"/>
      <c r="M463" s="2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0"/>
      <c r="B464" s="10"/>
      <c r="C464" s="10"/>
      <c r="D464" s="10"/>
      <c r="E464" s="10"/>
      <c r="F464" s="28"/>
      <c r="G464" s="28"/>
      <c r="H464" s="28"/>
      <c r="I464" s="29"/>
      <c r="J464" s="29"/>
      <c r="K464" s="29"/>
      <c r="L464" s="29"/>
      <c r="M464" s="2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0"/>
      <c r="B465" s="10"/>
      <c r="C465" s="10"/>
      <c r="D465" s="10"/>
      <c r="E465" s="10"/>
      <c r="F465" s="28"/>
      <c r="G465" s="28"/>
      <c r="H465" s="28"/>
      <c r="I465" s="29"/>
      <c r="J465" s="29"/>
      <c r="K465" s="29"/>
      <c r="L465" s="29"/>
      <c r="M465" s="2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0"/>
      <c r="B466" s="10"/>
      <c r="C466" s="10"/>
      <c r="D466" s="10"/>
      <c r="E466" s="10"/>
      <c r="F466" s="28"/>
      <c r="G466" s="28"/>
      <c r="H466" s="28"/>
      <c r="I466" s="29"/>
      <c r="J466" s="29"/>
      <c r="K466" s="29"/>
      <c r="L466" s="29"/>
      <c r="M466" s="2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0"/>
      <c r="B467" s="10"/>
      <c r="C467" s="10"/>
      <c r="D467" s="10"/>
      <c r="E467" s="10"/>
      <c r="F467" s="28"/>
      <c r="G467" s="28"/>
      <c r="H467" s="28"/>
      <c r="I467" s="29"/>
      <c r="J467" s="29"/>
      <c r="K467" s="29"/>
      <c r="L467" s="29"/>
      <c r="M467" s="2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0"/>
      <c r="B468" s="10"/>
      <c r="C468" s="10"/>
      <c r="D468" s="10"/>
      <c r="E468" s="10"/>
      <c r="F468" s="28"/>
      <c r="G468" s="28"/>
      <c r="H468" s="28"/>
      <c r="I468" s="29"/>
      <c r="J468" s="29"/>
      <c r="K468" s="29"/>
      <c r="L468" s="29"/>
      <c r="M468" s="2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0"/>
      <c r="B469" s="10"/>
      <c r="C469" s="10"/>
      <c r="D469" s="10"/>
      <c r="E469" s="10"/>
      <c r="F469" s="28"/>
      <c r="G469" s="28"/>
      <c r="H469" s="28"/>
      <c r="I469" s="29"/>
      <c r="J469" s="29"/>
      <c r="K469" s="29"/>
      <c r="L469" s="29"/>
      <c r="M469" s="2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0"/>
      <c r="B470" s="10"/>
      <c r="C470" s="10"/>
      <c r="D470" s="10"/>
      <c r="E470" s="10"/>
      <c r="F470" s="28"/>
      <c r="G470" s="28"/>
      <c r="H470" s="28"/>
      <c r="I470" s="29"/>
      <c r="J470" s="29"/>
      <c r="K470" s="29"/>
      <c r="L470" s="29"/>
      <c r="M470" s="2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0"/>
      <c r="B471" s="10"/>
      <c r="C471" s="10"/>
      <c r="D471" s="10"/>
      <c r="E471" s="10"/>
      <c r="F471" s="28"/>
      <c r="G471" s="28"/>
      <c r="H471" s="28"/>
      <c r="I471" s="29"/>
      <c r="J471" s="29"/>
      <c r="K471" s="29"/>
      <c r="L471" s="29"/>
      <c r="M471" s="2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0"/>
      <c r="B472" s="10"/>
      <c r="C472" s="10"/>
      <c r="D472" s="10"/>
      <c r="E472" s="10"/>
      <c r="F472" s="28"/>
      <c r="G472" s="28"/>
      <c r="H472" s="28"/>
      <c r="I472" s="29"/>
      <c r="J472" s="29"/>
      <c r="K472" s="29"/>
      <c r="L472" s="29"/>
      <c r="M472" s="2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0"/>
      <c r="B473" s="10"/>
      <c r="C473" s="10"/>
      <c r="D473" s="10"/>
      <c r="E473" s="10"/>
      <c r="F473" s="28"/>
      <c r="G473" s="28"/>
      <c r="H473" s="28"/>
      <c r="I473" s="29"/>
      <c r="J473" s="29"/>
      <c r="K473" s="29"/>
      <c r="L473" s="29"/>
      <c r="M473" s="2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0"/>
      <c r="B474" s="10"/>
      <c r="C474" s="10"/>
      <c r="D474" s="10"/>
      <c r="E474" s="10"/>
      <c r="F474" s="28"/>
      <c r="G474" s="28"/>
      <c r="H474" s="28"/>
      <c r="I474" s="29"/>
      <c r="J474" s="29"/>
      <c r="K474" s="29"/>
      <c r="L474" s="29"/>
      <c r="M474" s="2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0"/>
      <c r="B475" s="10"/>
      <c r="C475" s="10"/>
      <c r="D475" s="10"/>
      <c r="E475" s="10"/>
      <c r="F475" s="28"/>
      <c r="G475" s="28"/>
      <c r="H475" s="28"/>
      <c r="I475" s="29"/>
      <c r="J475" s="29"/>
      <c r="K475" s="29"/>
      <c r="L475" s="29"/>
      <c r="M475" s="2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0"/>
      <c r="B476" s="10"/>
      <c r="C476" s="10"/>
      <c r="D476" s="10"/>
      <c r="E476" s="10"/>
      <c r="F476" s="28"/>
      <c r="G476" s="28"/>
      <c r="H476" s="28"/>
      <c r="I476" s="29"/>
      <c r="J476" s="29"/>
      <c r="K476" s="29"/>
      <c r="L476" s="29"/>
      <c r="M476" s="2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0"/>
      <c r="B477" s="10"/>
      <c r="C477" s="10"/>
      <c r="D477" s="10"/>
      <c r="E477" s="10"/>
      <c r="F477" s="28"/>
      <c r="G477" s="28"/>
      <c r="H477" s="28"/>
      <c r="I477" s="29"/>
      <c r="J477" s="29"/>
      <c r="K477" s="29"/>
      <c r="L477" s="29"/>
      <c r="M477" s="2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0"/>
      <c r="B478" s="10"/>
      <c r="C478" s="10"/>
      <c r="D478" s="10"/>
      <c r="E478" s="10"/>
      <c r="F478" s="28"/>
      <c r="G478" s="28"/>
      <c r="H478" s="28"/>
      <c r="I478" s="29"/>
      <c r="J478" s="29"/>
      <c r="K478" s="29"/>
      <c r="L478" s="29"/>
      <c r="M478" s="2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0"/>
      <c r="B479" s="10"/>
      <c r="C479" s="10"/>
      <c r="D479" s="10"/>
      <c r="E479" s="10"/>
      <c r="F479" s="28"/>
      <c r="G479" s="28"/>
      <c r="H479" s="28"/>
      <c r="I479" s="29"/>
      <c r="J479" s="29"/>
      <c r="K479" s="29"/>
      <c r="L479" s="29"/>
      <c r="M479" s="2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0"/>
      <c r="B480" s="10"/>
      <c r="C480" s="10"/>
      <c r="D480" s="10"/>
      <c r="E480" s="10"/>
      <c r="F480" s="28"/>
      <c r="G480" s="28"/>
      <c r="H480" s="28"/>
      <c r="I480" s="29"/>
      <c r="J480" s="29"/>
      <c r="K480" s="29"/>
      <c r="L480" s="29"/>
      <c r="M480" s="2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0"/>
      <c r="B481" s="10"/>
      <c r="C481" s="10"/>
      <c r="D481" s="10"/>
      <c r="E481" s="10"/>
      <c r="F481" s="28"/>
      <c r="G481" s="28"/>
      <c r="H481" s="28"/>
      <c r="I481" s="29"/>
      <c r="J481" s="29"/>
      <c r="K481" s="29"/>
      <c r="L481" s="29"/>
      <c r="M481" s="2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0"/>
      <c r="B482" s="10"/>
      <c r="C482" s="10"/>
      <c r="D482" s="10"/>
      <c r="E482" s="10"/>
      <c r="F482" s="28"/>
      <c r="G482" s="28"/>
      <c r="H482" s="28"/>
      <c r="I482" s="29"/>
      <c r="J482" s="29"/>
      <c r="K482" s="29"/>
      <c r="L482" s="29"/>
      <c r="M482" s="2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0"/>
      <c r="B483" s="10"/>
      <c r="C483" s="10"/>
      <c r="D483" s="10"/>
      <c r="E483" s="10"/>
      <c r="F483" s="28"/>
      <c r="G483" s="28"/>
      <c r="H483" s="28"/>
      <c r="I483" s="29"/>
      <c r="J483" s="29"/>
      <c r="K483" s="29"/>
      <c r="L483" s="29"/>
      <c r="M483" s="2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0"/>
      <c r="B484" s="10"/>
      <c r="C484" s="10"/>
      <c r="D484" s="10"/>
      <c r="E484" s="10"/>
      <c r="F484" s="28"/>
      <c r="G484" s="28"/>
      <c r="H484" s="28"/>
      <c r="I484" s="29"/>
      <c r="J484" s="29"/>
      <c r="K484" s="29"/>
      <c r="L484" s="29"/>
      <c r="M484" s="2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0"/>
      <c r="B485" s="10"/>
      <c r="C485" s="10"/>
      <c r="D485" s="10"/>
      <c r="E485" s="10"/>
      <c r="F485" s="28"/>
      <c r="G485" s="28"/>
      <c r="H485" s="28"/>
      <c r="I485" s="29"/>
      <c r="J485" s="29"/>
      <c r="K485" s="29"/>
      <c r="L485" s="29"/>
      <c r="M485" s="2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0"/>
      <c r="B486" s="10"/>
      <c r="C486" s="10"/>
      <c r="D486" s="10"/>
      <c r="E486" s="10"/>
      <c r="F486" s="28"/>
      <c r="G486" s="28"/>
      <c r="H486" s="28"/>
      <c r="I486" s="29"/>
      <c r="J486" s="29"/>
      <c r="K486" s="29"/>
      <c r="L486" s="29"/>
      <c r="M486" s="2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0"/>
      <c r="B487" s="10"/>
      <c r="C487" s="10"/>
      <c r="D487" s="10"/>
      <c r="E487" s="10"/>
      <c r="F487" s="28"/>
      <c r="G487" s="28"/>
      <c r="H487" s="28"/>
      <c r="I487" s="29"/>
      <c r="J487" s="29"/>
      <c r="K487" s="29"/>
      <c r="L487" s="29"/>
      <c r="M487" s="2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0"/>
      <c r="B488" s="10"/>
      <c r="C488" s="10"/>
      <c r="D488" s="10"/>
      <c r="E488" s="10"/>
      <c r="F488" s="28"/>
      <c r="G488" s="28"/>
      <c r="H488" s="28"/>
      <c r="I488" s="29"/>
      <c r="J488" s="29"/>
      <c r="K488" s="29"/>
      <c r="L488" s="29"/>
      <c r="M488" s="2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0"/>
      <c r="B489" s="10"/>
      <c r="C489" s="10"/>
      <c r="D489" s="10"/>
      <c r="E489" s="10"/>
      <c r="F489" s="28"/>
      <c r="G489" s="28"/>
      <c r="H489" s="28"/>
      <c r="I489" s="29"/>
      <c r="J489" s="29"/>
      <c r="K489" s="29"/>
      <c r="L489" s="29"/>
      <c r="M489" s="2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0"/>
      <c r="B490" s="10"/>
      <c r="C490" s="10"/>
      <c r="D490" s="10"/>
      <c r="E490" s="10"/>
      <c r="F490" s="28"/>
      <c r="G490" s="28"/>
      <c r="H490" s="28"/>
      <c r="I490" s="29"/>
      <c r="J490" s="29"/>
      <c r="K490" s="29"/>
      <c r="L490" s="29"/>
      <c r="M490" s="2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0"/>
      <c r="B491" s="10"/>
      <c r="C491" s="10"/>
      <c r="D491" s="10"/>
      <c r="E491" s="10"/>
      <c r="F491" s="28"/>
      <c r="G491" s="28"/>
      <c r="H491" s="28"/>
      <c r="I491" s="29"/>
      <c r="J491" s="29"/>
      <c r="K491" s="29"/>
      <c r="L491" s="29"/>
      <c r="M491" s="2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0"/>
      <c r="B492" s="10"/>
      <c r="C492" s="10"/>
      <c r="D492" s="10"/>
      <c r="E492" s="10"/>
      <c r="F492" s="28"/>
      <c r="G492" s="28"/>
      <c r="H492" s="28"/>
      <c r="I492" s="29"/>
      <c r="J492" s="29"/>
      <c r="K492" s="29"/>
      <c r="L492" s="29"/>
      <c r="M492" s="2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0"/>
      <c r="B493" s="10"/>
      <c r="C493" s="10"/>
      <c r="D493" s="10"/>
      <c r="E493" s="10"/>
      <c r="F493" s="28"/>
      <c r="G493" s="28"/>
      <c r="H493" s="28"/>
      <c r="I493" s="29"/>
      <c r="J493" s="29"/>
      <c r="K493" s="29"/>
      <c r="L493" s="29"/>
      <c r="M493" s="2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0"/>
      <c r="B494" s="10"/>
      <c r="C494" s="10"/>
      <c r="D494" s="10"/>
      <c r="E494" s="10"/>
      <c r="F494" s="28"/>
      <c r="G494" s="28"/>
      <c r="H494" s="28"/>
      <c r="I494" s="29"/>
      <c r="J494" s="29"/>
      <c r="K494" s="29"/>
      <c r="L494" s="29"/>
      <c r="M494" s="2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0"/>
      <c r="B495" s="10"/>
      <c r="C495" s="10"/>
      <c r="D495" s="10"/>
      <c r="E495" s="10"/>
      <c r="F495" s="28"/>
      <c r="G495" s="28"/>
      <c r="H495" s="28"/>
      <c r="I495" s="29"/>
      <c r="J495" s="29"/>
      <c r="K495" s="29"/>
      <c r="L495" s="29"/>
      <c r="M495" s="2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0"/>
      <c r="B496" s="10"/>
      <c r="C496" s="10"/>
      <c r="D496" s="10"/>
      <c r="E496" s="10"/>
      <c r="F496" s="28"/>
      <c r="G496" s="28"/>
      <c r="H496" s="28"/>
      <c r="I496" s="29"/>
      <c r="J496" s="29"/>
      <c r="K496" s="29"/>
      <c r="L496" s="29"/>
      <c r="M496" s="2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0"/>
      <c r="B497" s="10"/>
      <c r="C497" s="10"/>
      <c r="D497" s="10"/>
      <c r="E497" s="10"/>
      <c r="F497" s="28"/>
      <c r="G497" s="28"/>
      <c r="H497" s="28"/>
      <c r="I497" s="29"/>
      <c r="J497" s="29"/>
      <c r="K497" s="29"/>
      <c r="L497" s="29"/>
      <c r="M497" s="2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0"/>
      <c r="B498" s="10"/>
      <c r="C498" s="10"/>
      <c r="D498" s="10"/>
      <c r="E498" s="10"/>
      <c r="F498" s="28"/>
      <c r="G498" s="28"/>
      <c r="H498" s="28"/>
      <c r="I498" s="29"/>
      <c r="J498" s="29"/>
      <c r="K498" s="29"/>
      <c r="L498" s="29"/>
      <c r="M498" s="2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0"/>
      <c r="B499" s="10"/>
      <c r="C499" s="10"/>
      <c r="D499" s="10"/>
      <c r="E499" s="10"/>
      <c r="F499" s="28"/>
      <c r="G499" s="28"/>
      <c r="H499" s="28"/>
      <c r="I499" s="29"/>
      <c r="J499" s="29"/>
      <c r="K499" s="29"/>
      <c r="L499" s="29"/>
      <c r="M499" s="2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0"/>
      <c r="B500" s="10"/>
      <c r="C500" s="10"/>
      <c r="D500" s="10"/>
      <c r="E500" s="10"/>
      <c r="F500" s="28"/>
      <c r="G500" s="28"/>
      <c r="H500" s="28"/>
      <c r="I500" s="29"/>
      <c r="J500" s="29"/>
      <c r="K500" s="29"/>
      <c r="L500" s="29"/>
      <c r="M500" s="2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0"/>
      <c r="B501" s="10"/>
      <c r="C501" s="10"/>
      <c r="D501" s="10"/>
      <c r="E501" s="10"/>
      <c r="F501" s="28"/>
      <c r="G501" s="28"/>
      <c r="H501" s="28"/>
      <c r="I501" s="29"/>
      <c r="J501" s="29"/>
      <c r="K501" s="29"/>
      <c r="L501" s="29"/>
      <c r="M501" s="2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0"/>
      <c r="B502" s="10"/>
      <c r="C502" s="10"/>
      <c r="D502" s="10"/>
      <c r="E502" s="10"/>
      <c r="F502" s="28"/>
      <c r="G502" s="28"/>
      <c r="H502" s="28"/>
      <c r="I502" s="29"/>
      <c r="J502" s="29"/>
      <c r="K502" s="29"/>
      <c r="L502" s="29"/>
      <c r="M502" s="2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0"/>
      <c r="B503" s="10"/>
      <c r="C503" s="10"/>
      <c r="D503" s="10"/>
      <c r="E503" s="10"/>
      <c r="F503" s="28"/>
      <c r="G503" s="28"/>
      <c r="H503" s="28"/>
      <c r="I503" s="29"/>
      <c r="J503" s="29"/>
      <c r="K503" s="29"/>
      <c r="L503" s="29"/>
      <c r="M503" s="2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0"/>
      <c r="B504" s="10"/>
      <c r="C504" s="10"/>
      <c r="D504" s="10"/>
      <c r="E504" s="10"/>
      <c r="F504" s="28"/>
      <c r="G504" s="28"/>
      <c r="H504" s="28"/>
      <c r="I504" s="29"/>
      <c r="J504" s="29"/>
      <c r="K504" s="29"/>
      <c r="L504" s="29"/>
      <c r="M504" s="2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0"/>
      <c r="B505" s="10"/>
      <c r="C505" s="10"/>
      <c r="D505" s="10"/>
      <c r="E505" s="10"/>
      <c r="F505" s="28"/>
      <c r="G505" s="28"/>
      <c r="H505" s="28"/>
      <c r="I505" s="29"/>
      <c r="J505" s="29"/>
      <c r="K505" s="29"/>
      <c r="L505" s="29"/>
      <c r="M505" s="2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0"/>
      <c r="B506" s="10"/>
      <c r="C506" s="10"/>
      <c r="D506" s="10"/>
      <c r="E506" s="10"/>
      <c r="F506" s="28"/>
      <c r="G506" s="28"/>
      <c r="H506" s="28"/>
      <c r="I506" s="29"/>
      <c r="J506" s="29"/>
      <c r="K506" s="29"/>
      <c r="L506" s="29"/>
      <c r="M506" s="2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0"/>
      <c r="B507" s="10"/>
      <c r="C507" s="10"/>
      <c r="D507" s="10"/>
      <c r="E507" s="10"/>
      <c r="F507" s="28"/>
      <c r="G507" s="28"/>
      <c r="H507" s="28"/>
      <c r="I507" s="29"/>
      <c r="J507" s="29"/>
      <c r="K507" s="29"/>
      <c r="L507" s="29"/>
      <c r="M507" s="2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0"/>
      <c r="B508" s="10"/>
      <c r="C508" s="10"/>
      <c r="D508" s="10"/>
      <c r="E508" s="10"/>
      <c r="F508" s="28"/>
      <c r="G508" s="28"/>
      <c r="H508" s="28"/>
      <c r="I508" s="29"/>
      <c r="J508" s="29"/>
      <c r="K508" s="29"/>
      <c r="L508" s="29"/>
      <c r="M508" s="2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0"/>
      <c r="B509" s="10"/>
      <c r="C509" s="10"/>
      <c r="D509" s="10"/>
      <c r="E509" s="10"/>
      <c r="F509" s="28"/>
      <c r="G509" s="28"/>
      <c r="H509" s="28"/>
      <c r="I509" s="29"/>
      <c r="J509" s="29"/>
      <c r="K509" s="29"/>
      <c r="L509" s="29"/>
      <c r="M509" s="2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0"/>
      <c r="B510" s="10"/>
      <c r="C510" s="10"/>
      <c r="D510" s="10"/>
      <c r="E510" s="10"/>
      <c r="F510" s="28"/>
      <c r="G510" s="28"/>
      <c r="H510" s="28"/>
      <c r="I510" s="29"/>
      <c r="J510" s="29"/>
      <c r="K510" s="29"/>
      <c r="L510" s="29"/>
      <c r="M510" s="2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0"/>
      <c r="B511" s="10"/>
      <c r="C511" s="10"/>
      <c r="D511" s="10"/>
      <c r="E511" s="10"/>
      <c r="F511" s="28"/>
      <c r="G511" s="28"/>
      <c r="H511" s="28"/>
      <c r="I511" s="29"/>
      <c r="J511" s="29"/>
      <c r="K511" s="29"/>
      <c r="L511" s="29"/>
      <c r="M511" s="2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0"/>
      <c r="B512" s="10"/>
      <c r="C512" s="10"/>
      <c r="D512" s="10"/>
      <c r="E512" s="10"/>
      <c r="F512" s="28"/>
      <c r="G512" s="28"/>
      <c r="H512" s="28"/>
      <c r="I512" s="29"/>
      <c r="J512" s="29"/>
      <c r="K512" s="29"/>
      <c r="L512" s="29"/>
      <c r="M512" s="2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0"/>
      <c r="B513" s="10"/>
      <c r="C513" s="10"/>
      <c r="D513" s="10"/>
      <c r="E513" s="10"/>
      <c r="F513" s="28"/>
      <c r="G513" s="28"/>
      <c r="H513" s="28"/>
      <c r="I513" s="29"/>
      <c r="J513" s="29"/>
      <c r="K513" s="29"/>
      <c r="L513" s="29"/>
      <c r="M513" s="2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0"/>
      <c r="B514" s="10"/>
      <c r="C514" s="10"/>
      <c r="D514" s="10"/>
      <c r="E514" s="10"/>
      <c r="F514" s="28"/>
      <c r="G514" s="28"/>
      <c r="H514" s="28"/>
      <c r="I514" s="29"/>
      <c r="J514" s="29"/>
      <c r="K514" s="29"/>
      <c r="L514" s="29"/>
      <c r="M514" s="2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0"/>
      <c r="B515" s="10"/>
      <c r="C515" s="10"/>
      <c r="D515" s="10"/>
      <c r="E515" s="10"/>
      <c r="F515" s="28"/>
      <c r="G515" s="28"/>
      <c r="H515" s="28"/>
      <c r="I515" s="29"/>
      <c r="J515" s="29"/>
      <c r="K515" s="29"/>
      <c r="L515" s="29"/>
      <c r="M515" s="2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0"/>
      <c r="B516" s="10"/>
      <c r="C516" s="10"/>
      <c r="D516" s="10"/>
      <c r="E516" s="10"/>
      <c r="F516" s="28"/>
      <c r="G516" s="28"/>
      <c r="H516" s="28"/>
      <c r="I516" s="29"/>
      <c r="J516" s="29"/>
      <c r="K516" s="29"/>
      <c r="L516" s="29"/>
      <c r="M516" s="2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0"/>
      <c r="B517" s="10"/>
      <c r="C517" s="10"/>
      <c r="D517" s="10"/>
      <c r="E517" s="10"/>
      <c r="F517" s="28"/>
      <c r="G517" s="28"/>
      <c r="H517" s="28"/>
      <c r="I517" s="29"/>
      <c r="J517" s="29"/>
      <c r="K517" s="29"/>
      <c r="L517" s="29"/>
      <c r="M517" s="2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0"/>
      <c r="B518" s="10"/>
      <c r="C518" s="10"/>
      <c r="D518" s="10"/>
      <c r="E518" s="10"/>
      <c r="F518" s="28"/>
      <c r="G518" s="28"/>
      <c r="H518" s="28"/>
      <c r="I518" s="29"/>
      <c r="J518" s="29"/>
      <c r="K518" s="29"/>
      <c r="L518" s="29"/>
      <c r="M518" s="2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0"/>
      <c r="B519" s="10"/>
      <c r="C519" s="10"/>
      <c r="D519" s="10"/>
      <c r="E519" s="10"/>
      <c r="F519" s="28"/>
      <c r="G519" s="28"/>
      <c r="H519" s="28"/>
      <c r="I519" s="29"/>
      <c r="J519" s="29"/>
      <c r="K519" s="29"/>
      <c r="L519" s="29"/>
      <c r="M519" s="2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0"/>
      <c r="B520" s="10"/>
      <c r="C520" s="10"/>
      <c r="D520" s="10"/>
      <c r="E520" s="10"/>
      <c r="F520" s="28"/>
      <c r="G520" s="28"/>
      <c r="H520" s="28"/>
      <c r="I520" s="29"/>
      <c r="J520" s="29"/>
      <c r="K520" s="29"/>
      <c r="L520" s="29"/>
      <c r="M520" s="2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0"/>
      <c r="B521" s="10"/>
      <c r="C521" s="10"/>
      <c r="D521" s="10"/>
      <c r="E521" s="10"/>
      <c r="F521" s="28"/>
      <c r="G521" s="28"/>
      <c r="H521" s="28"/>
      <c r="I521" s="29"/>
      <c r="J521" s="29"/>
      <c r="K521" s="29"/>
      <c r="L521" s="29"/>
      <c r="M521" s="2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0"/>
      <c r="B522" s="10"/>
      <c r="C522" s="10"/>
      <c r="D522" s="10"/>
      <c r="E522" s="10"/>
      <c r="F522" s="28"/>
      <c r="G522" s="28"/>
      <c r="H522" s="28"/>
      <c r="I522" s="29"/>
      <c r="J522" s="29"/>
      <c r="K522" s="29"/>
      <c r="L522" s="29"/>
      <c r="M522" s="2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0"/>
      <c r="B523" s="10"/>
      <c r="C523" s="10"/>
      <c r="D523" s="10"/>
      <c r="E523" s="10"/>
      <c r="F523" s="28"/>
      <c r="G523" s="28"/>
      <c r="H523" s="28"/>
      <c r="I523" s="29"/>
      <c r="J523" s="29"/>
      <c r="K523" s="29"/>
      <c r="L523" s="29"/>
      <c r="M523" s="2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0"/>
      <c r="B524" s="10"/>
      <c r="C524" s="10"/>
      <c r="D524" s="10"/>
      <c r="E524" s="10"/>
      <c r="F524" s="28"/>
      <c r="G524" s="28"/>
      <c r="H524" s="28"/>
      <c r="I524" s="29"/>
      <c r="J524" s="29"/>
      <c r="K524" s="29"/>
      <c r="L524" s="29"/>
      <c r="M524" s="2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0"/>
      <c r="B525" s="10"/>
      <c r="C525" s="10"/>
      <c r="D525" s="10"/>
      <c r="E525" s="10"/>
      <c r="F525" s="28"/>
      <c r="G525" s="28"/>
      <c r="H525" s="28"/>
      <c r="I525" s="29"/>
      <c r="J525" s="29"/>
      <c r="K525" s="29"/>
      <c r="L525" s="29"/>
      <c r="M525" s="2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0"/>
      <c r="B526" s="10"/>
      <c r="C526" s="10"/>
      <c r="D526" s="10"/>
      <c r="E526" s="10"/>
      <c r="F526" s="28"/>
      <c r="G526" s="28"/>
      <c r="H526" s="28"/>
      <c r="I526" s="29"/>
      <c r="J526" s="29"/>
      <c r="K526" s="29"/>
      <c r="L526" s="29"/>
      <c r="M526" s="2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0"/>
      <c r="B527" s="10"/>
      <c r="C527" s="10"/>
      <c r="D527" s="10"/>
      <c r="E527" s="10"/>
      <c r="F527" s="28"/>
      <c r="G527" s="28"/>
      <c r="H527" s="28"/>
      <c r="I527" s="29"/>
      <c r="J527" s="29"/>
      <c r="K527" s="29"/>
      <c r="L527" s="29"/>
      <c r="M527" s="2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0"/>
      <c r="B528" s="10"/>
      <c r="C528" s="10"/>
      <c r="D528" s="10"/>
      <c r="E528" s="10"/>
      <c r="F528" s="28"/>
      <c r="G528" s="28"/>
      <c r="H528" s="28"/>
      <c r="I528" s="29"/>
      <c r="J528" s="29"/>
      <c r="K528" s="29"/>
      <c r="L528" s="29"/>
      <c r="M528" s="2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0"/>
      <c r="B529" s="10"/>
      <c r="C529" s="10"/>
      <c r="D529" s="10"/>
      <c r="E529" s="10"/>
      <c r="F529" s="28"/>
      <c r="G529" s="28"/>
      <c r="H529" s="28"/>
      <c r="I529" s="29"/>
      <c r="J529" s="29"/>
      <c r="K529" s="29"/>
      <c r="L529" s="29"/>
      <c r="M529" s="2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0"/>
      <c r="B530" s="10"/>
      <c r="C530" s="10"/>
      <c r="D530" s="10"/>
      <c r="E530" s="10"/>
      <c r="F530" s="28"/>
      <c r="G530" s="28"/>
      <c r="H530" s="28"/>
      <c r="I530" s="29"/>
      <c r="J530" s="29"/>
      <c r="K530" s="29"/>
      <c r="L530" s="29"/>
      <c r="M530" s="2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0"/>
      <c r="B531" s="10"/>
      <c r="C531" s="10"/>
      <c r="D531" s="10"/>
      <c r="E531" s="10"/>
      <c r="F531" s="28"/>
      <c r="G531" s="28"/>
      <c r="H531" s="28"/>
      <c r="I531" s="29"/>
      <c r="J531" s="29"/>
      <c r="K531" s="29"/>
      <c r="L531" s="29"/>
      <c r="M531" s="2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0"/>
      <c r="B532" s="10"/>
      <c r="C532" s="10"/>
      <c r="D532" s="10"/>
      <c r="E532" s="10"/>
      <c r="F532" s="28"/>
      <c r="G532" s="28"/>
      <c r="H532" s="28"/>
      <c r="I532" s="29"/>
      <c r="J532" s="29"/>
      <c r="K532" s="29"/>
      <c r="L532" s="29"/>
      <c r="M532" s="2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0"/>
      <c r="B533" s="10"/>
      <c r="C533" s="10"/>
      <c r="D533" s="10"/>
      <c r="E533" s="10"/>
      <c r="F533" s="28"/>
      <c r="G533" s="28"/>
      <c r="H533" s="28"/>
      <c r="I533" s="29"/>
      <c r="J533" s="29"/>
      <c r="K533" s="29"/>
      <c r="L533" s="29"/>
      <c r="M533" s="2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0"/>
      <c r="B534" s="10"/>
      <c r="C534" s="10"/>
      <c r="D534" s="10"/>
      <c r="E534" s="10"/>
      <c r="F534" s="28"/>
      <c r="G534" s="28"/>
      <c r="H534" s="28"/>
      <c r="I534" s="29"/>
      <c r="J534" s="29"/>
      <c r="K534" s="29"/>
      <c r="L534" s="29"/>
      <c r="M534" s="2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0"/>
      <c r="B535" s="10"/>
      <c r="C535" s="10"/>
      <c r="D535" s="10"/>
      <c r="E535" s="10"/>
      <c r="F535" s="28"/>
      <c r="G535" s="28"/>
      <c r="H535" s="28"/>
      <c r="I535" s="29"/>
      <c r="J535" s="29"/>
      <c r="K535" s="29"/>
      <c r="L535" s="29"/>
      <c r="M535" s="2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0"/>
      <c r="B536" s="10"/>
      <c r="C536" s="10"/>
      <c r="D536" s="10"/>
      <c r="E536" s="10"/>
      <c r="F536" s="28"/>
      <c r="G536" s="28"/>
      <c r="H536" s="28"/>
      <c r="I536" s="29"/>
      <c r="J536" s="29"/>
      <c r="K536" s="29"/>
      <c r="L536" s="29"/>
      <c r="M536" s="2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0"/>
      <c r="B537" s="10"/>
      <c r="C537" s="10"/>
      <c r="D537" s="10"/>
      <c r="E537" s="10"/>
      <c r="F537" s="28"/>
      <c r="G537" s="28"/>
      <c r="H537" s="28"/>
      <c r="I537" s="29"/>
      <c r="J537" s="29"/>
      <c r="K537" s="29"/>
      <c r="L537" s="29"/>
      <c r="M537" s="2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0"/>
      <c r="B538" s="10"/>
      <c r="C538" s="10"/>
      <c r="D538" s="10"/>
      <c r="E538" s="10"/>
      <c r="F538" s="28"/>
      <c r="G538" s="28"/>
      <c r="H538" s="28"/>
      <c r="I538" s="29"/>
      <c r="J538" s="29"/>
      <c r="K538" s="29"/>
      <c r="L538" s="29"/>
      <c r="M538" s="2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0"/>
      <c r="B539" s="10"/>
      <c r="C539" s="10"/>
      <c r="D539" s="10"/>
      <c r="E539" s="10"/>
      <c r="F539" s="28"/>
      <c r="G539" s="28"/>
      <c r="H539" s="28"/>
      <c r="I539" s="29"/>
      <c r="J539" s="29"/>
      <c r="K539" s="29"/>
      <c r="L539" s="29"/>
      <c r="M539" s="2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0"/>
      <c r="B540" s="10"/>
      <c r="C540" s="10"/>
      <c r="D540" s="10"/>
      <c r="E540" s="10"/>
      <c r="F540" s="28"/>
      <c r="G540" s="28"/>
      <c r="H540" s="28"/>
      <c r="I540" s="29"/>
      <c r="J540" s="29"/>
      <c r="K540" s="29"/>
      <c r="L540" s="29"/>
      <c r="M540" s="2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0"/>
      <c r="B541" s="10"/>
      <c r="C541" s="10"/>
      <c r="D541" s="10"/>
      <c r="E541" s="10"/>
      <c r="F541" s="28"/>
      <c r="G541" s="28"/>
      <c r="H541" s="28"/>
      <c r="I541" s="29"/>
      <c r="J541" s="29"/>
      <c r="K541" s="29"/>
      <c r="L541" s="29"/>
      <c r="M541" s="2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0"/>
      <c r="B542" s="10"/>
      <c r="C542" s="10"/>
      <c r="D542" s="10"/>
      <c r="E542" s="10"/>
      <c r="F542" s="28"/>
      <c r="G542" s="28"/>
      <c r="H542" s="28"/>
      <c r="I542" s="29"/>
      <c r="J542" s="29"/>
      <c r="K542" s="29"/>
      <c r="L542" s="29"/>
      <c r="M542" s="2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0"/>
      <c r="B543" s="10"/>
      <c r="C543" s="10"/>
      <c r="D543" s="10"/>
      <c r="E543" s="10"/>
      <c r="F543" s="28"/>
      <c r="G543" s="28"/>
      <c r="H543" s="28"/>
      <c r="I543" s="29"/>
      <c r="J543" s="29"/>
      <c r="K543" s="29"/>
      <c r="L543" s="29"/>
      <c r="M543" s="2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0"/>
      <c r="B544" s="10"/>
      <c r="C544" s="10"/>
      <c r="D544" s="10"/>
      <c r="E544" s="10"/>
      <c r="F544" s="28"/>
      <c r="G544" s="28"/>
      <c r="H544" s="28"/>
      <c r="I544" s="29"/>
      <c r="J544" s="29"/>
      <c r="K544" s="29"/>
      <c r="L544" s="29"/>
      <c r="M544" s="2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0"/>
      <c r="B545" s="10"/>
      <c r="C545" s="10"/>
      <c r="D545" s="10"/>
      <c r="E545" s="10"/>
      <c r="F545" s="28"/>
      <c r="G545" s="28"/>
      <c r="H545" s="28"/>
      <c r="I545" s="29"/>
      <c r="J545" s="29"/>
      <c r="K545" s="29"/>
      <c r="L545" s="29"/>
      <c r="M545" s="2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0"/>
      <c r="B546" s="10"/>
      <c r="C546" s="10"/>
      <c r="D546" s="10"/>
      <c r="E546" s="10"/>
      <c r="F546" s="28"/>
      <c r="G546" s="28"/>
      <c r="H546" s="28"/>
      <c r="I546" s="29"/>
      <c r="J546" s="29"/>
      <c r="K546" s="29"/>
      <c r="L546" s="29"/>
      <c r="M546" s="2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0"/>
      <c r="B547" s="10"/>
      <c r="C547" s="10"/>
      <c r="D547" s="10"/>
      <c r="E547" s="10"/>
      <c r="F547" s="28"/>
      <c r="G547" s="28"/>
      <c r="H547" s="28"/>
      <c r="I547" s="29"/>
      <c r="J547" s="29"/>
      <c r="K547" s="29"/>
      <c r="L547" s="29"/>
      <c r="M547" s="2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0"/>
      <c r="B548" s="10"/>
      <c r="C548" s="10"/>
      <c r="D548" s="10"/>
      <c r="E548" s="10"/>
      <c r="F548" s="28"/>
      <c r="G548" s="28"/>
      <c r="H548" s="28"/>
      <c r="I548" s="29"/>
      <c r="J548" s="29"/>
      <c r="K548" s="29"/>
      <c r="L548" s="29"/>
      <c r="M548" s="2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0"/>
      <c r="B549" s="10"/>
      <c r="C549" s="10"/>
      <c r="D549" s="10"/>
      <c r="E549" s="10"/>
      <c r="F549" s="28"/>
      <c r="G549" s="28"/>
      <c r="H549" s="28"/>
      <c r="I549" s="29"/>
      <c r="J549" s="29"/>
      <c r="K549" s="29"/>
      <c r="L549" s="29"/>
      <c r="M549" s="2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0"/>
      <c r="B550" s="10"/>
      <c r="C550" s="10"/>
      <c r="D550" s="10"/>
      <c r="E550" s="10"/>
      <c r="F550" s="28"/>
      <c r="G550" s="28"/>
      <c r="H550" s="28"/>
      <c r="I550" s="29"/>
      <c r="J550" s="29"/>
      <c r="K550" s="29"/>
      <c r="L550" s="29"/>
      <c r="M550" s="2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0"/>
      <c r="B551" s="10"/>
      <c r="C551" s="10"/>
      <c r="D551" s="10"/>
      <c r="E551" s="10"/>
      <c r="F551" s="28"/>
      <c r="G551" s="28"/>
      <c r="H551" s="28"/>
      <c r="I551" s="29"/>
      <c r="J551" s="29"/>
      <c r="K551" s="29"/>
      <c r="L551" s="29"/>
      <c r="M551" s="2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0"/>
      <c r="B552" s="10"/>
      <c r="C552" s="10"/>
      <c r="D552" s="10"/>
      <c r="E552" s="10"/>
      <c r="F552" s="28"/>
      <c r="G552" s="28"/>
      <c r="H552" s="28"/>
      <c r="I552" s="29"/>
      <c r="J552" s="29"/>
      <c r="K552" s="29"/>
      <c r="L552" s="29"/>
      <c r="M552" s="2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0"/>
      <c r="B553" s="10"/>
      <c r="C553" s="10"/>
      <c r="D553" s="10"/>
      <c r="E553" s="10"/>
      <c r="F553" s="28"/>
      <c r="G553" s="28"/>
      <c r="H553" s="28"/>
      <c r="I553" s="29"/>
      <c r="J553" s="29"/>
      <c r="K553" s="29"/>
      <c r="L553" s="29"/>
      <c r="M553" s="2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0"/>
      <c r="B554" s="10"/>
      <c r="C554" s="10"/>
      <c r="D554" s="10"/>
      <c r="E554" s="10"/>
      <c r="F554" s="28"/>
      <c r="G554" s="28"/>
      <c r="H554" s="28"/>
      <c r="I554" s="29"/>
      <c r="J554" s="29"/>
      <c r="K554" s="29"/>
      <c r="L554" s="29"/>
      <c r="M554" s="2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0"/>
      <c r="B555" s="10"/>
      <c r="C555" s="10"/>
      <c r="D555" s="10"/>
      <c r="E555" s="10"/>
      <c r="F555" s="28"/>
      <c r="G555" s="28"/>
      <c r="H555" s="28"/>
      <c r="I555" s="29"/>
      <c r="J555" s="29"/>
      <c r="K555" s="29"/>
      <c r="L555" s="29"/>
      <c r="M555" s="2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0"/>
      <c r="B556" s="10"/>
      <c r="C556" s="10"/>
      <c r="D556" s="10"/>
      <c r="E556" s="10"/>
      <c r="F556" s="28"/>
      <c r="G556" s="28"/>
      <c r="H556" s="28"/>
      <c r="I556" s="29"/>
      <c r="J556" s="29"/>
      <c r="K556" s="29"/>
      <c r="L556" s="29"/>
      <c r="M556" s="2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0"/>
      <c r="B557" s="10"/>
      <c r="C557" s="10"/>
      <c r="D557" s="10"/>
      <c r="E557" s="10"/>
      <c r="F557" s="28"/>
      <c r="G557" s="28"/>
      <c r="H557" s="28"/>
      <c r="I557" s="29"/>
      <c r="J557" s="29"/>
      <c r="K557" s="29"/>
      <c r="L557" s="29"/>
      <c r="M557" s="2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0"/>
      <c r="B558" s="10"/>
      <c r="C558" s="10"/>
      <c r="D558" s="10"/>
      <c r="E558" s="10"/>
      <c r="F558" s="28"/>
      <c r="G558" s="28"/>
      <c r="H558" s="28"/>
      <c r="I558" s="29"/>
      <c r="J558" s="29"/>
      <c r="K558" s="29"/>
      <c r="L558" s="29"/>
      <c r="M558" s="2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0"/>
      <c r="B559" s="10"/>
      <c r="C559" s="10"/>
      <c r="D559" s="10"/>
      <c r="E559" s="10"/>
      <c r="F559" s="28"/>
      <c r="G559" s="28"/>
      <c r="H559" s="28"/>
      <c r="I559" s="29"/>
      <c r="J559" s="29"/>
      <c r="K559" s="29"/>
      <c r="L559" s="29"/>
      <c r="M559" s="2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0"/>
      <c r="B560" s="10"/>
      <c r="C560" s="10"/>
      <c r="D560" s="10"/>
      <c r="E560" s="10"/>
      <c r="F560" s="28"/>
      <c r="G560" s="28"/>
      <c r="H560" s="28"/>
      <c r="I560" s="29"/>
      <c r="J560" s="29"/>
      <c r="K560" s="29"/>
      <c r="L560" s="29"/>
      <c r="M560" s="2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0"/>
      <c r="B561" s="10"/>
      <c r="C561" s="10"/>
      <c r="D561" s="10"/>
      <c r="E561" s="10"/>
      <c r="F561" s="28"/>
      <c r="G561" s="28"/>
      <c r="H561" s="28"/>
      <c r="I561" s="29"/>
      <c r="J561" s="29"/>
      <c r="K561" s="29"/>
      <c r="L561" s="29"/>
      <c r="M561" s="2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0"/>
      <c r="B562" s="10"/>
      <c r="C562" s="10"/>
      <c r="D562" s="10"/>
      <c r="E562" s="10"/>
      <c r="F562" s="28"/>
      <c r="G562" s="28"/>
      <c r="H562" s="28"/>
      <c r="I562" s="29"/>
      <c r="J562" s="29"/>
      <c r="K562" s="29"/>
      <c r="L562" s="29"/>
      <c r="M562" s="2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0"/>
      <c r="B563" s="10"/>
      <c r="C563" s="10"/>
      <c r="D563" s="10"/>
      <c r="E563" s="10"/>
      <c r="F563" s="28"/>
      <c r="G563" s="28"/>
      <c r="H563" s="28"/>
      <c r="I563" s="29"/>
      <c r="J563" s="29"/>
      <c r="K563" s="29"/>
      <c r="L563" s="29"/>
      <c r="M563" s="2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0"/>
      <c r="B564" s="10"/>
      <c r="C564" s="10"/>
      <c r="D564" s="10"/>
      <c r="E564" s="10"/>
      <c r="F564" s="28"/>
      <c r="G564" s="28"/>
      <c r="H564" s="28"/>
      <c r="I564" s="29"/>
      <c r="J564" s="29"/>
      <c r="K564" s="29"/>
      <c r="L564" s="29"/>
      <c r="M564" s="2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0"/>
      <c r="B565" s="10"/>
      <c r="C565" s="10"/>
      <c r="D565" s="10"/>
      <c r="E565" s="10"/>
      <c r="F565" s="28"/>
      <c r="G565" s="28"/>
      <c r="H565" s="28"/>
      <c r="I565" s="29"/>
      <c r="J565" s="29"/>
      <c r="K565" s="29"/>
      <c r="L565" s="29"/>
      <c r="M565" s="2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0"/>
      <c r="B566" s="10"/>
      <c r="C566" s="10"/>
      <c r="D566" s="10"/>
      <c r="E566" s="10"/>
      <c r="F566" s="28"/>
      <c r="G566" s="28"/>
      <c r="H566" s="28"/>
      <c r="I566" s="29"/>
      <c r="J566" s="29"/>
      <c r="K566" s="29"/>
      <c r="L566" s="29"/>
      <c r="M566" s="2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0"/>
      <c r="B567" s="10"/>
      <c r="C567" s="10"/>
      <c r="D567" s="10"/>
      <c r="E567" s="10"/>
      <c r="F567" s="28"/>
      <c r="G567" s="28"/>
      <c r="H567" s="28"/>
      <c r="I567" s="29"/>
      <c r="J567" s="29"/>
      <c r="K567" s="29"/>
      <c r="L567" s="29"/>
      <c r="M567" s="2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0"/>
      <c r="B568" s="10"/>
      <c r="C568" s="10"/>
      <c r="D568" s="10"/>
      <c r="E568" s="10"/>
      <c r="F568" s="28"/>
      <c r="G568" s="28"/>
      <c r="H568" s="28"/>
      <c r="I568" s="29"/>
      <c r="J568" s="29"/>
      <c r="K568" s="29"/>
      <c r="L568" s="29"/>
      <c r="M568" s="2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0"/>
      <c r="B569" s="10"/>
      <c r="C569" s="10"/>
      <c r="D569" s="10"/>
      <c r="E569" s="10"/>
      <c r="F569" s="28"/>
      <c r="G569" s="28"/>
      <c r="H569" s="28"/>
      <c r="I569" s="29"/>
      <c r="J569" s="29"/>
      <c r="K569" s="29"/>
      <c r="L569" s="29"/>
      <c r="M569" s="2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0"/>
      <c r="B570" s="10"/>
      <c r="C570" s="10"/>
      <c r="D570" s="10"/>
      <c r="E570" s="10"/>
      <c r="F570" s="28"/>
      <c r="G570" s="28"/>
      <c r="H570" s="28"/>
      <c r="I570" s="29"/>
      <c r="J570" s="29"/>
      <c r="K570" s="29"/>
      <c r="L570" s="29"/>
      <c r="M570" s="2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0"/>
      <c r="B571" s="10"/>
      <c r="C571" s="10"/>
      <c r="D571" s="10"/>
      <c r="E571" s="10"/>
      <c r="F571" s="28"/>
      <c r="G571" s="28"/>
      <c r="H571" s="28"/>
      <c r="I571" s="29"/>
      <c r="J571" s="29"/>
      <c r="K571" s="29"/>
      <c r="L571" s="29"/>
      <c r="M571" s="2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0"/>
      <c r="B572" s="10"/>
      <c r="C572" s="10"/>
      <c r="D572" s="10"/>
      <c r="E572" s="10"/>
      <c r="F572" s="28"/>
      <c r="G572" s="28"/>
      <c r="H572" s="28"/>
      <c r="I572" s="29"/>
      <c r="J572" s="29"/>
      <c r="K572" s="29"/>
      <c r="L572" s="29"/>
      <c r="M572" s="2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0"/>
      <c r="B573" s="10"/>
      <c r="C573" s="10"/>
      <c r="D573" s="10"/>
      <c r="E573" s="10"/>
      <c r="F573" s="28"/>
      <c r="G573" s="28"/>
      <c r="H573" s="28"/>
      <c r="I573" s="29"/>
      <c r="J573" s="29"/>
      <c r="K573" s="29"/>
      <c r="L573" s="29"/>
      <c r="M573" s="2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0"/>
      <c r="B574" s="10"/>
      <c r="C574" s="10"/>
      <c r="D574" s="10"/>
      <c r="E574" s="10"/>
      <c r="F574" s="28"/>
      <c r="G574" s="28"/>
      <c r="H574" s="28"/>
      <c r="I574" s="29"/>
      <c r="J574" s="29"/>
      <c r="K574" s="29"/>
      <c r="L574" s="29"/>
      <c r="M574" s="2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0"/>
      <c r="B575" s="10"/>
      <c r="C575" s="10"/>
      <c r="D575" s="10"/>
      <c r="E575" s="10"/>
      <c r="F575" s="28"/>
      <c r="G575" s="28"/>
      <c r="H575" s="28"/>
      <c r="I575" s="29"/>
      <c r="J575" s="29"/>
      <c r="K575" s="29"/>
      <c r="L575" s="29"/>
      <c r="M575" s="2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0"/>
      <c r="B576" s="10"/>
      <c r="C576" s="10"/>
      <c r="D576" s="10"/>
      <c r="E576" s="10"/>
      <c r="F576" s="28"/>
      <c r="G576" s="28"/>
      <c r="H576" s="28"/>
      <c r="I576" s="29"/>
      <c r="J576" s="29"/>
      <c r="K576" s="29"/>
      <c r="L576" s="29"/>
      <c r="M576" s="2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0"/>
      <c r="B577" s="10"/>
      <c r="C577" s="10"/>
      <c r="D577" s="10"/>
      <c r="E577" s="10"/>
      <c r="F577" s="28"/>
      <c r="G577" s="28"/>
      <c r="H577" s="28"/>
      <c r="I577" s="29"/>
      <c r="J577" s="29"/>
      <c r="K577" s="29"/>
      <c r="L577" s="29"/>
      <c r="M577" s="2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0"/>
      <c r="B578" s="10"/>
      <c r="C578" s="10"/>
      <c r="D578" s="10"/>
      <c r="E578" s="10"/>
      <c r="F578" s="28"/>
      <c r="G578" s="28"/>
      <c r="H578" s="28"/>
      <c r="I578" s="29"/>
      <c r="J578" s="29"/>
      <c r="K578" s="29"/>
      <c r="L578" s="29"/>
      <c r="M578" s="2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0"/>
      <c r="B579" s="10"/>
      <c r="C579" s="10"/>
      <c r="D579" s="10"/>
      <c r="E579" s="10"/>
      <c r="F579" s="28"/>
      <c r="G579" s="28"/>
      <c r="H579" s="28"/>
      <c r="I579" s="29"/>
      <c r="J579" s="29"/>
      <c r="K579" s="29"/>
      <c r="L579" s="29"/>
      <c r="M579" s="2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0"/>
      <c r="B580" s="10"/>
      <c r="C580" s="10"/>
      <c r="D580" s="10"/>
      <c r="E580" s="10"/>
      <c r="F580" s="28"/>
      <c r="G580" s="28"/>
      <c r="H580" s="28"/>
      <c r="I580" s="29"/>
      <c r="J580" s="29"/>
      <c r="K580" s="29"/>
      <c r="L580" s="29"/>
      <c r="M580" s="2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0"/>
      <c r="B581" s="10"/>
      <c r="C581" s="10"/>
      <c r="D581" s="10"/>
      <c r="E581" s="10"/>
      <c r="F581" s="28"/>
      <c r="G581" s="28"/>
      <c r="H581" s="28"/>
      <c r="I581" s="29"/>
      <c r="J581" s="29"/>
      <c r="K581" s="29"/>
      <c r="L581" s="29"/>
      <c r="M581" s="2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0"/>
      <c r="B582" s="10"/>
      <c r="C582" s="10"/>
      <c r="D582" s="10"/>
      <c r="E582" s="10"/>
      <c r="F582" s="28"/>
      <c r="G582" s="28"/>
      <c r="H582" s="28"/>
      <c r="I582" s="29"/>
      <c r="J582" s="29"/>
      <c r="K582" s="29"/>
      <c r="L582" s="29"/>
      <c r="M582" s="2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0"/>
      <c r="B583" s="10"/>
      <c r="C583" s="10"/>
      <c r="D583" s="10"/>
      <c r="E583" s="10"/>
      <c r="F583" s="28"/>
      <c r="G583" s="28"/>
      <c r="H583" s="28"/>
      <c r="I583" s="29"/>
      <c r="J583" s="29"/>
      <c r="K583" s="29"/>
      <c r="L583" s="29"/>
      <c r="M583" s="2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0"/>
      <c r="B584" s="10"/>
      <c r="C584" s="10"/>
      <c r="D584" s="10"/>
      <c r="E584" s="10"/>
      <c r="F584" s="28"/>
      <c r="G584" s="28"/>
      <c r="H584" s="28"/>
      <c r="I584" s="29"/>
      <c r="J584" s="29"/>
      <c r="K584" s="29"/>
      <c r="L584" s="29"/>
      <c r="M584" s="2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0"/>
      <c r="B585" s="10"/>
      <c r="C585" s="10"/>
      <c r="D585" s="10"/>
      <c r="E585" s="10"/>
      <c r="F585" s="28"/>
      <c r="G585" s="28"/>
      <c r="H585" s="28"/>
      <c r="I585" s="29"/>
      <c r="J585" s="29"/>
      <c r="K585" s="29"/>
      <c r="L585" s="29"/>
      <c r="M585" s="2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0"/>
      <c r="B586" s="10"/>
      <c r="C586" s="10"/>
      <c r="D586" s="10"/>
      <c r="E586" s="10"/>
      <c r="F586" s="28"/>
      <c r="G586" s="28"/>
      <c r="H586" s="28"/>
      <c r="I586" s="29"/>
      <c r="J586" s="29"/>
      <c r="K586" s="29"/>
      <c r="L586" s="29"/>
      <c r="M586" s="2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0"/>
      <c r="B587" s="10"/>
      <c r="C587" s="10"/>
      <c r="D587" s="10"/>
      <c r="E587" s="10"/>
      <c r="F587" s="28"/>
      <c r="G587" s="28"/>
      <c r="H587" s="28"/>
      <c r="I587" s="29"/>
      <c r="J587" s="29"/>
      <c r="K587" s="29"/>
      <c r="L587" s="29"/>
      <c r="M587" s="2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0"/>
      <c r="B588" s="10"/>
      <c r="C588" s="10"/>
      <c r="D588" s="10"/>
      <c r="E588" s="10"/>
      <c r="F588" s="28"/>
      <c r="G588" s="28"/>
      <c r="H588" s="28"/>
      <c r="I588" s="29"/>
      <c r="J588" s="29"/>
      <c r="K588" s="29"/>
      <c r="L588" s="29"/>
      <c r="M588" s="2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0"/>
      <c r="B589" s="10"/>
      <c r="C589" s="10"/>
      <c r="D589" s="10"/>
      <c r="E589" s="10"/>
      <c r="F589" s="28"/>
      <c r="G589" s="28"/>
      <c r="H589" s="28"/>
      <c r="I589" s="29"/>
      <c r="J589" s="29"/>
      <c r="K589" s="29"/>
      <c r="L589" s="29"/>
      <c r="M589" s="2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0"/>
      <c r="B590" s="10"/>
      <c r="C590" s="10"/>
      <c r="D590" s="10"/>
      <c r="E590" s="10"/>
      <c r="F590" s="28"/>
      <c r="G590" s="28"/>
      <c r="H590" s="28"/>
      <c r="I590" s="29"/>
      <c r="J590" s="29"/>
      <c r="K590" s="29"/>
      <c r="L590" s="29"/>
      <c r="M590" s="2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0"/>
      <c r="B591" s="10"/>
      <c r="C591" s="10"/>
      <c r="D591" s="10"/>
      <c r="E591" s="10"/>
      <c r="F591" s="28"/>
      <c r="G591" s="28"/>
      <c r="H591" s="28"/>
      <c r="I591" s="29"/>
      <c r="J591" s="29"/>
      <c r="K591" s="29"/>
      <c r="L591" s="29"/>
      <c r="M591" s="2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0"/>
      <c r="B592" s="10"/>
      <c r="C592" s="10"/>
      <c r="D592" s="10"/>
      <c r="E592" s="10"/>
      <c r="F592" s="28"/>
      <c r="G592" s="28"/>
      <c r="H592" s="28"/>
      <c r="I592" s="29"/>
      <c r="J592" s="29"/>
      <c r="K592" s="29"/>
      <c r="L592" s="29"/>
      <c r="M592" s="2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0"/>
      <c r="B593" s="10"/>
      <c r="C593" s="10"/>
      <c r="D593" s="10"/>
      <c r="E593" s="10"/>
      <c r="F593" s="28"/>
      <c r="G593" s="28"/>
      <c r="H593" s="28"/>
      <c r="I593" s="29"/>
      <c r="J593" s="29"/>
      <c r="K593" s="29"/>
      <c r="L593" s="29"/>
      <c r="M593" s="2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0"/>
      <c r="B594" s="10"/>
      <c r="C594" s="10"/>
      <c r="D594" s="10"/>
      <c r="E594" s="10"/>
      <c r="F594" s="28"/>
      <c r="G594" s="28"/>
      <c r="H594" s="28"/>
      <c r="I594" s="29"/>
      <c r="J594" s="29"/>
      <c r="K594" s="29"/>
      <c r="L594" s="29"/>
      <c r="M594" s="2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0"/>
      <c r="B595" s="10"/>
      <c r="C595" s="10"/>
      <c r="D595" s="10"/>
      <c r="E595" s="10"/>
      <c r="F595" s="28"/>
      <c r="G595" s="28"/>
      <c r="H595" s="28"/>
      <c r="I595" s="29"/>
      <c r="J595" s="29"/>
      <c r="K595" s="29"/>
      <c r="L595" s="29"/>
      <c r="M595" s="2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0"/>
      <c r="B596" s="10"/>
      <c r="C596" s="10"/>
      <c r="D596" s="10"/>
      <c r="E596" s="10"/>
      <c r="F596" s="28"/>
      <c r="G596" s="28"/>
      <c r="H596" s="28"/>
      <c r="I596" s="29"/>
      <c r="J596" s="29"/>
      <c r="K596" s="29"/>
      <c r="L596" s="29"/>
      <c r="M596" s="2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0"/>
      <c r="B597" s="10"/>
      <c r="C597" s="10"/>
      <c r="D597" s="10"/>
      <c r="E597" s="10"/>
      <c r="F597" s="28"/>
      <c r="G597" s="28"/>
      <c r="H597" s="28"/>
      <c r="I597" s="29"/>
      <c r="J597" s="29"/>
      <c r="K597" s="29"/>
      <c r="L597" s="29"/>
      <c r="M597" s="2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0"/>
      <c r="B598" s="10"/>
      <c r="C598" s="10"/>
      <c r="D598" s="10"/>
      <c r="E598" s="10"/>
      <c r="F598" s="28"/>
      <c r="G598" s="28"/>
      <c r="H598" s="28"/>
      <c r="I598" s="29"/>
      <c r="J598" s="29"/>
      <c r="K598" s="29"/>
      <c r="L598" s="29"/>
      <c r="M598" s="2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0"/>
      <c r="B599" s="10"/>
      <c r="C599" s="10"/>
      <c r="D599" s="10"/>
      <c r="E599" s="10"/>
      <c r="F599" s="28"/>
      <c r="G599" s="28"/>
      <c r="H599" s="28"/>
      <c r="I599" s="29"/>
      <c r="J599" s="29"/>
      <c r="K599" s="29"/>
      <c r="L599" s="29"/>
      <c r="M599" s="2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0"/>
      <c r="B600" s="10"/>
      <c r="C600" s="10"/>
      <c r="D600" s="10"/>
      <c r="E600" s="10"/>
      <c r="F600" s="28"/>
      <c r="G600" s="28"/>
      <c r="H600" s="28"/>
      <c r="I600" s="29"/>
      <c r="J600" s="29"/>
      <c r="K600" s="29"/>
      <c r="L600" s="29"/>
      <c r="M600" s="2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0"/>
      <c r="B601" s="10"/>
      <c r="C601" s="10"/>
      <c r="D601" s="10"/>
      <c r="E601" s="10"/>
      <c r="F601" s="28"/>
      <c r="G601" s="28"/>
      <c r="H601" s="28"/>
      <c r="I601" s="29"/>
      <c r="J601" s="29"/>
      <c r="K601" s="29"/>
      <c r="L601" s="29"/>
      <c r="M601" s="2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0"/>
      <c r="B602" s="10"/>
      <c r="C602" s="10"/>
      <c r="D602" s="10"/>
      <c r="E602" s="10"/>
      <c r="F602" s="28"/>
      <c r="G602" s="28"/>
      <c r="H602" s="28"/>
      <c r="I602" s="29"/>
      <c r="J602" s="29"/>
      <c r="K602" s="29"/>
      <c r="L602" s="29"/>
      <c r="M602" s="2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0"/>
      <c r="B603" s="10"/>
      <c r="C603" s="10"/>
      <c r="D603" s="10"/>
      <c r="E603" s="10"/>
      <c r="F603" s="28"/>
      <c r="G603" s="28"/>
      <c r="H603" s="28"/>
      <c r="I603" s="29"/>
      <c r="J603" s="29"/>
      <c r="K603" s="29"/>
      <c r="L603" s="29"/>
      <c r="M603" s="2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0"/>
      <c r="B604" s="10"/>
      <c r="C604" s="10"/>
      <c r="D604" s="10"/>
      <c r="E604" s="10"/>
      <c r="F604" s="28"/>
      <c r="G604" s="28"/>
      <c r="H604" s="28"/>
      <c r="I604" s="29"/>
      <c r="J604" s="29"/>
      <c r="K604" s="29"/>
      <c r="L604" s="29"/>
      <c r="M604" s="2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0"/>
      <c r="B605" s="10"/>
      <c r="C605" s="10"/>
      <c r="D605" s="10"/>
      <c r="E605" s="10"/>
      <c r="F605" s="28"/>
      <c r="G605" s="28"/>
      <c r="H605" s="28"/>
      <c r="I605" s="29"/>
      <c r="J605" s="29"/>
      <c r="K605" s="29"/>
      <c r="L605" s="29"/>
      <c r="M605" s="2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0"/>
      <c r="B606" s="10"/>
      <c r="C606" s="10"/>
      <c r="D606" s="10"/>
      <c r="E606" s="10"/>
      <c r="F606" s="28"/>
      <c r="G606" s="28"/>
      <c r="H606" s="28"/>
      <c r="I606" s="29"/>
      <c r="J606" s="29"/>
      <c r="K606" s="29"/>
      <c r="L606" s="29"/>
      <c r="M606" s="2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0"/>
      <c r="B607" s="10"/>
      <c r="C607" s="10"/>
      <c r="D607" s="10"/>
      <c r="E607" s="10"/>
      <c r="F607" s="28"/>
      <c r="G607" s="28"/>
      <c r="H607" s="28"/>
      <c r="I607" s="29"/>
      <c r="J607" s="29"/>
      <c r="K607" s="29"/>
      <c r="L607" s="29"/>
      <c r="M607" s="2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0"/>
      <c r="B608" s="10"/>
      <c r="C608" s="10"/>
      <c r="D608" s="10"/>
      <c r="E608" s="10"/>
      <c r="F608" s="28"/>
      <c r="G608" s="28"/>
      <c r="H608" s="28"/>
      <c r="I608" s="29"/>
      <c r="J608" s="29"/>
      <c r="K608" s="29"/>
      <c r="L608" s="29"/>
      <c r="M608" s="2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0"/>
      <c r="B609" s="10"/>
      <c r="C609" s="10"/>
      <c r="D609" s="10"/>
      <c r="E609" s="10"/>
      <c r="F609" s="28"/>
      <c r="G609" s="28"/>
      <c r="H609" s="28"/>
      <c r="I609" s="29"/>
      <c r="J609" s="29"/>
      <c r="K609" s="29"/>
      <c r="L609" s="29"/>
      <c r="M609" s="2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0"/>
      <c r="B610" s="10"/>
      <c r="C610" s="10"/>
      <c r="D610" s="10"/>
      <c r="E610" s="10"/>
      <c r="F610" s="28"/>
      <c r="G610" s="28"/>
      <c r="H610" s="28"/>
      <c r="I610" s="29"/>
      <c r="J610" s="29"/>
      <c r="K610" s="29"/>
      <c r="L610" s="29"/>
      <c r="M610" s="2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0"/>
      <c r="B611" s="10"/>
      <c r="C611" s="10"/>
      <c r="D611" s="10"/>
      <c r="E611" s="10"/>
      <c r="F611" s="28"/>
      <c r="G611" s="28"/>
      <c r="H611" s="28"/>
      <c r="I611" s="29"/>
      <c r="J611" s="29"/>
      <c r="K611" s="29"/>
      <c r="L611" s="29"/>
      <c r="M611" s="2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0"/>
      <c r="B612" s="10"/>
      <c r="C612" s="10"/>
      <c r="D612" s="10"/>
      <c r="E612" s="10"/>
      <c r="F612" s="28"/>
      <c r="G612" s="28"/>
      <c r="H612" s="28"/>
      <c r="I612" s="29"/>
      <c r="J612" s="29"/>
      <c r="K612" s="29"/>
      <c r="L612" s="29"/>
      <c r="M612" s="2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0"/>
      <c r="B613" s="10"/>
      <c r="C613" s="10"/>
      <c r="D613" s="10"/>
      <c r="E613" s="10"/>
      <c r="F613" s="28"/>
      <c r="G613" s="28"/>
      <c r="H613" s="28"/>
      <c r="I613" s="29"/>
      <c r="J613" s="29"/>
      <c r="K613" s="29"/>
      <c r="L613" s="29"/>
      <c r="M613" s="2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0"/>
      <c r="B614" s="10"/>
      <c r="C614" s="10"/>
      <c r="D614" s="10"/>
      <c r="E614" s="10"/>
      <c r="F614" s="28"/>
      <c r="G614" s="28"/>
      <c r="H614" s="28"/>
      <c r="I614" s="29"/>
      <c r="J614" s="29"/>
      <c r="K614" s="29"/>
      <c r="L614" s="29"/>
      <c r="M614" s="2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0"/>
      <c r="B615" s="10"/>
      <c r="C615" s="10"/>
      <c r="D615" s="10"/>
      <c r="E615" s="10"/>
      <c r="F615" s="28"/>
      <c r="G615" s="28"/>
      <c r="H615" s="28"/>
      <c r="I615" s="29"/>
      <c r="J615" s="29"/>
      <c r="K615" s="29"/>
      <c r="L615" s="29"/>
      <c r="M615" s="2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0"/>
      <c r="B616" s="10"/>
      <c r="C616" s="10"/>
      <c r="D616" s="10"/>
      <c r="E616" s="10"/>
      <c r="F616" s="28"/>
      <c r="G616" s="28"/>
      <c r="H616" s="28"/>
      <c r="I616" s="29"/>
      <c r="J616" s="29"/>
      <c r="K616" s="29"/>
      <c r="L616" s="29"/>
      <c r="M616" s="2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0"/>
      <c r="B617" s="10"/>
      <c r="C617" s="10"/>
      <c r="D617" s="10"/>
      <c r="E617" s="10"/>
      <c r="F617" s="28"/>
      <c r="G617" s="28"/>
      <c r="H617" s="28"/>
      <c r="I617" s="29"/>
      <c r="J617" s="29"/>
      <c r="K617" s="29"/>
      <c r="L617" s="29"/>
      <c r="M617" s="2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0"/>
      <c r="B618" s="10"/>
      <c r="C618" s="10"/>
      <c r="D618" s="10"/>
      <c r="E618" s="10"/>
      <c r="F618" s="28"/>
      <c r="G618" s="28"/>
      <c r="H618" s="28"/>
      <c r="I618" s="29"/>
      <c r="J618" s="29"/>
      <c r="K618" s="29"/>
      <c r="L618" s="29"/>
      <c r="M618" s="2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0"/>
      <c r="B619" s="10"/>
      <c r="C619" s="10"/>
      <c r="D619" s="10"/>
      <c r="E619" s="10"/>
      <c r="F619" s="28"/>
      <c r="G619" s="28"/>
      <c r="H619" s="28"/>
      <c r="I619" s="29"/>
      <c r="J619" s="29"/>
      <c r="K619" s="29"/>
      <c r="L619" s="29"/>
      <c r="M619" s="2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0"/>
      <c r="B620" s="10"/>
      <c r="C620" s="10"/>
      <c r="D620" s="10"/>
      <c r="E620" s="10"/>
      <c r="F620" s="28"/>
      <c r="G620" s="28"/>
      <c r="H620" s="28"/>
      <c r="I620" s="29"/>
      <c r="J620" s="29"/>
      <c r="K620" s="29"/>
      <c r="L620" s="29"/>
      <c r="M620" s="2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0"/>
      <c r="B621" s="10"/>
      <c r="C621" s="10"/>
      <c r="D621" s="10"/>
      <c r="E621" s="10"/>
      <c r="F621" s="28"/>
      <c r="G621" s="28"/>
      <c r="H621" s="28"/>
      <c r="I621" s="29"/>
      <c r="J621" s="29"/>
      <c r="K621" s="29"/>
      <c r="L621" s="29"/>
      <c r="M621" s="2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0"/>
      <c r="B622" s="10"/>
      <c r="C622" s="10"/>
      <c r="D622" s="10"/>
      <c r="E622" s="10"/>
      <c r="F622" s="28"/>
      <c r="G622" s="28"/>
      <c r="H622" s="28"/>
      <c r="I622" s="29"/>
      <c r="J622" s="29"/>
      <c r="K622" s="29"/>
      <c r="L622" s="29"/>
      <c r="M622" s="2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0"/>
      <c r="B623" s="10"/>
      <c r="C623" s="10"/>
      <c r="D623" s="10"/>
      <c r="E623" s="10"/>
      <c r="F623" s="28"/>
      <c r="G623" s="28"/>
      <c r="H623" s="28"/>
      <c r="I623" s="29"/>
      <c r="J623" s="29"/>
      <c r="K623" s="29"/>
      <c r="L623" s="29"/>
      <c r="M623" s="2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0"/>
      <c r="B624" s="10"/>
      <c r="C624" s="10"/>
      <c r="D624" s="10"/>
      <c r="E624" s="10"/>
      <c r="F624" s="28"/>
      <c r="G624" s="28"/>
      <c r="H624" s="28"/>
      <c r="I624" s="29"/>
      <c r="J624" s="29"/>
      <c r="K624" s="29"/>
      <c r="L624" s="29"/>
      <c r="M624" s="2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0"/>
      <c r="B625" s="10"/>
      <c r="C625" s="10"/>
      <c r="D625" s="10"/>
      <c r="E625" s="10"/>
      <c r="F625" s="28"/>
      <c r="G625" s="28"/>
      <c r="H625" s="28"/>
      <c r="I625" s="29"/>
      <c r="J625" s="29"/>
      <c r="K625" s="29"/>
      <c r="L625" s="29"/>
      <c r="M625" s="2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0"/>
      <c r="B626" s="10"/>
      <c r="C626" s="10"/>
      <c r="D626" s="10"/>
      <c r="E626" s="10"/>
      <c r="F626" s="28"/>
      <c r="G626" s="28"/>
      <c r="H626" s="28"/>
      <c r="I626" s="29"/>
      <c r="J626" s="29"/>
      <c r="K626" s="29"/>
      <c r="L626" s="29"/>
      <c r="M626" s="2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0"/>
      <c r="B627" s="10"/>
      <c r="C627" s="10"/>
      <c r="D627" s="10"/>
      <c r="E627" s="10"/>
      <c r="F627" s="28"/>
      <c r="G627" s="28"/>
      <c r="H627" s="28"/>
      <c r="I627" s="29"/>
      <c r="J627" s="29"/>
      <c r="K627" s="29"/>
      <c r="L627" s="29"/>
      <c r="M627" s="2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0"/>
      <c r="B628" s="10"/>
      <c r="C628" s="10"/>
      <c r="D628" s="10"/>
      <c r="E628" s="10"/>
      <c r="F628" s="28"/>
      <c r="G628" s="28"/>
      <c r="H628" s="28"/>
      <c r="I628" s="29"/>
      <c r="J628" s="29"/>
      <c r="K628" s="29"/>
      <c r="L628" s="29"/>
      <c r="M628" s="2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0"/>
      <c r="B629" s="10"/>
      <c r="C629" s="10"/>
      <c r="D629" s="10"/>
      <c r="E629" s="10"/>
      <c r="F629" s="28"/>
      <c r="G629" s="28"/>
      <c r="H629" s="28"/>
      <c r="I629" s="29"/>
      <c r="J629" s="29"/>
      <c r="K629" s="29"/>
      <c r="L629" s="29"/>
      <c r="M629" s="2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0"/>
      <c r="B630" s="10"/>
      <c r="C630" s="10"/>
      <c r="D630" s="10"/>
      <c r="E630" s="10"/>
      <c r="F630" s="28"/>
      <c r="G630" s="28"/>
      <c r="H630" s="28"/>
      <c r="I630" s="29"/>
      <c r="J630" s="29"/>
      <c r="K630" s="29"/>
      <c r="L630" s="29"/>
      <c r="M630" s="2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0"/>
      <c r="B631" s="10"/>
      <c r="C631" s="10"/>
      <c r="D631" s="10"/>
      <c r="E631" s="10"/>
      <c r="F631" s="28"/>
      <c r="G631" s="28"/>
      <c r="H631" s="28"/>
      <c r="I631" s="29"/>
      <c r="J631" s="29"/>
      <c r="K631" s="29"/>
      <c r="L631" s="29"/>
      <c r="M631" s="2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0"/>
      <c r="B632" s="10"/>
      <c r="C632" s="10"/>
      <c r="D632" s="10"/>
      <c r="E632" s="10"/>
      <c r="F632" s="28"/>
      <c r="G632" s="28"/>
      <c r="H632" s="28"/>
      <c r="I632" s="29"/>
      <c r="J632" s="29"/>
      <c r="K632" s="29"/>
      <c r="L632" s="29"/>
      <c r="M632" s="2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0"/>
      <c r="B633" s="10"/>
      <c r="C633" s="10"/>
      <c r="D633" s="10"/>
      <c r="E633" s="10"/>
      <c r="F633" s="28"/>
      <c r="G633" s="28"/>
      <c r="H633" s="28"/>
      <c r="I633" s="29"/>
      <c r="J633" s="29"/>
      <c r="K633" s="29"/>
      <c r="L633" s="29"/>
      <c r="M633" s="2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0"/>
      <c r="B634" s="10"/>
      <c r="C634" s="10"/>
      <c r="D634" s="10"/>
      <c r="E634" s="10"/>
      <c r="F634" s="28"/>
      <c r="G634" s="28"/>
      <c r="H634" s="28"/>
      <c r="I634" s="29"/>
      <c r="J634" s="29"/>
      <c r="K634" s="29"/>
      <c r="L634" s="29"/>
      <c r="M634" s="2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0"/>
      <c r="B635" s="10"/>
      <c r="C635" s="10"/>
      <c r="D635" s="10"/>
      <c r="E635" s="10"/>
      <c r="F635" s="28"/>
      <c r="G635" s="28"/>
      <c r="H635" s="28"/>
      <c r="I635" s="29"/>
      <c r="J635" s="29"/>
      <c r="K635" s="29"/>
      <c r="L635" s="29"/>
      <c r="M635" s="2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0"/>
      <c r="B636" s="10"/>
      <c r="C636" s="10"/>
      <c r="D636" s="10"/>
      <c r="E636" s="10"/>
      <c r="F636" s="28"/>
      <c r="G636" s="28"/>
      <c r="H636" s="28"/>
      <c r="I636" s="29"/>
      <c r="J636" s="29"/>
      <c r="K636" s="29"/>
      <c r="L636" s="29"/>
      <c r="M636" s="2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0"/>
      <c r="B637" s="10"/>
      <c r="C637" s="10"/>
      <c r="D637" s="10"/>
      <c r="E637" s="10"/>
      <c r="F637" s="28"/>
      <c r="G637" s="28"/>
      <c r="H637" s="28"/>
      <c r="I637" s="29"/>
      <c r="J637" s="29"/>
      <c r="K637" s="29"/>
      <c r="L637" s="29"/>
      <c r="M637" s="2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0"/>
      <c r="B638" s="10"/>
      <c r="C638" s="10"/>
      <c r="D638" s="10"/>
      <c r="E638" s="10"/>
      <c r="F638" s="28"/>
      <c r="G638" s="28"/>
      <c r="H638" s="28"/>
      <c r="I638" s="29"/>
      <c r="J638" s="29"/>
      <c r="K638" s="29"/>
      <c r="L638" s="29"/>
      <c r="M638" s="2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0"/>
      <c r="B639" s="10"/>
      <c r="C639" s="10"/>
      <c r="D639" s="10"/>
      <c r="E639" s="10"/>
      <c r="F639" s="28"/>
      <c r="G639" s="28"/>
      <c r="H639" s="28"/>
      <c r="I639" s="29"/>
      <c r="J639" s="29"/>
      <c r="K639" s="29"/>
      <c r="L639" s="29"/>
      <c r="M639" s="2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0"/>
      <c r="B640" s="10"/>
      <c r="C640" s="10"/>
      <c r="D640" s="10"/>
      <c r="E640" s="10"/>
      <c r="F640" s="28"/>
      <c r="G640" s="28"/>
      <c r="H640" s="28"/>
      <c r="I640" s="29"/>
      <c r="J640" s="29"/>
      <c r="K640" s="29"/>
      <c r="L640" s="29"/>
      <c r="M640" s="2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0"/>
      <c r="B641" s="10"/>
      <c r="C641" s="10"/>
      <c r="D641" s="10"/>
      <c r="E641" s="10"/>
      <c r="F641" s="28"/>
      <c r="G641" s="28"/>
      <c r="H641" s="28"/>
      <c r="I641" s="29"/>
      <c r="J641" s="29"/>
      <c r="K641" s="29"/>
      <c r="L641" s="29"/>
      <c r="M641" s="2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0"/>
      <c r="B642" s="10"/>
      <c r="C642" s="10"/>
      <c r="D642" s="10"/>
      <c r="E642" s="10"/>
      <c r="F642" s="28"/>
      <c r="G642" s="28"/>
      <c r="H642" s="28"/>
      <c r="I642" s="29"/>
      <c r="J642" s="29"/>
      <c r="K642" s="29"/>
      <c r="L642" s="29"/>
      <c r="M642" s="2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0"/>
      <c r="B643" s="10"/>
      <c r="C643" s="10"/>
      <c r="D643" s="10"/>
      <c r="E643" s="10"/>
      <c r="F643" s="28"/>
      <c r="G643" s="28"/>
      <c r="H643" s="28"/>
      <c r="I643" s="29"/>
      <c r="J643" s="29"/>
      <c r="K643" s="29"/>
      <c r="L643" s="29"/>
      <c r="M643" s="2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0"/>
      <c r="B644" s="10"/>
      <c r="C644" s="10"/>
      <c r="D644" s="10"/>
      <c r="E644" s="10"/>
      <c r="F644" s="28"/>
      <c r="G644" s="28"/>
      <c r="H644" s="28"/>
      <c r="I644" s="29"/>
      <c r="J644" s="29"/>
      <c r="K644" s="29"/>
      <c r="L644" s="29"/>
      <c r="M644" s="2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0"/>
      <c r="B645" s="10"/>
      <c r="C645" s="10"/>
      <c r="D645" s="10"/>
      <c r="E645" s="10"/>
      <c r="F645" s="28"/>
      <c r="G645" s="28"/>
      <c r="H645" s="28"/>
      <c r="I645" s="29"/>
      <c r="J645" s="29"/>
      <c r="K645" s="29"/>
      <c r="L645" s="29"/>
      <c r="M645" s="2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0"/>
      <c r="B646" s="10"/>
      <c r="C646" s="10"/>
      <c r="D646" s="10"/>
      <c r="E646" s="10"/>
      <c r="F646" s="28"/>
      <c r="G646" s="28"/>
      <c r="H646" s="28"/>
      <c r="I646" s="29"/>
      <c r="J646" s="29"/>
      <c r="K646" s="29"/>
      <c r="L646" s="29"/>
      <c r="M646" s="2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0"/>
      <c r="B647" s="10"/>
      <c r="C647" s="10"/>
      <c r="D647" s="10"/>
      <c r="E647" s="10"/>
      <c r="F647" s="28"/>
      <c r="G647" s="28"/>
      <c r="H647" s="28"/>
      <c r="I647" s="29"/>
      <c r="J647" s="29"/>
      <c r="K647" s="29"/>
      <c r="L647" s="29"/>
      <c r="M647" s="2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0"/>
      <c r="B648" s="10"/>
      <c r="C648" s="10"/>
      <c r="D648" s="10"/>
      <c r="E648" s="10"/>
      <c r="F648" s="28"/>
      <c r="G648" s="28"/>
      <c r="H648" s="28"/>
      <c r="I648" s="29"/>
      <c r="J648" s="29"/>
      <c r="K648" s="29"/>
      <c r="L648" s="29"/>
      <c r="M648" s="2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0"/>
      <c r="B649" s="10"/>
      <c r="C649" s="10"/>
      <c r="D649" s="10"/>
      <c r="E649" s="10"/>
      <c r="F649" s="28"/>
      <c r="G649" s="28"/>
      <c r="H649" s="28"/>
      <c r="I649" s="29"/>
      <c r="J649" s="29"/>
      <c r="K649" s="29"/>
      <c r="L649" s="29"/>
      <c r="M649" s="2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0"/>
      <c r="B650" s="10"/>
      <c r="C650" s="10"/>
      <c r="D650" s="10"/>
      <c r="E650" s="10"/>
      <c r="F650" s="28"/>
      <c r="G650" s="28"/>
      <c r="H650" s="28"/>
      <c r="I650" s="29"/>
      <c r="J650" s="29"/>
      <c r="K650" s="29"/>
      <c r="L650" s="29"/>
      <c r="M650" s="2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0"/>
      <c r="B651" s="10"/>
      <c r="C651" s="10"/>
      <c r="D651" s="10"/>
      <c r="E651" s="10"/>
      <c r="F651" s="28"/>
      <c r="G651" s="28"/>
      <c r="H651" s="28"/>
      <c r="I651" s="29"/>
      <c r="J651" s="29"/>
      <c r="K651" s="29"/>
      <c r="L651" s="29"/>
      <c r="M651" s="2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0"/>
      <c r="B652" s="10"/>
      <c r="C652" s="10"/>
      <c r="D652" s="10"/>
      <c r="E652" s="10"/>
      <c r="F652" s="28"/>
      <c r="G652" s="28"/>
      <c r="H652" s="28"/>
      <c r="I652" s="29"/>
      <c r="J652" s="29"/>
      <c r="K652" s="29"/>
      <c r="L652" s="29"/>
      <c r="M652" s="2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0"/>
      <c r="B653" s="10"/>
      <c r="C653" s="10"/>
      <c r="D653" s="10"/>
      <c r="E653" s="10"/>
      <c r="F653" s="28"/>
      <c r="G653" s="28"/>
      <c r="H653" s="28"/>
      <c r="I653" s="29"/>
      <c r="J653" s="29"/>
      <c r="K653" s="29"/>
      <c r="L653" s="29"/>
      <c r="M653" s="2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0"/>
      <c r="B654" s="10"/>
      <c r="C654" s="10"/>
      <c r="D654" s="10"/>
      <c r="E654" s="10"/>
      <c r="F654" s="28"/>
      <c r="G654" s="28"/>
      <c r="H654" s="28"/>
      <c r="I654" s="29"/>
      <c r="J654" s="29"/>
      <c r="K654" s="29"/>
      <c r="L654" s="29"/>
      <c r="M654" s="2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0"/>
      <c r="B655" s="10"/>
      <c r="C655" s="10"/>
      <c r="D655" s="10"/>
      <c r="E655" s="10"/>
      <c r="F655" s="28"/>
      <c r="G655" s="28"/>
      <c r="H655" s="28"/>
      <c r="I655" s="29"/>
      <c r="J655" s="29"/>
      <c r="K655" s="29"/>
      <c r="L655" s="29"/>
      <c r="M655" s="2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0"/>
      <c r="B656" s="10"/>
      <c r="C656" s="10"/>
      <c r="D656" s="10"/>
      <c r="E656" s="10"/>
      <c r="F656" s="28"/>
      <c r="G656" s="28"/>
      <c r="H656" s="28"/>
      <c r="I656" s="29"/>
      <c r="J656" s="29"/>
      <c r="K656" s="29"/>
      <c r="L656" s="29"/>
      <c r="M656" s="2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0"/>
      <c r="B657" s="10"/>
      <c r="C657" s="10"/>
      <c r="D657" s="10"/>
      <c r="E657" s="10"/>
      <c r="F657" s="28"/>
      <c r="G657" s="28"/>
      <c r="H657" s="28"/>
      <c r="I657" s="29"/>
      <c r="J657" s="29"/>
      <c r="K657" s="29"/>
      <c r="L657" s="29"/>
      <c r="M657" s="2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0"/>
      <c r="B658" s="10"/>
      <c r="C658" s="10"/>
      <c r="D658" s="10"/>
      <c r="E658" s="10"/>
      <c r="F658" s="28"/>
      <c r="G658" s="28"/>
      <c r="H658" s="28"/>
      <c r="I658" s="29"/>
      <c r="J658" s="29"/>
      <c r="K658" s="29"/>
      <c r="L658" s="29"/>
      <c r="M658" s="2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0"/>
      <c r="B659" s="10"/>
      <c r="C659" s="10"/>
      <c r="D659" s="10"/>
      <c r="E659" s="10"/>
      <c r="F659" s="28"/>
      <c r="G659" s="28"/>
      <c r="H659" s="28"/>
      <c r="I659" s="29"/>
      <c r="J659" s="29"/>
      <c r="K659" s="29"/>
      <c r="L659" s="29"/>
      <c r="M659" s="2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0"/>
      <c r="B660" s="10"/>
      <c r="C660" s="10"/>
      <c r="D660" s="10"/>
      <c r="E660" s="10"/>
      <c r="F660" s="28"/>
      <c r="G660" s="28"/>
      <c r="H660" s="28"/>
      <c r="I660" s="29"/>
      <c r="J660" s="29"/>
      <c r="K660" s="29"/>
      <c r="L660" s="29"/>
      <c r="M660" s="2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0"/>
      <c r="B661" s="10"/>
      <c r="C661" s="10"/>
      <c r="D661" s="10"/>
      <c r="E661" s="10"/>
      <c r="F661" s="28"/>
      <c r="G661" s="28"/>
      <c r="H661" s="28"/>
      <c r="I661" s="29"/>
      <c r="J661" s="29"/>
      <c r="K661" s="29"/>
      <c r="L661" s="29"/>
      <c r="M661" s="2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0"/>
      <c r="B662" s="10"/>
      <c r="C662" s="10"/>
      <c r="D662" s="10"/>
      <c r="E662" s="10"/>
      <c r="F662" s="28"/>
      <c r="G662" s="28"/>
      <c r="H662" s="28"/>
      <c r="I662" s="29"/>
      <c r="J662" s="29"/>
      <c r="K662" s="29"/>
      <c r="L662" s="29"/>
      <c r="M662" s="2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0"/>
      <c r="B663" s="10"/>
      <c r="C663" s="10"/>
      <c r="D663" s="10"/>
      <c r="E663" s="10"/>
      <c r="F663" s="28"/>
      <c r="G663" s="28"/>
      <c r="H663" s="28"/>
      <c r="I663" s="29"/>
      <c r="J663" s="29"/>
      <c r="K663" s="29"/>
      <c r="L663" s="29"/>
      <c r="M663" s="2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0"/>
      <c r="B664" s="10"/>
      <c r="C664" s="10"/>
      <c r="D664" s="10"/>
      <c r="E664" s="10"/>
      <c r="F664" s="28"/>
      <c r="G664" s="28"/>
      <c r="H664" s="28"/>
      <c r="I664" s="29"/>
      <c r="J664" s="29"/>
      <c r="K664" s="29"/>
      <c r="L664" s="29"/>
      <c r="M664" s="2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0"/>
      <c r="B665" s="10"/>
      <c r="C665" s="10"/>
      <c r="D665" s="10"/>
      <c r="E665" s="10"/>
      <c r="F665" s="28"/>
      <c r="G665" s="28"/>
      <c r="H665" s="28"/>
      <c r="I665" s="29"/>
      <c r="J665" s="29"/>
      <c r="K665" s="29"/>
      <c r="L665" s="29"/>
      <c r="M665" s="2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0"/>
      <c r="B666" s="10"/>
      <c r="C666" s="10"/>
      <c r="D666" s="10"/>
      <c r="E666" s="10"/>
      <c r="F666" s="28"/>
      <c r="G666" s="28"/>
      <c r="H666" s="28"/>
      <c r="I666" s="29"/>
      <c r="J666" s="29"/>
      <c r="K666" s="29"/>
      <c r="L666" s="29"/>
      <c r="M666" s="2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0"/>
      <c r="B667" s="10"/>
      <c r="C667" s="10"/>
      <c r="D667" s="10"/>
      <c r="E667" s="10"/>
      <c r="F667" s="28"/>
      <c r="G667" s="28"/>
      <c r="H667" s="28"/>
      <c r="I667" s="29"/>
      <c r="J667" s="29"/>
      <c r="K667" s="29"/>
      <c r="L667" s="29"/>
      <c r="M667" s="2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0"/>
      <c r="B668" s="10"/>
      <c r="C668" s="10"/>
      <c r="D668" s="10"/>
      <c r="E668" s="10"/>
      <c r="F668" s="28"/>
      <c r="G668" s="28"/>
      <c r="H668" s="28"/>
      <c r="I668" s="29"/>
      <c r="J668" s="29"/>
      <c r="K668" s="29"/>
      <c r="L668" s="29"/>
      <c r="M668" s="2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0"/>
      <c r="B669" s="10"/>
      <c r="C669" s="10"/>
      <c r="D669" s="10"/>
      <c r="E669" s="10"/>
      <c r="F669" s="28"/>
      <c r="G669" s="28"/>
      <c r="H669" s="28"/>
      <c r="I669" s="29"/>
      <c r="J669" s="29"/>
      <c r="K669" s="29"/>
      <c r="L669" s="29"/>
      <c r="M669" s="2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0"/>
      <c r="B670" s="10"/>
      <c r="C670" s="10"/>
      <c r="D670" s="10"/>
      <c r="E670" s="10"/>
      <c r="F670" s="28"/>
      <c r="G670" s="28"/>
      <c r="H670" s="28"/>
      <c r="I670" s="29"/>
      <c r="J670" s="29"/>
      <c r="K670" s="29"/>
      <c r="L670" s="29"/>
      <c r="M670" s="2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0"/>
      <c r="B671" s="10"/>
      <c r="C671" s="10"/>
      <c r="D671" s="10"/>
      <c r="E671" s="10"/>
      <c r="F671" s="28"/>
      <c r="G671" s="28"/>
      <c r="H671" s="28"/>
      <c r="I671" s="29"/>
      <c r="J671" s="29"/>
      <c r="K671" s="29"/>
      <c r="L671" s="29"/>
      <c r="M671" s="2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0"/>
      <c r="B672" s="10"/>
      <c r="C672" s="10"/>
      <c r="D672" s="10"/>
      <c r="E672" s="10"/>
      <c r="F672" s="28"/>
      <c r="G672" s="28"/>
      <c r="H672" s="28"/>
      <c r="I672" s="29"/>
      <c r="J672" s="29"/>
      <c r="K672" s="29"/>
      <c r="L672" s="29"/>
      <c r="M672" s="2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0"/>
      <c r="B673" s="10"/>
      <c r="C673" s="10"/>
      <c r="D673" s="10"/>
      <c r="E673" s="10"/>
      <c r="F673" s="28"/>
      <c r="G673" s="28"/>
      <c r="H673" s="28"/>
      <c r="I673" s="29"/>
      <c r="J673" s="29"/>
      <c r="K673" s="29"/>
      <c r="L673" s="29"/>
      <c r="M673" s="2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0"/>
      <c r="B674" s="10"/>
      <c r="C674" s="10"/>
      <c r="D674" s="10"/>
      <c r="E674" s="10"/>
      <c r="F674" s="28"/>
      <c r="G674" s="28"/>
      <c r="H674" s="28"/>
      <c r="I674" s="29"/>
      <c r="J674" s="29"/>
      <c r="K674" s="29"/>
      <c r="L674" s="29"/>
      <c r="M674" s="2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0"/>
      <c r="B675" s="10"/>
      <c r="C675" s="10"/>
      <c r="D675" s="10"/>
      <c r="E675" s="10"/>
      <c r="F675" s="28"/>
      <c r="G675" s="28"/>
      <c r="H675" s="28"/>
      <c r="I675" s="29"/>
      <c r="J675" s="29"/>
      <c r="K675" s="29"/>
      <c r="L675" s="29"/>
      <c r="M675" s="2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0"/>
      <c r="B676" s="10"/>
      <c r="C676" s="10"/>
      <c r="D676" s="10"/>
      <c r="E676" s="10"/>
      <c r="F676" s="28"/>
      <c r="G676" s="28"/>
      <c r="H676" s="28"/>
      <c r="I676" s="29"/>
      <c r="J676" s="29"/>
      <c r="K676" s="29"/>
      <c r="L676" s="29"/>
      <c r="M676" s="2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0"/>
      <c r="B677" s="10"/>
      <c r="C677" s="10"/>
      <c r="D677" s="10"/>
      <c r="E677" s="10"/>
      <c r="F677" s="28"/>
      <c r="G677" s="28"/>
      <c r="H677" s="28"/>
      <c r="I677" s="29"/>
      <c r="J677" s="29"/>
      <c r="K677" s="29"/>
      <c r="L677" s="29"/>
      <c r="M677" s="2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0"/>
      <c r="B678" s="10"/>
      <c r="C678" s="10"/>
      <c r="D678" s="10"/>
      <c r="E678" s="10"/>
      <c r="F678" s="28"/>
      <c r="G678" s="28"/>
      <c r="H678" s="28"/>
      <c r="I678" s="29"/>
      <c r="J678" s="29"/>
      <c r="K678" s="29"/>
      <c r="L678" s="29"/>
      <c r="M678" s="2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0"/>
      <c r="B679" s="10"/>
      <c r="C679" s="10"/>
      <c r="D679" s="10"/>
      <c r="E679" s="10"/>
      <c r="F679" s="28"/>
      <c r="G679" s="28"/>
      <c r="H679" s="28"/>
      <c r="I679" s="29"/>
      <c r="J679" s="29"/>
      <c r="K679" s="29"/>
      <c r="L679" s="29"/>
      <c r="M679" s="2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0"/>
      <c r="B680" s="10"/>
      <c r="C680" s="10"/>
      <c r="D680" s="10"/>
      <c r="E680" s="10"/>
      <c r="F680" s="28"/>
      <c r="G680" s="28"/>
      <c r="H680" s="28"/>
      <c r="I680" s="29"/>
      <c r="J680" s="29"/>
      <c r="K680" s="29"/>
      <c r="L680" s="29"/>
      <c r="M680" s="2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0"/>
      <c r="B681" s="10"/>
      <c r="C681" s="10"/>
      <c r="D681" s="10"/>
      <c r="E681" s="10"/>
      <c r="F681" s="28"/>
      <c r="G681" s="28"/>
      <c r="H681" s="28"/>
      <c r="I681" s="29"/>
      <c r="J681" s="29"/>
      <c r="K681" s="29"/>
      <c r="L681" s="29"/>
      <c r="M681" s="2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0"/>
      <c r="B682" s="10"/>
      <c r="C682" s="10"/>
      <c r="D682" s="10"/>
      <c r="E682" s="10"/>
      <c r="F682" s="28"/>
      <c r="G682" s="28"/>
      <c r="H682" s="28"/>
      <c r="I682" s="29"/>
      <c r="J682" s="29"/>
      <c r="K682" s="29"/>
      <c r="L682" s="29"/>
      <c r="M682" s="2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0"/>
      <c r="B683" s="10"/>
      <c r="C683" s="10"/>
      <c r="D683" s="10"/>
      <c r="E683" s="10"/>
      <c r="F683" s="28"/>
      <c r="G683" s="28"/>
      <c r="H683" s="28"/>
      <c r="I683" s="29"/>
      <c r="J683" s="29"/>
      <c r="K683" s="29"/>
      <c r="L683" s="29"/>
      <c r="M683" s="2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0"/>
      <c r="B684" s="10"/>
      <c r="C684" s="10"/>
      <c r="D684" s="10"/>
      <c r="E684" s="10"/>
      <c r="F684" s="28"/>
      <c r="G684" s="28"/>
      <c r="H684" s="28"/>
      <c r="I684" s="29"/>
      <c r="J684" s="29"/>
      <c r="K684" s="29"/>
      <c r="L684" s="29"/>
      <c r="M684" s="2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0"/>
      <c r="B685" s="10"/>
      <c r="C685" s="10"/>
      <c r="D685" s="10"/>
      <c r="E685" s="10"/>
      <c r="F685" s="28"/>
      <c r="G685" s="28"/>
      <c r="H685" s="28"/>
      <c r="I685" s="29"/>
      <c r="J685" s="29"/>
      <c r="K685" s="29"/>
      <c r="L685" s="29"/>
      <c r="M685" s="2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0"/>
      <c r="B686" s="10"/>
      <c r="C686" s="10"/>
      <c r="D686" s="10"/>
      <c r="E686" s="10"/>
      <c r="F686" s="28"/>
      <c r="G686" s="28"/>
      <c r="H686" s="28"/>
      <c r="I686" s="29"/>
      <c r="J686" s="29"/>
      <c r="K686" s="29"/>
      <c r="L686" s="29"/>
      <c r="M686" s="2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0"/>
      <c r="B687" s="10"/>
      <c r="C687" s="10"/>
      <c r="D687" s="10"/>
      <c r="E687" s="10"/>
      <c r="F687" s="28"/>
      <c r="G687" s="28"/>
      <c r="H687" s="28"/>
      <c r="I687" s="29"/>
      <c r="J687" s="29"/>
      <c r="K687" s="29"/>
      <c r="L687" s="29"/>
      <c r="M687" s="2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0"/>
      <c r="B688" s="10"/>
      <c r="C688" s="10"/>
      <c r="D688" s="10"/>
      <c r="E688" s="10"/>
      <c r="F688" s="28"/>
      <c r="G688" s="28"/>
      <c r="H688" s="28"/>
      <c r="I688" s="29"/>
      <c r="J688" s="29"/>
      <c r="K688" s="29"/>
      <c r="L688" s="29"/>
      <c r="M688" s="2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0"/>
      <c r="B689" s="10"/>
      <c r="C689" s="10"/>
      <c r="D689" s="10"/>
      <c r="E689" s="10"/>
      <c r="F689" s="28"/>
      <c r="G689" s="28"/>
      <c r="H689" s="28"/>
      <c r="I689" s="29"/>
      <c r="J689" s="29"/>
      <c r="K689" s="29"/>
      <c r="L689" s="29"/>
      <c r="M689" s="2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0"/>
      <c r="B690" s="10"/>
      <c r="C690" s="10"/>
      <c r="D690" s="10"/>
      <c r="E690" s="10"/>
      <c r="F690" s="28"/>
      <c r="G690" s="28"/>
      <c r="H690" s="28"/>
      <c r="I690" s="29"/>
      <c r="J690" s="29"/>
      <c r="K690" s="29"/>
      <c r="L690" s="29"/>
      <c r="M690" s="2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0"/>
      <c r="B691" s="10"/>
      <c r="C691" s="10"/>
      <c r="D691" s="10"/>
      <c r="E691" s="10"/>
      <c r="F691" s="28"/>
      <c r="G691" s="28"/>
      <c r="H691" s="28"/>
      <c r="I691" s="29"/>
      <c r="J691" s="29"/>
      <c r="K691" s="29"/>
      <c r="L691" s="29"/>
      <c r="M691" s="2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0"/>
      <c r="B692" s="10"/>
      <c r="C692" s="10"/>
      <c r="D692" s="10"/>
      <c r="E692" s="10"/>
      <c r="F692" s="28"/>
      <c r="G692" s="28"/>
      <c r="H692" s="28"/>
      <c r="I692" s="29"/>
      <c r="J692" s="29"/>
      <c r="K692" s="29"/>
      <c r="L692" s="29"/>
      <c r="M692" s="2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0"/>
      <c r="B693" s="10"/>
      <c r="C693" s="10"/>
      <c r="D693" s="10"/>
      <c r="E693" s="10"/>
      <c r="F693" s="28"/>
      <c r="G693" s="28"/>
      <c r="H693" s="28"/>
      <c r="I693" s="29"/>
      <c r="J693" s="29"/>
      <c r="K693" s="29"/>
      <c r="L693" s="29"/>
      <c r="M693" s="2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0"/>
      <c r="B694" s="10"/>
      <c r="C694" s="10"/>
      <c r="D694" s="10"/>
      <c r="E694" s="10"/>
      <c r="F694" s="28"/>
      <c r="G694" s="28"/>
      <c r="H694" s="28"/>
      <c r="I694" s="29"/>
      <c r="J694" s="29"/>
      <c r="K694" s="29"/>
      <c r="L694" s="29"/>
      <c r="M694" s="2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0"/>
      <c r="B695" s="10"/>
      <c r="C695" s="10"/>
      <c r="D695" s="10"/>
      <c r="E695" s="10"/>
      <c r="F695" s="28"/>
      <c r="G695" s="28"/>
      <c r="H695" s="28"/>
      <c r="I695" s="29"/>
      <c r="J695" s="29"/>
      <c r="K695" s="29"/>
      <c r="L695" s="29"/>
      <c r="M695" s="2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0"/>
      <c r="B696" s="10"/>
      <c r="C696" s="10"/>
      <c r="D696" s="10"/>
      <c r="E696" s="10"/>
      <c r="F696" s="28"/>
      <c r="G696" s="28"/>
      <c r="H696" s="28"/>
      <c r="I696" s="29"/>
      <c r="J696" s="29"/>
      <c r="K696" s="29"/>
      <c r="L696" s="29"/>
      <c r="M696" s="2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0"/>
      <c r="B697" s="10"/>
      <c r="C697" s="10"/>
      <c r="D697" s="10"/>
      <c r="E697" s="10"/>
      <c r="F697" s="28"/>
      <c r="G697" s="28"/>
      <c r="H697" s="28"/>
      <c r="I697" s="29"/>
      <c r="J697" s="29"/>
      <c r="K697" s="29"/>
      <c r="L697" s="29"/>
      <c r="M697" s="2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0"/>
      <c r="B698" s="10"/>
      <c r="C698" s="10"/>
      <c r="D698" s="10"/>
      <c r="E698" s="10"/>
      <c r="F698" s="28"/>
      <c r="G698" s="28"/>
      <c r="H698" s="28"/>
      <c r="I698" s="29"/>
      <c r="J698" s="29"/>
      <c r="K698" s="29"/>
      <c r="L698" s="29"/>
      <c r="M698" s="2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0"/>
      <c r="B699" s="10"/>
      <c r="C699" s="10"/>
      <c r="D699" s="10"/>
      <c r="E699" s="10"/>
      <c r="F699" s="28"/>
      <c r="G699" s="28"/>
      <c r="H699" s="28"/>
      <c r="I699" s="29"/>
      <c r="J699" s="29"/>
      <c r="K699" s="29"/>
      <c r="L699" s="29"/>
      <c r="M699" s="2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0"/>
      <c r="B700" s="10"/>
      <c r="C700" s="10"/>
      <c r="D700" s="10"/>
      <c r="E700" s="10"/>
      <c r="F700" s="28"/>
      <c r="G700" s="28"/>
      <c r="H700" s="28"/>
      <c r="I700" s="29"/>
      <c r="J700" s="29"/>
      <c r="K700" s="29"/>
      <c r="L700" s="29"/>
      <c r="M700" s="2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0"/>
      <c r="B701" s="10"/>
      <c r="C701" s="10"/>
      <c r="D701" s="10"/>
      <c r="E701" s="10"/>
      <c r="F701" s="28"/>
      <c r="G701" s="28"/>
      <c r="H701" s="28"/>
      <c r="I701" s="29"/>
      <c r="J701" s="29"/>
      <c r="K701" s="29"/>
      <c r="L701" s="29"/>
      <c r="M701" s="2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0"/>
      <c r="B702" s="10"/>
      <c r="C702" s="10"/>
      <c r="D702" s="10"/>
      <c r="E702" s="10"/>
      <c r="F702" s="28"/>
      <c r="G702" s="28"/>
      <c r="H702" s="28"/>
      <c r="I702" s="29"/>
      <c r="J702" s="29"/>
      <c r="K702" s="29"/>
      <c r="L702" s="29"/>
      <c r="M702" s="2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0"/>
      <c r="B703" s="10"/>
      <c r="C703" s="10"/>
      <c r="D703" s="10"/>
      <c r="E703" s="10"/>
      <c r="F703" s="28"/>
      <c r="G703" s="28"/>
      <c r="H703" s="28"/>
      <c r="I703" s="29"/>
      <c r="J703" s="29"/>
      <c r="K703" s="29"/>
      <c r="L703" s="29"/>
      <c r="M703" s="2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0"/>
      <c r="B704" s="10"/>
      <c r="C704" s="10"/>
      <c r="D704" s="10"/>
      <c r="E704" s="10"/>
      <c r="F704" s="28"/>
      <c r="G704" s="28"/>
      <c r="H704" s="28"/>
      <c r="I704" s="29"/>
      <c r="J704" s="29"/>
      <c r="K704" s="29"/>
      <c r="L704" s="29"/>
      <c r="M704" s="2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0"/>
      <c r="B705" s="10"/>
      <c r="C705" s="10"/>
      <c r="D705" s="10"/>
      <c r="E705" s="10"/>
      <c r="F705" s="28"/>
      <c r="G705" s="28"/>
      <c r="H705" s="28"/>
      <c r="I705" s="29"/>
      <c r="J705" s="29"/>
      <c r="K705" s="29"/>
      <c r="L705" s="29"/>
      <c r="M705" s="2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0"/>
      <c r="B706" s="10"/>
      <c r="C706" s="10"/>
      <c r="D706" s="10"/>
      <c r="E706" s="10"/>
      <c r="F706" s="28"/>
      <c r="G706" s="28"/>
      <c r="H706" s="28"/>
      <c r="I706" s="29"/>
      <c r="J706" s="29"/>
      <c r="K706" s="29"/>
      <c r="L706" s="29"/>
      <c r="M706" s="2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0"/>
      <c r="B707" s="10"/>
      <c r="C707" s="10"/>
      <c r="D707" s="10"/>
      <c r="E707" s="10"/>
      <c r="F707" s="28"/>
      <c r="G707" s="28"/>
      <c r="H707" s="28"/>
      <c r="I707" s="29"/>
      <c r="J707" s="29"/>
      <c r="K707" s="29"/>
      <c r="L707" s="29"/>
      <c r="M707" s="2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0"/>
      <c r="B708" s="10"/>
      <c r="C708" s="10"/>
      <c r="D708" s="10"/>
      <c r="E708" s="10"/>
      <c r="F708" s="28"/>
      <c r="G708" s="28"/>
      <c r="H708" s="28"/>
      <c r="I708" s="29"/>
      <c r="J708" s="29"/>
      <c r="K708" s="29"/>
      <c r="L708" s="29"/>
      <c r="M708" s="2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0"/>
      <c r="B709" s="10"/>
      <c r="C709" s="10"/>
      <c r="D709" s="10"/>
      <c r="E709" s="10"/>
      <c r="F709" s="28"/>
      <c r="G709" s="28"/>
      <c r="H709" s="28"/>
      <c r="I709" s="29"/>
      <c r="J709" s="29"/>
      <c r="K709" s="29"/>
      <c r="L709" s="29"/>
      <c r="M709" s="2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0"/>
      <c r="B710" s="10"/>
      <c r="C710" s="10"/>
      <c r="D710" s="10"/>
      <c r="E710" s="10"/>
      <c r="F710" s="28"/>
      <c r="G710" s="28"/>
      <c r="H710" s="28"/>
      <c r="I710" s="29"/>
      <c r="J710" s="29"/>
      <c r="K710" s="29"/>
      <c r="L710" s="29"/>
      <c r="M710" s="2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0"/>
      <c r="B711" s="10"/>
      <c r="C711" s="10"/>
      <c r="D711" s="10"/>
      <c r="E711" s="10"/>
      <c r="F711" s="28"/>
      <c r="G711" s="28"/>
      <c r="H711" s="28"/>
      <c r="I711" s="29"/>
      <c r="J711" s="29"/>
      <c r="K711" s="29"/>
      <c r="L711" s="29"/>
      <c r="M711" s="2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0"/>
      <c r="B712" s="10"/>
      <c r="C712" s="10"/>
      <c r="D712" s="10"/>
      <c r="E712" s="10"/>
      <c r="F712" s="28"/>
      <c r="G712" s="28"/>
      <c r="H712" s="28"/>
      <c r="I712" s="29"/>
      <c r="J712" s="29"/>
      <c r="K712" s="29"/>
      <c r="L712" s="29"/>
      <c r="M712" s="2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0"/>
      <c r="B713" s="10"/>
      <c r="C713" s="10"/>
      <c r="D713" s="10"/>
      <c r="E713" s="10"/>
      <c r="F713" s="28"/>
      <c r="G713" s="28"/>
      <c r="H713" s="28"/>
      <c r="I713" s="29"/>
      <c r="J713" s="29"/>
      <c r="K713" s="29"/>
      <c r="L713" s="29"/>
      <c r="M713" s="2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0"/>
      <c r="B714" s="10"/>
      <c r="C714" s="10"/>
      <c r="D714" s="10"/>
      <c r="E714" s="10"/>
      <c r="F714" s="28"/>
      <c r="G714" s="28"/>
      <c r="H714" s="28"/>
      <c r="I714" s="29"/>
      <c r="J714" s="29"/>
      <c r="K714" s="29"/>
      <c r="L714" s="29"/>
      <c r="M714" s="2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0"/>
      <c r="B715" s="10"/>
      <c r="C715" s="10"/>
      <c r="D715" s="10"/>
      <c r="E715" s="10"/>
      <c r="F715" s="28"/>
      <c r="G715" s="28"/>
      <c r="H715" s="28"/>
      <c r="I715" s="29"/>
      <c r="J715" s="29"/>
      <c r="K715" s="29"/>
      <c r="L715" s="29"/>
      <c r="M715" s="2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0"/>
      <c r="B716" s="10"/>
      <c r="C716" s="10"/>
      <c r="D716" s="10"/>
      <c r="E716" s="10"/>
      <c r="F716" s="28"/>
      <c r="G716" s="28"/>
      <c r="H716" s="28"/>
      <c r="I716" s="29"/>
      <c r="J716" s="29"/>
      <c r="K716" s="29"/>
      <c r="L716" s="29"/>
      <c r="M716" s="2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0"/>
      <c r="B717" s="10"/>
      <c r="C717" s="10"/>
      <c r="D717" s="10"/>
      <c r="E717" s="10"/>
      <c r="F717" s="28"/>
      <c r="G717" s="28"/>
      <c r="H717" s="28"/>
      <c r="I717" s="29"/>
      <c r="J717" s="29"/>
      <c r="K717" s="29"/>
      <c r="L717" s="29"/>
      <c r="M717" s="2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0"/>
      <c r="B718" s="10"/>
      <c r="C718" s="10"/>
      <c r="D718" s="10"/>
      <c r="E718" s="10"/>
      <c r="F718" s="28"/>
      <c r="G718" s="28"/>
      <c r="H718" s="28"/>
      <c r="I718" s="29"/>
      <c r="J718" s="29"/>
      <c r="K718" s="29"/>
      <c r="L718" s="29"/>
      <c r="M718" s="2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0"/>
      <c r="B719" s="10"/>
      <c r="C719" s="10"/>
      <c r="D719" s="10"/>
      <c r="E719" s="10"/>
      <c r="F719" s="28"/>
      <c r="G719" s="28"/>
      <c r="H719" s="28"/>
      <c r="I719" s="29"/>
      <c r="J719" s="29"/>
      <c r="K719" s="29"/>
      <c r="L719" s="29"/>
      <c r="M719" s="2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0"/>
      <c r="B720" s="10"/>
      <c r="C720" s="10"/>
      <c r="D720" s="10"/>
      <c r="E720" s="10"/>
      <c r="F720" s="28"/>
      <c r="G720" s="28"/>
      <c r="H720" s="28"/>
      <c r="I720" s="29"/>
      <c r="J720" s="29"/>
      <c r="K720" s="29"/>
      <c r="L720" s="29"/>
      <c r="M720" s="2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0"/>
      <c r="B721" s="10"/>
      <c r="C721" s="10"/>
      <c r="D721" s="10"/>
      <c r="E721" s="10"/>
      <c r="F721" s="28"/>
      <c r="G721" s="28"/>
      <c r="H721" s="28"/>
      <c r="I721" s="29"/>
      <c r="J721" s="29"/>
      <c r="K721" s="29"/>
      <c r="L721" s="29"/>
      <c r="M721" s="2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0"/>
      <c r="B722" s="10"/>
      <c r="C722" s="10"/>
      <c r="D722" s="10"/>
      <c r="E722" s="10"/>
      <c r="F722" s="28"/>
      <c r="G722" s="28"/>
      <c r="H722" s="28"/>
      <c r="I722" s="29"/>
      <c r="J722" s="29"/>
      <c r="K722" s="29"/>
      <c r="L722" s="29"/>
      <c r="M722" s="2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0"/>
      <c r="B723" s="10"/>
      <c r="C723" s="10"/>
      <c r="D723" s="10"/>
      <c r="E723" s="10"/>
      <c r="F723" s="28"/>
      <c r="G723" s="28"/>
      <c r="H723" s="28"/>
      <c r="I723" s="29"/>
      <c r="J723" s="29"/>
      <c r="K723" s="29"/>
      <c r="L723" s="29"/>
      <c r="M723" s="2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0"/>
      <c r="B724" s="10"/>
      <c r="C724" s="10"/>
      <c r="D724" s="10"/>
      <c r="E724" s="10"/>
      <c r="F724" s="28"/>
      <c r="G724" s="28"/>
      <c r="H724" s="28"/>
      <c r="I724" s="29"/>
      <c r="J724" s="29"/>
      <c r="K724" s="29"/>
      <c r="L724" s="29"/>
      <c r="M724" s="2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0"/>
      <c r="B725" s="10"/>
      <c r="C725" s="10"/>
      <c r="D725" s="10"/>
      <c r="E725" s="10"/>
      <c r="F725" s="28"/>
      <c r="G725" s="28"/>
      <c r="H725" s="28"/>
      <c r="I725" s="29"/>
      <c r="J725" s="29"/>
      <c r="K725" s="29"/>
      <c r="L725" s="29"/>
      <c r="M725" s="2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0"/>
      <c r="B726" s="10"/>
      <c r="C726" s="10"/>
      <c r="D726" s="10"/>
      <c r="E726" s="10"/>
      <c r="F726" s="28"/>
      <c r="G726" s="28"/>
      <c r="H726" s="28"/>
      <c r="I726" s="29"/>
      <c r="J726" s="29"/>
      <c r="K726" s="29"/>
      <c r="L726" s="29"/>
      <c r="M726" s="2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0"/>
      <c r="B727" s="10"/>
      <c r="C727" s="10"/>
      <c r="D727" s="10"/>
      <c r="E727" s="10"/>
      <c r="F727" s="28"/>
      <c r="G727" s="28"/>
      <c r="H727" s="28"/>
      <c r="I727" s="29"/>
      <c r="J727" s="29"/>
      <c r="K727" s="29"/>
      <c r="L727" s="29"/>
      <c r="M727" s="2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0"/>
      <c r="B728" s="10"/>
      <c r="C728" s="10"/>
      <c r="D728" s="10"/>
      <c r="E728" s="10"/>
      <c r="F728" s="28"/>
      <c r="G728" s="28"/>
      <c r="H728" s="28"/>
      <c r="I728" s="29"/>
      <c r="J728" s="29"/>
      <c r="K728" s="29"/>
      <c r="L728" s="29"/>
      <c r="M728" s="2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0"/>
      <c r="B729" s="10"/>
      <c r="C729" s="10"/>
      <c r="D729" s="10"/>
      <c r="E729" s="10"/>
      <c r="F729" s="28"/>
      <c r="G729" s="28"/>
      <c r="H729" s="28"/>
      <c r="I729" s="29"/>
      <c r="J729" s="29"/>
      <c r="K729" s="29"/>
      <c r="L729" s="29"/>
      <c r="M729" s="2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0"/>
      <c r="B730" s="10"/>
      <c r="C730" s="10"/>
      <c r="D730" s="10"/>
      <c r="E730" s="10"/>
      <c r="F730" s="28"/>
      <c r="G730" s="28"/>
      <c r="H730" s="28"/>
      <c r="I730" s="29"/>
      <c r="J730" s="29"/>
      <c r="K730" s="29"/>
      <c r="L730" s="29"/>
      <c r="M730" s="2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0"/>
      <c r="B731" s="10"/>
      <c r="C731" s="10"/>
      <c r="D731" s="10"/>
      <c r="E731" s="10"/>
      <c r="F731" s="28"/>
      <c r="G731" s="28"/>
      <c r="H731" s="28"/>
      <c r="I731" s="29"/>
      <c r="J731" s="29"/>
      <c r="K731" s="29"/>
      <c r="L731" s="29"/>
      <c r="M731" s="2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0"/>
      <c r="B732" s="10"/>
      <c r="C732" s="10"/>
      <c r="D732" s="10"/>
      <c r="E732" s="10"/>
      <c r="F732" s="28"/>
      <c r="G732" s="28"/>
      <c r="H732" s="28"/>
      <c r="I732" s="29"/>
      <c r="J732" s="29"/>
      <c r="K732" s="29"/>
      <c r="L732" s="29"/>
      <c r="M732" s="2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0"/>
      <c r="B733" s="10"/>
      <c r="C733" s="10"/>
      <c r="D733" s="10"/>
      <c r="E733" s="10"/>
      <c r="F733" s="28"/>
      <c r="G733" s="28"/>
      <c r="H733" s="28"/>
      <c r="I733" s="29"/>
      <c r="J733" s="29"/>
      <c r="K733" s="29"/>
      <c r="L733" s="29"/>
      <c r="M733" s="2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0"/>
      <c r="B734" s="10"/>
      <c r="C734" s="10"/>
      <c r="D734" s="10"/>
      <c r="E734" s="10"/>
      <c r="F734" s="28"/>
      <c r="G734" s="28"/>
      <c r="H734" s="28"/>
      <c r="I734" s="29"/>
      <c r="J734" s="29"/>
      <c r="K734" s="29"/>
      <c r="L734" s="29"/>
      <c r="M734" s="2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0"/>
      <c r="B735" s="10"/>
      <c r="C735" s="10"/>
      <c r="D735" s="10"/>
      <c r="E735" s="10"/>
      <c r="F735" s="28"/>
      <c r="G735" s="28"/>
      <c r="H735" s="28"/>
      <c r="I735" s="29"/>
      <c r="J735" s="29"/>
      <c r="K735" s="29"/>
      <c r="L735" s="29"/>
      <c r="M735" s="2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0"/>
      <c r="B736" s="10"/>
      <c r="C736" s="10"/>
      <c r="D736" s="10"/>
      <c r="E736" s="10"/>
      <c r="F736" s="28"/>
      <c r="G736" s="28"/>
      <c r="H736" s="28"/>
      <c r="I736" s="29"/>
      <c r="J736" s="29"/>
      <c r="K736" s="29"/>
      <c r="L736" s="29"/>
      <c r="M736" s="2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0"/>
      <c r="B737" s="10"/>
      <c r="C737" s="10"/>
      <c r="D737" s="10"/>
      <c r="E737" s="10"/>
      <c r="F737" s="28"/>
      <c r="G737" s="28"/>
      <c r="H737" s="28"/>
      <c r="I737" s="29"/>
      <c r="J737" s="29"/>
      <c r="K737" s="29"/>
      <c r="L737" s="29"/>
      <c r="M737" s="2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0"/>
      <c r="B738" s="10"/>
      <c r="C738" s="10"/>
      <c r="D738" s="10"/>
      <c r="E738" s="10"/>
      <c r="F738" s="28"/>
      <c r="G738" s="28"/>
      <c r="H738" s="28"/>
      <c r="I738" s="29"/>
      <c r="J738" s="29"/>
      <c r="K738" s="29"/>
      <c r="L738" s="29"/>
      <c r="M738" s="2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0"/>
      <c r="B739" s="10"/>
      <c r="C739" s="10"/>
      <c r="D739" s="10"/>
      <c r="E739" s="10"/>
      <c r="F739" s="28"/>
      <c r="G739" s="28"/>
      <c r="H739" s="28"/>
      <c r="I739" s="29"/>
      <c r="J739" s="29"/>
      <c r="K739" s="29"/>
      <c r="L739" s="29"/>
      <c r="M739" s="2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0"/>
      <c r="B740" s="10"/>
      <c r="C740" s="10"/>
      <c r="D740" s="10"/>
      <c r="E740" s="10"/>
      <c r="F740" s="28"/>
      <c r="G740" s="28"/>
      <c r="H740" s="28"/>
      <c r="I740" s="29"/>
      <c r="J740" s="29"/>
      <c r="K740" s="29"/>
      <c r="L740" s="29"/>
      <c r="M740" s="2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0"/>
      <c r="B741" s="10"/>
      <c r="C741" s="10"/>
      <c r="D741" s="10"/>
      <c r="E741" s="10"/>
      <c r="F741" s="28"/>
      <c r="G741" s="28"/>
      <c r="H741" s="28"/>
      <c r="I741" s="29"/>
      <c r="J741" s="29"/>
      <c r="K741" s="29"/>
      <c r="L741" s="29"/>
      <c r="M741" s="2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0"/>
      <c r="B742" s="10"/>
      <c r="C742" s="10"/>
      <c r="D742" s="10"/>
      <c r="E742" s="10"/>
      <c r="F742" s="28"/>
      <c r="G742" s="28"/>
      <c r="H742" s="28"/>
      <c r="I742" s="29"/>
      <c r="J742" s="29"/>
      <c r="K742" s="29"/>
      <c r="L742" s="29"/>
      <c r="M742" s="2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0"/>
      <c r="B743" s="10"/>
      <c r="C743" s="10"/>
      <c r="D743" s="10"/>
      <c r="E743" s="10"/>
      <c r="F743" s="28"/>
      <c r="G743" s="28"/>
      <c r="H743" s="28"/>
      <c r="I743" s="29"/>
      <c r="J743" s="29"/>
      <c r="K743" s="29"/>
      <c r="L743" s="29"/>
      <c r="M743" s="2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0"/>
      <c r="B744" s="10"/>
      <c r="C744" s="10"/>
      <c r="D744" s="10"/>
      <c r="E744" s="10"/>
      <c r="F744" s="28"/>
      <c r="G744" s="28"/>
      <c r="H744" s="28"/>
      <c r="I744" s="29"/>
      <c r="J744" s="29"/>
      <c r="K744" s="29"/>
      <c r="L744" s="29"/>
      <c r="M744" s="2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0"/>
      <c r="B745" s="10"/>
      <c r="C745" s="10"/>
      <c r="D745" s="10"/>
      <c r="E745" s="10"/>
      <c r="F745" s="28"/>
      <c r="G745" s="28"/>
      <c r="H745" s="28"/>
      <c r="I745" s="29"/>
      <c r="J745" s="29"/>
      <c r="K745" s="29"/>
      <c r="L745" s="29"/>
      <c r="M745" s="2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0"/>
      <c r="B746" s="10"/>
      <c r="C746" s="10"/>
      <c r="D746" s="10"/>
      <c r="E746" s="10"/>
      <c r="F746" s="28"/>
      <c r="G746" s="28"/>
      <c r="H746" s="28"/>
      <c r="I746" s="29"/>
      <c r="J746" s="29"/>
      <c r="K746" s="29"/>
      <c r="L746" s="29"/>
      <c r="M746" s="2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0"/>
      <c r="B747" s="10"/>
      <c r="C747" s="10"/>
      <c r="D747" s="10"/>
      <c r="E747" s="10"/>
      <c r="F747" s="28"/>
      <c r="G747" s="28"/>
      <c r="H747" s="28"/>
      <c r="I747" s="29"/>
      <c r="J747" s="29"/>
      <c r="K747" s="29"/>
      <c r="L747" s="29"/>
      <c r="M747" s="2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0"/>
      <c r="B748" s="10"/>
      <c r="C748" s="10"/>
      <c r="D748" s="10"/>
      <c r="E748" s="10"/>
      <c r="F748" s="28"/>
      <c r="G748" s="28"/>
      <c r="H748" s="28"/>
      <c r="I748" s="29"/>
      <c r="J748" s="29"/>
      <c r="K748" s="29"/>
      <c r="L748" s="29"/>
      <c r="M748" s="2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0"/>
      <c r="B749" s="10"/>
      <c r="C749" s="10"/>
      <c r="D749" s="10"/>
      <c r="E749" s="10"/>
      <c r="F749" s="28"/>
      <c r="G749" s="28"/>
      <c r="H749" s="28"/>
      <c r="I749" s="29"/>
      <c r="J749" s="29"/>
      <c r="K749" s="29"/>
      <c r="L749" s="29"/>
      <c r="M749" s="2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0"/>
      <c r="B750" s="10"/>
      <c r="C750" s="10"/>
      <c r="D750" s="10"/>
      <c r="E750" s="10"/>
      <c r="F750" s="28"/>
      <c r="G750" s="28"/>
      <c r="H750" s="28"/>
      <c r="I750" s="29"/>
      <c r="J750" s="29"/>
      <c r="K750" s="29"/>
      <c r="L750" s="29"/>
      <c r="M750" s="2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0"/>
      <c r="B751" s="10"/>
      <c r="C751" s="10"/>
      <c r="D751" s="10"/>
      <c r="E751" s="10"/>
      <c r="F751" s="28"/>
      <c r="G751" s="28"/>
      <c r="H751" s="28"/>
      <c r="I751" s="29"/>
      <c r="J751" s="29"/>
      <c r="K751" s="29"/>
      <c r="L751" s="29"/>
      <c r="M751" s="2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0"/>
      <c r="B752" s="10"/>
      <c r="C752" s="10"/>
      <c r="D752" s="10"/>
      <c r="E752" s="10"/>
      <c r="F752" s="28"/>
      <c r="G752" s="28"/>
      <c r="H752" s="28"/>
      <c r="I752" s="29"/>
      <c r="J752" s="29"/>
      <c r="K752" s="29"/>
      <c r="L752" s="29"/>
      <c r="M752" s="2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0"/>
      <c r="B753" s="10"/>
      <c r="C753" s="10"/>
      <c r="D753" s="10"/>
      <c r="E753" s="10"/>
      <c r="F753" s="28"/>
      <c r="G753" s="28"/>
      <c r="H753" s="28"/>
      <c r="I753" s="29"/>
      <c r="J753" s="29"/>
      <c r="K753" s="29"/>
      <c r="L753" s="29"/>
      <c r="M753" s="2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0"/>
      <c r="B754" s="10"/>
      <c r="C754" s="10"/>
      <c r="D754" s="10"/>
      <c r="E754" s="10"/>
      <c r="F754" s="28"/>
      <c r="G754" s="28"/>
      <c r="H754" s="28"/>
      <c r="I754" s="29"/>
      <c r="J754" s="29"/>
      <c r="K754" s="29"/>
      <c r="L754" s="29"/>
      <c r="M754" s="2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0"/>
      <c r="B755" s="10"/>
      <c r="C755" s="10"/>
      <c r="D755" s="10"/>
      <c r="E755" s="10"/>
      <c r="F755" s="28"/>
      <c r="G755" s="28"/>
      <c r="H755" s="28"/>
      <c r="I755" s="29"/>
      <c r="J755" s="29"/>
      <c r="K755" s="29"/>
      <c r="L755" s="29"/>
      <c r="M755" s="2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0"/>
      <c r="B756" s="10"/>
      <c r="C756" s="10"/>
      <c r="D756" s="10"/>
      <c r="E756" s="10"/>
      <c r="F756" s="28"/>
      <c r="G756" s="28"/>
      <c r="H756" s="28"/>
      <c r="I756" s="29"/>
      <c r="J756" s="29"/>
      <c r="K756" s="29"/>
      <c r="L756" s="29"/>
      <c r="M756" s="2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0"/>
      <c r="B757" s="10"/>
      <c r="C757" s="10"/>
      <c r="D757" s="10"/>
      <c r="E757" s="10"/>
      <c r="F757" s="28"/>
      <c r="G757" s="28"/>
      <c r="H757" s="28"/>
      <c r="I757" s="29"/>
      <c r="J757" s="29"/>
      <c r="K757" s="29"/>
      <c r="L757" s="29"/>
      <c r="M757" s="2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0"/>
      <c r="B758" s="10"/>
      <c r="C758" s="10"/>
      <c r="D758" s="10"/>
      <c r="E758" s="10"/>
      <c r="F758" s="28"/>
      <c r="G758" s="28"/>
      <c r="H758" s="28"/>
      <c r="I758" s="29"/>
      <c r="J758" s="29"/>
      <c r="K758" s="29"/>
      <c r="L758" s="29"/>
      <c r="M758" s="2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0"/>
      <c r="B759" s="10"/>
      <c r="C759" s="10"/>
      <c r="D759" s="10"/>
      <c r="E759" s="10"/>
      <c r="F759" s="28"/>
      <c r="G759" s="28"/>
      <c r="H759" s="28"/>
      <c r="I759" s="29"/>
      <c r="J759" s="29"/>
      <c r="K759" s="29"/>
      <c r="L759" s="29"/>
      <c r="M759" s="2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0"/>
      <c r="B760" s="10"/>
      <c r="C760" s="10"/>
      <c r="D760" s="10"/>
      <c r="E760" s="10"/>
      <c r="F760" s="28"/>
      <c r="G760" s="28"/>
      <c r="H760" s="28"/>
      <c r="I760" s="29"/>
      <c r="J760" s="29"/>
      <c r="K760" s="29"/>
      <c r="L760" s="29"/>
      <c r="M760" s="2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0"/>
      <c r="B761" s="10"/>
      <c r="C761" s="10"/>
      <c r="D761" s="10"/>
      <c r="E761" s="10"/>
      <c r="F761" s="28"/>
      <c r="G761" s="28"/>
      <c r="H761" s="28"/>
      <c r="I761" s="29"/>
      <c r="J761" s="29"/>
      <c r="K761" s="29"/>
      <c r="L761" s="29"/>
      <c r="M761" s="2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0"/>
      <c r="B762" s="10"/>
      <c r="C762" s="10"/>
      <c r="D762" s="10"/>
      <c r="E762" s="10"/>
      <c r="F762" s="28"/>
      <c r="G762" s="28"/>
      <c r="H762" s="28"/>
      <c r="I762" s="29"/>
      <c r="J762" s="29"/>
      <c r="K762" s="29"/>
      <c r="L762" s="29"/>
      <c r="M762" s="2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0"/>
      <c r="B763" s="10"/>
      <c r="C763" s="10"/>
      <c r="D763" s="10"/>
      <c r="E763" s="10"/>
      <c r="F763" s="28"/>
      <c r="G763" s="28"/>
      <c r="H763" s="28"/>
      <c r="I763" s="29"/>
      <c r="J763" s="29"/>
      <c r="K763" s="29"/>
      <c r="L763" s="29"/>
      <c r="M763" s="2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0"/>
      <c r="B764" s="10"/>
      <c r="C764" s="10"/>
      <c r="D764" s="10"/>
      <c r="E764" s="10"/>
      <c r="F764" s="28"/>
      <c r="G764" s="28"/>
      <c r="H764" s="28"/>
      <c r="I764" s="29"/>
      <c r="J764" s="29"/>
      <c r="K764" s="29"/>
      <c r="L764" s="29"/>
      <c r="M764" s="2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0"/>
      <c r="B765" s="10"/>
      <c r="C765" s="10"/>
      <c r="D765" s="10"/>
      <c r="E765" s="10"/>
      <c r="F765" s="28"/>
      <c r="G765" s="28"/>
      <c r="H765" s="28"/>
      <c r="I765" s="29"/>
      <c r="J765" s="29"/>
      <c r="K765" s="29"/>
      <c r="L765" s="29"/>
      <c r="M765" s="2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0"/>
      <c r="B766" s="10"/>
      <c r="C766" s="10"/>
      <c r="D766" s="10"/>
      <c r="E766" s="10"/>
      <c r="F766" s="28"/>
      <c r="G766" s="28"/>
      <c r="H766" s="28"/>
      <c r="I766" s="29"/>
      <c r="J766" s="29"/>
      <c r="K766" s="29"/>
      <c r="L766" s="29"/>
      <c r="M766" s="2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0"/>
      <c r="B767" s="10"/>
      <c r="C767" s="10"/>
      <c r="D767" s="10"/>
      <c r="E767" s="10"/>
      <c r="F767" s="28"/>
      <c r="G767" s="28"/>
      <c r="H767" s="28"/>
      <c r="I767" s="29"/>
      <c r="J767" s="29"/>
      <c r="K767" s="29"/>
      <c r="L767" s="29"/>
      <c r="M767" s="2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0"/>
      <c r="B768" s="10"/>
      <c r="C768" s="10"/>
      <c r="D768" s="10"/>
      <c r="E768" s="10"/>
      <c r="F768" s="28"/>
      <c r="G768" s="28"/>
      <c r="H768" s="28"/>
      <c r="I768" s="29"/>
      <c r="J768" s="29"/>
      <c r="K768" s="29"/>
      <c r="L768" s="29"/>
      <c r="M768" s="2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0"/>
      <c r="B769" s="10"/>
      <c r="C769" s="10"/>
      <c r="D769" s="10"/>
      <c r="E769" s="10"/>
      <c r="F769" s="28"/>
      <c r="G769" s="28"/>
      <c r="H769" s="28"/>
      <c r="I769" s="29"/>
      <c r="J769" s="29"/>
      <c r="K769" s="29"/>
      <c r="L769" s="29"/>
      <c r="M769" s="2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0"/>
      <c r="B770" s="10"/>
      <c r="C770" s="10"/>
      <c r="D770" s="10"/>
      <c r="E770" s="10"/>
      <c r="F770" s="28"/>
      <c r="G770" s="28"/>
      <c r="H770" s="28"/>
      <c r="I770" s="29"/>
      <c r="J770" s="29"/>
      <c r="K770" s="29"/>
      <c r="L770" s="29"/>
      <c r="M770" s="2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0"/>
      <c r="B771" s="10"/>
      <c r="C771" s="10"/>
      <c r="D771" s="10"/>
      <c r="E771" s="10"/>
      <c r="F771" s="28"/>
      <c r="G771" s="28"/>
      <c r="H771" s="28"/>
      <c r="I771" s="29"/>
      <c r="J771" s="29"/>
      <c r="K771" s="29"/>
      <c r="L771" s="29"/>
      <c r="M771" s="2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0"/>
      <c r="B772" s="10"/>
      <c r="C772" s="10"/>
      <c r="D772" s="10"/>
      <c r="E772" s="10"/>
      <c r="F772" s="28"/>
      <c r="G772" s="28"/>
      <c r="H772" s="28"/>
      <c r="I772" s="29"/>
      <c r="J772" s="29"/>
      <c r="K772" s="29"/>
      <c r="L772" s="29"/>
      <c r="M772" s="2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0"/>
      <c r="B773" s="10"/>
      <c r="C773" s="10"/>
      <c r="D773" s="10"/>
      <c r="E773" s="10"/>
      <c r="F773" s="28"/>
      <c r="G773" s="28"/>
      <c r="H773" s="28"/>
      <c r="I773" s="29"/>
      <c r="J773" s="29"/>
      <c r="K773" s="29"/>
      <c r="L773" s="29"/>
      <c r="M773" s="2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0"/>
      <c r="B774" s="10"/>
      <c r="C774" s="10"/>
      <c r="D774" s="10"/>
      <c r="E774" s="10"/>
      <c r="F774" s="28"/>
      <c r="G774" s="28"/>
      <c r="H774" s="28"/>
      <c r="I774" s="29"/>
      <c r="J774" s="29"/>
      <c r="K774" s="29"/>
      <c r="L774" s="29"/>
      <c r="M774" s="2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0"/>
      <c r="B775" s="10"/>
      <c r="C775" s="10"/>
      <c r="D775" s="10"/>
      <c r="E775" s="10"/>
      <c r="F775" s="28"/>
      <c r="G775" s="28"/>
      <c r="H775" s="28"/>
      <c r="I775" s="29"/>
      <c r="J775" s="29"/>
      <c r="K775" s="29"/>
      <c r="L775" s="29"/>
      <c r="M775" s="2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0"/>
      <c r="B776" s="10"/>
      <c r="C776" s="10"/>
      <c r="D776" s="10"/>
      <c r="E776" s="10"/>
      <c r="F776" s="28"/>
      <c r="G776" s="28"/>
      <c r="H776" s="28"/>
      <c r="I776" s="29"/>
      <c r="J776" s="29"/>
      <c r="K776" s="29"/>
      <c r="L776" s="29"/>
      <c r="M776" s="2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0"/>
      <c r="B777" s="10"/>
      <c r="C777" s="10"/>
      <c r="D777" s="10"/>
      <c r="E777" s="10"/>
      <c r="F777" s="28"/>
      <c r="G777" s="28"/>
      <c r="H777" s="28"/>
      <c r="I777" s="29"/>
      <c r="J777" s="29"/>
      <c r="K777" s="29"/>
      <c r="L777" s="29"/>
      <c r="M777" s="2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0"/>
      <c r="B778" s="10"/>
      <c r="C778" s="10"/>
      <c r="D778" s="10"/>
      <c r="E778" s="10"/>
      <c r="F778" s="28"/>
      <c r="G778" s="28"/>
      <c r="H778" s="28"/>
      <c r="I778" s="29"/>
      <c r="J778" s="29"/>
      <c r="K778" s="29"/>
      <c r="L778" s="29"/>
      <c r="M778" s="2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0"/>
      <c r="B779" s="10"/>
      <c r="C779" s="10"/>
      <c r="D779" s="10"/>
      <c r="E779" s="10"/>
      <c r="F779" s="28"/>
      <c r="G779" s="28"/>
      <c r="H779" s="28"/>
      <c r="I779" s="29"/>
      <c r="J779" s="29"/>
      <c r="K779" s="29"/>
      <c r="L779" s="29"/>
      <c r="M779" s="2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0"/>
      <c r="B780" s="10"/>
      <c r="C780" s="10"/>
      <c r="D780" s="10"/>
      <c r="E780" s="10"/>
      <c r="F780" s="28"/>
      <c r="G780" s="28"/>
      <c r="H780" s="28"/>
      <c r="I780" s="29"/>
      <c r="J780" s="29"/>
      <c r="K780" s="29"/>
      <c r="L780" s="29"/>
      <c r="M780" s="2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0"/>
      <c r="B781" s="10"/>
      <c r="C781" s="10"/>
      <c r="D781" s="10"/>
      <c r="E781" s="10"/>
      <c r="F781" s="28"/>
      <c r="G781" s="28"/>
      <c r="H781" s="28"/>
      <c r="I781" s="29"/>
      <c r="J781" s="29"/>
      <c r="K781" s="29"/>
      <c r="L781" s="29"/>
      <c r="M781" s="2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0"/>
      <c r="B782" s="10"/>
      <c r="C782" s="10"/>
      <c r="D782" s="10"/>
      <c r="E782" s="10"/>
      <c r="F782" s="28"/>
      <c r="G782" s="28"/>
      <c r="H782" s="28"/>
      <c r="I782" s="29"/>
      <c r="J782" s="29"/>
      <c r="K782" s="29"/>
      <c r="L782" s="29"/>
      <c r="M782" s="2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0"/>
      <c r="B783" s="10"/>
      <c r="C783" s="10"/>
      <c r="D783" s="10"/>
      <c r="E783" s="10"/>
      <c r="F783" s="28"/>
      <c r="G783" s="28"/>
      <c r="H783" s="28"/>
      <c r="I783" s="29"/>
      <c r="J783" s="29"/>
      <c r="K783" s="29"/>
      <c r="L783" s="29"/>
      <c r="M783" s="2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0"/>
      <c r="B784" s="10"/>
      <c r="C784" s="10"/>
      <c r="D784" s="10"/>
      <c r="E784" s="10"/>
      <c r="F784" s="28"/>
      <c r="G784" s="28"/>
      <c r="H784" s="28"/>
      <c r="I784" s="29"/>
      <c r="J784" s="29"/>
      <c r="K784" s="29"/>
      <c r="L784" s="29"/>
      <c r="M784" s="2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0"/>
      <c r="B785" s="10"/>
      <c r="C785" s="10"/>
      <c r="D785" s="10"/>
      <c r="E785" s="10"/>
      <c r="F785" s="28"/>
      <c r="G785" s="28"/>
      <c r="H785" s="28"/>
      <c r="I785" s="29"/>
      <c r="J785" s="29"/>
      <c r="K785" s="29"/>
      <c r="L785" s="29"/>
      <c r="M785" s="2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0"/>
      <c r="B786" s="10"/>
      <c r="C786" s="10"/>
      <c r="D786" s="10"/>
      <c r="E786" s="10"/>
      <c r="F786" s="28"/>
      <c r="G786" s="28"/>
      <c r="H786" s="28"/>
      <c r="I786" s="29"/>
      <c r="J786" s="29"/>
      <c r="K786" s="29"/>
      <c r="L786" s="29"/>
      <c r="M786" s="2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0"/>
      <c r="B787" s="10"/>
      <c r="C787" s="10"/>
      <c r="D787" s="10"/>
      <c r="E787" s="10"/>
      <c r="F787" s="28"/>
      <c r="G787" s="28"/>
      <c r="H787" s="28"/>
      <c r="I787" s="29"/>
      <c r="J787" s="29"/>
      <c r="K787" s="29"/>
      <c r="L787" s="29"/>
      <c r="M787" s="2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0"/>
      <c r="B788" s="10"/>
      <c r="C788" s="10"/>
      <c r="D788" s="10"/>
      <c r="E788" s="10"/>
      <c r="F788" s="28"/>
      <c r="G788" s="28"/>
      <c r="H788" s="28"/>
      <c r="I788" s="29"/>
      <c r="J788" s="29"/>
      <c r="K788" s="29"/>
      <c r="L788" s="29"/>
      <c r="M788" s="2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0"/>
      <c r="B789" s="10"/>
      <c r="C789" s="10"/>
      <c r="D789" s="10"/>
      <c r="E789" s="10"/>
      <c r="F789" s="28"/>
      <c r="G789" s="28"/>
      <c r="H789" s="28"/>
      <c r="I789" s="29"/>
      <c r="J789" s="29"/>
      <c r="K789" s="29"/>
      <c r="L789" s="29"/>
      <c r="M789" s="2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0"/>
      <c r="B790" s="10"/>
      <c r="C790" s="10"/>
      <c r="D790" s="10"/>
      <c r="E790" s="10"/>
      <c r="F790" s="28"/>
      <c r="G790" s="28"/>
      <c r="H790" s="28"/>
      <c r="I790" s="29"/>
      <c r="J790" s="29"/>
      <c r="K790" s="29"/>
      <c r="L790" s="29"/>
      <c r="M790" s="2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0"/>
      <c r="B791" s="10"/>
      <c r="C791" s="10"/>
      <c r="D791" s="10"/>
      <c r="E791" s="10"/>
      <c r="F791" s="28"/>
      <c r="G791" s="28"/>
      <c r="H791" s="28"/>
      <c r="I791" s="29"/>
      <c r="J791" s="29"/>
      <c r="K791" s="29"/>
      <c r="L791" s="29"/>
      <c r="M791" s="2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0"/>
      <c r="B792" s="10"/>
      <c r="C792" s="10"/>
      <c r="D792" s="10"/>
      <c r="E792" s="10"/>
      <c r="F792" s="28"/>
      <c r="G792" s="28"/>
      <c r="H792" s="28"/>
      <c r="I792" s="29"/>
      <c r="J792" s="29"/>
      <c r="K792" s="29"/>
      <c r="L792" s="29"/>
      <c r="M792" s="2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0"/>
      <c r="B793" s="10"/>
      <c r="C793" s="10"/>
      <c r="D793" s="10"/>
      <c r="E793" s="10"/>
      <c r="F793" s="28"/>
      <c r="G793" s="28"/>
      <c r="H793" s="28"/>
      <c r="I793" s="29"/>
      <c r="J793" s="29"/>
      <c r="K793" s="29"/>
      <c r="L793" s="29"/>
      <c r="M793" s="2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0"/>
      <c r="B794" s="10"/>
      <c r="C794" s="10"/>
      <c r="D794" s="10"/>
      <c r="E794" s="10"/>
      <c r="F794" s="28"/>
      <c r="G794" s="28"/>
      <c r="H794" s="28"/>
      <c r="I794" s="29"/>
      <c r="J794" s="29"/>
      <c r="K794" s="29"/>
      <c r="L794" s="29"/>
      <c r="M794" s="2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0"/>
      <c r="B795" s="10"/>
      <c r="C795" s="10"/>
      <c r="D795" s="10"/>
      <c r="E795" s="10"/>
      <c r="F795" s="28"/>
      <c r="G795" s="28"/>
      <c r="H795" s="28"/>
      <c r="I795" s="29"/>
      <c r="J795" s="29"/>
      <c r="K795" s="29"/>
      <c r="L795" s="29"/>
      <c r="M795" s="2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0"/>
      <c r="B796" s="10"/>
      <c r="C796" s="10"/>
      <c r="D796" s="10"/>
      <c r="E796" s="10"/>
      <c r="F796" s="28"/>
      <c r="G796" s="28"/>
      <c r="H796" s="28"/>
      <c r="I796" s="29"/>
      <c r="J796" s="29"/>
      <c r="K796" s="29"/>
      <c r="L796" s="29"/>
      <c r="M796" s="2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0"/>
      <c r="B797" s="10"/>
      <c r="C797" s="10"/>
      <c r="D797" s="10"/>
      <c r="E797" s="10"/>
      <c r="F797" s="28"/>
      <c r="G797" s="28"/>
      <c r="H797" s="28"/>
      <c r="I797" s="29"/>
      <c r="J797" s="29"/>
      <c r="K797" s="29"/>
      <c r="L797" s="29"/>
      <c r="M797" s="2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0"/>
      <c r="B798" s="10"/>
      <c r="C798" s="10"/>
      <c r="D798" s="10"/>
      <c r="E798" s="10"/>
      <c r="F798" s="28"/>
      <c r="G798" s="28"/>
      <c r="H798" s="28"/>
      <c r="I798" s="29"/>
      <c r="J798" s="29"/>
      <c r="K798" s="29"/>
      <c r="L798" s="29"/>
      <c r="M798" s="2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0"/>
      <c r="B799" s="10"/>
      <c r="C799" s="10"/>
      <c r="D799" s="10"/>
      <c r="E799" s="10"/>
      <c r="F799" s="28"/>
      <c r="G799" s="28"/>
      <c r="H799" s="28"/>
      <c r="I799" s="29"/>
      <c r="J799" s="29"/>
      <c r="K799" s="29"/>
      <c r="L799" s="29"/>
      <c r="M799" s="2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0"/>
      <c r="B800" s="10"/>
      <c r="C800" s="10"/>
      <c r="D800" s="10"/>
      <c r="E800" s="10"/>
      <c r="F800" s="28"/>
      <c r="G800" s="28"/>
      <c r="H800" s="28"/>
      <c r="I800" s="29"/>
      <c r="J800" s="29"/>
      <c r="K800" s="29"/>
      <c r="L800" s="29"/>
      <c r="M800" s="2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0"/>
      <c r="B801" s="10"/>
      <c r="C801" s="10"/>
      <c r="D801" s="10"/>
      <c r="E801" s="10"/>
      <c r="F801" s="28"/>
      <c r="G801" s="28"/>
      <c r="H801" s="28"/>
      <c r="I801" s="29"/>
      <c r="J801" s="29"/>
      <c r="K801" s="29"/>
      <c r="L801" s="29"/>
      <c r="M801" s="2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0"/>
      <c r="B802" s="10"/>
      <c r="C802" s="10"/>
      <c r="D802" s="10"/>
      <c r="E802" s="10"/>
      <c r="F802" s="28"/>
      <c r="G802" s="28"/>
      <c r="H802" s="28"/>
      <c r="I802" s="29"/>
      <c r="J802" s="29"/>
      <c r="K802" s="29"/>
      <c r="L802" s="29"/>
      <c r="M802" s="2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0"/>
      <c r="B803" s="10"/>
      <c r="C803" s="10"/>
      <c r="D803" s="10"/>
      <c r="E803" s="10"/>
      <c r="F803" s="28"/>
      <c r="G803" s="28"/>
      <c r="H803" s="28"/>
      <c r="I803" s="29"/>
      <c r="J803" s="29"/>
      <c r="K803" s="29"/>
      <c r="L803" s="29"/>
      <c r="M803" s="2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0"/>
      <c r="B804" s="10"/>
      <c r="C804" s="10"/>
      <c r="D804" s="10"/>
      <c r="E804" s="10"/>
      <c r="F804" s="28"/>
      <c r="G804" s="28"/>
      <c r="H804" s="28"/>
      <c r="I804" s="29"/>
      <c r="J804" s="29"/>
      <c r="K804" s="29"/>
      <c r="L804" s="29"/>
      <c r="M804" s="2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0"/>
      <c r="B805" s="10"/>
      <c r="C805" s="10"/>
      <c r="D805" s="10"/>
      <c r="E805" s="10"/>
      <c r="F805" s="28"/>
      <c r="G805" s="28"/>
      <c r="H805" s="28"/>
      <c r="I805" s="29"/>
      <c r="J805" s="29"/>
      <c r="K805" s="29"/>
      <c r="L805" s="29"/>
      <c r="M805" s="2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0"/>
      <c r="B806" s="10"/>
      <c r="C806" s="10"/>
      <c r="D806" s="10"/>
      <c r="E806" s="10"/>
      <c r="F806" s="28"/>
      <c r="G806" s="28"/>
      <c r="H806" s="28"/>
      <c r="I806" s="29"/>
      <c r="J806" s="29"/>
      <c r="K806" s="29"/>
      <c r="L806" s="29"/>
      <c r="M806" s="2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0"/>
      <c r="B807" s="10"/>
      <c r="C807" s="10"/>
      <c r="D807" s="10"/>
      <c r="E807" s="10"/>
      <c r="F807" s="28"/>
      <c r="G807" s="28"/>
      <c r="H807" s="28"/>
      <c r="I807" s="29"/>
      <c r="J807" s="29"/>
      <c r="K807" s="29"/>
      <c r="L807" s="29"/>
      <c r="M807" s="2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0"/>
      <c r="B808" s="10"/>
      <c r="C808" s="10"/>
      <c r="D808" s="10"/>
      <c r="E808" s="10"/>
      <c r="F808" s="28"/>
      <c r="G808" s="28"/>
      <c r="H808" s="28"/>
      <c r="I808" s="29"/>
      <c r="J808" s="29"/>
      <c r="K808" s="29"/>
      <c r="L808" s="29"/>
      <c r="M808" s="2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0"/>
      <c r="B809" s="10"/>
      <c r="C809" s="10"/>
      <c r="D809" s="10"/>
      <c r="E809" s="10"/>
      <c r="F809" s="28"/>
      <c r="G809" s="28"/>
      <c r="H809" s="28"/>
      <c r="I809" s="29"/>
      <c r="J809" s="29"/>
      <c r="K809" s="29"/>
      <c r="L809" s="29"/>
      <c r="M809" s="2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0"/>
      <c r="B810" s="10"/>
      <c r="C810" s="10"/>
      <c r="D810" s="10"/>
      <c r="E810" s="10"/>
      <c r="F810" s="28"/>
      <c r="G810" s="28"/>
      <c r="H810" s="28"/>
      <c r="I810" s="29"/>
      <c r="J810" s="29"/>
      <c r="K810" s="29"/>
      <c r="L810" s="29"/>
      <c r="M810" s="2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0"/>
      <c r="B811" s="10"/>
      <c r="C811" s="10"/>
      <c r="D811" s="10"/>
      <c r="E811" s="10"/>
      <c r="F811" s="28"/>
      <c r="G811" s="28"/>
      <c r="H811" s="28"/>
      <c r="I811" s="29"/>
      <c r="J811" s="29"/>
      <c r="K811" s="29"/>
      <c r="L811" s="29"/>
      <c r="M811" s="2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0"/>
      <c r="B812" s="10"/>
      <c r="C812" s="10"/>
      <c r="D812" s="10"/>
      <c r="E812" s="10"/>
      <c r="F812" s="28"/>
      <c r="G812" s="28"/>
      <c r="H812" s="28"/>
      <c r="I812" s="29"/>
      <c r="J812" s="29"/>
      <c r="K812" s="29"/>
      <c r="L812" s="29"/>
      <c r="M812" s="2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0"/>
      <c r="B813" s="10"/>
      <c r="C813" s="10"/>
      <c r="D813" s="10"/>
      <c r="E813" s="10"/>
      <c r="F813" s="28"/>
      <c r="G813" s="28"/>
      <c r="H813" s="28"/>
      <c r="I813" s="29"/>
      <c r="J813" s="29"/>
      <c r="K813" s="29"/>
      <c r="L813" s="29"/>
      <c r="M813" s="2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0"/>
      <c r="B814" s="10"/>
      <c r="C814" s="10"/>
      <c r="D814" s="10"/>
      <c r="E814" s="10"/>
      <c r="F814" s="28"/>
      <c r="G814" s="28"/>
      <c r="H814" s="28"/>
      <c r="I814" s="29"/>
      <c r="J814" s="29"/>
      <c r="K814" s="29"/>
      <c r="L814" s="29"/>
      <c r="M814" s="2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0"/>
      <c r="B815" s="10"/>
      <c r="C815" s="10"/>
      <c r="D815" s="10"/>
      <c r="E815" s="10"/>
      <c r="F815" s="28"/>
      <c r="G815" s="28"/>
      <c r="H815" s="28"/>
      <c r="I815" s="29"/>
      <c r="J815" s="29"/>
      <c r="K815" s="29"/>
      <c r="L815" s="29"/>
      <c r="M815" s="2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0"/>
      <c r="B816" s="10"/>
      <c r="C816" s="10"/>
      <c r="D816" s="10"/>
      <c r="E816" s="10"/>
      <c r="F816" s="28"/>
      <c r="G816" s="28"/>
      <c r="H816" s="28"/>
      <c r="I816" s="29"/>
      <c r="J816" s="29"/>
      <c r="K816" s="29"/>
      <c r="L816" s="29"/>
      <c r="M816" s="2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0"/>
      <c r="B817" s="10"/>
      <c r="C817" s="10"/>
      <c r="D817" s="10"/>
      <c r="E817" s="10"/>
      <c r="F817" s="28"/>
      <c r="G817" s="28"/>
      <c r="H817" s="28"/>
      <c r="I817" s="29"/>
      <c r="J817" s="29"/>
      <c r="K817" s="29"/>
      <c r="L817" s="29"/>
      <c r="M817" s="2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0"/>
      <c r="B818" s="10"/>
      <c r="C818" s="10"/>
      <c r="D818" s="10"/>
      <c r="E818" s="10"/>
      <c r="F818" s="28"/>
      <c r="G818" s="28"/>
      <c r="H818" s="28"/>
      <c r="I818" s="29"/>
      <c r="J818" s="29"/>
      <c r="K818" s="29"/>
      <c r="L818" s="29"/>
      <c r="M818" s="2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0"/>
      <c r="B819" s="10"/>
      <c r="C819" s="10"/>
      <c r="D819" s="10"/>
      <c r="E819" s="10"/>
      <c r="F819" s="28"/>
      <c r="G819" s="28"/>
      <c r="H819" s="28"/>
      <c r="I819" s="29"/>
      <c r="J819" s="29"/>
      <c r="K819" s="29"/>
      <c r="L819" s="29"/>
      <c r="M819" s="2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0"/>
      <c r="B820" s="10"/>
      <c r="C820" s="10"/>
      <c r="D820" s="10"/>
      <c r="E820" s="10"/>
      <c r="F820" s="28"/>
      <c r="G820" s="28"/>
      <c r="H820" s="28"/>
      <c r="I820" s="29"/>
      <c r="J820" s="29"/>
      <c r="K820" s="29"/>
      <c r="L820" s="29"/>
      <c r="M820" s="2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0"/>
      <c r="B821" s="10"/>
      <c r="C821" s="10"/>
      <c r="D821" s="10"/>
      <c r="E821" s="10"/>
      <c r="F821" s="28"/>
      <c r="G821" s="28"/>
      <c r="H821" s="28"/>
      <c r="I821" s="29"/>
      <c r="J821" s="29"/>
      <c r="K821" s="29"/>
      <c r="L821" s="29"/>
      <c r="M821" s="2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0"/>
      <c r="B822" s="10"/>
      <c r="C822" s="10"/>
      <c r="D822" s="10"/>
      <c r="E822" s="10"/>
      <c r="F822" s="28"/>
      <c r="G822" s="28"/>
      <c r="H822" s="28"/>
      <c r="I822" s="29"/>
      <c r="J822" s="29"/>
      <c r="K822" s="29"/>
      <c r="L822" s="29"/>
      <c r="M822" s="2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0"/>
      <c r="B823" s="10"/>
      <c r="C823" s="10"/>
      <c r="D823" s="10"/>
      <c r="E823" s="10"/>
      <c r="F823" s="28"/>
      <c r="G823" s="28"/>
      <c r="H823" s="28"/>
      <c r="I823" s="29"/>
      <c r="J823" s="29"/>
      <c r="K823" s="29"/>
      <c r="L823" s="29"/>
      <c r="M823" s="2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0"/>
      <c r="B824" s="10"/>
      <c r="C824" s="10"/>
      <c r="D824" s="10"/>
      <c r="E824" s="10"/>
      <c r="F824" s="28"/>
      <c r="G824" s="28"/>
      <c r="H824" s="28"/>
      <c r="I824" s="29"/>
      <c r="J824" s="29"/>
      <c r="K824" s="29"/>
      <c r="L824" s="29"/>
      <c r="M824" s="2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0"/>
      <c r="B825" s="10"/>
      <c r="C825" s="10"/>
      <c r="D825" s="10"/>
      <c r="E825" s="10"/>
      <c r="F825" s="28"/>
      <c r="G825" s="28"/>
      <c r="H825" s="28"/>
      <c r="I825" s="29"/>
      <c r="J825" s="29"/>
      <c r="K825" s="29"/>
      <c r="L825" s="29"/>
      <c r="M825" s="2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0"/>
      <c r="B826" s="10"/>
      <c r="C826" s="10"/>
      <c r="D826" s="10"/>
      <c r="E826" s="10"/>
      <c r="F826" s="28"/>
      <c r="G826" s="28"/>
      <c r="H826" s="28"/>
      <c r="I826" s="29"/>
      <c r="J826" s="29"/>
      <c r="K826" s="29"/>
      <c r="L826" s="29"/>
      <c r="M826" s="2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0"/>
      <c r="B827" s="10"/>
      <c r="C827" s="10"/>
      <c r="D827" s="10"/>
      <c r="E827" s="10"/>
      <c r="F827" s="28"/>
      <c r="G827" s="28"/>
      <c r="H827" s="28"/>
      <c r="I827" s="29"/>
      <c r="J827" s="29"/>
      <c r="K827" s="29"/>
      <c r="L827" s="29"/>
      <c r="M827" s="2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0"/>
      <c r="B828" s="10"/>
      <c r="C828" s="10"/>
      <c r="D828" s="10"/>
      <c r="E828" s="10"/>
      <c r="F828" s="28"/>
      <c r="G828" s="28"/>
      <c r="H828" s="28"/>
      <c r="I828" s="29"/>
      <c r="J828" s="29"/>
      <c r="K828" s="29"/>
      <c r="L828" s="29"/>
      <c r="M828" s="2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0"/>
      <c r="B829" s="10"/>
      <c r="C829" s="10"/>
      <c r="D829" s="10"/>
      <c r="E829" s="10"/>
      <c r="F829" s="28"/>
      <c r="G829" s="28"/>
      <c r="H829" s="28"/>
      <c r="I829" s="29"/>
      <c r="J829" s="29"/>
      <c r="K829" s="29"/>
      <c r="L829" s="29"/>
      <c r="M829" s="2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0"/>
      <c r="B830" s="10"/>
      <c r="C830" s="10"/>
      <c r="D830" s="10"/>
      <c r="E830" s="10"/>
      <c r="F830" s="28"/>
      <c r="G830" s="28"/>
      <c r="H830" s="28"/>
      <c r="I830" s="29"/>
      <c r="J830" s="29"/>
      <c r="K830" s="29"/>
      <c r="L830" s="29"/>
      <c r="M830" s="2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0"/>
      <c r="B831" s="10"/>
      <c r="C831" s="10"/>
      <c r="D831" s="10"/>
      <c r="E831" s="10"/>
      <c r="F831" s="28"/>
      <c r="G831" s="28"/>
      <c r="H831" s="28"/>
      <c r="I831" s="29"/>
      <c r="J831" s="29"/>
      <c r="K831" s="29"/>
      <c r="L831" s="29"/>
      <c r="M831" s="2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0"/>
      <c r="B832" s="10"/>
      <c r="C832" s="10"/>
      <c r="D832" s="10"/>
      <c r="E832" s="10"/>
      <c r="F832" s="28"/>
      <c r="G832" s="28"/>
      <c r="H832" s="28"/>
      <c r="I832" s="29"/>
      <c r="J832" s="29"/>
      <c r="K832" s="29"/>
      <c r="L832" s="29"/>
      <c r="M832" s="2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0"/>
      <c r="B833" s="10"/>
      <c r="C833" s="10"/>
      <c r="D833" s="10"/>
      <c r="E833" s="10"/>
      <c r="F833" s="28"/>
      <c r="G833" s="28"/>
      <c r="H833" s="28"/>
      <c r="I833" s="29"/>
      <c r="J833" s="29"/>
      <c r="K833" s="29"/>
      <c r="L833" s="29"/>
      <c r="M833" s="2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0"/>
      <c r="B834" s="10"/>
      <c r="C834" s="10"/>
      <c r="D834" s="10"/>
      <c r="E834" s="10"/>
      <c r="F834" s="28"/>
      <c r="G834" s="28"/>
      <c r="H834" s="28"/>
      <c r="I834" s="29"/>
      <c r="J834" s="29"/>
      <c r="K834" s="29"/>
      <c r="L834" s="29"/>
      <c r="M834" s="2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0"/>
      <c r="B835" s="10"/>
      <c r="C835" s="10"/>
      <c r="D835" s="10"/>
      <c r="E835" s="10"/>
      <c r="F835" s="28"/>
      <c r="G835" s="28"/>
      <c r="H835" s="28"/>
      <c r="I835" s="29"/>
      <c r="J835" s="29"/>
      <c r="K835" s="29"/>
      <c r="L835" s="29"/>
      <c r="M835" s="2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0"/>
      <c r="B836" s="10"/>
      <c r="C836" s="10"/>
      <c r="D836" s="10"/>
      <c r="E836" s="10"/>
      <c r="F836" s="28"/>
      <c r="G836" s="28"/>
      <c r="H836" s="28"/>
      <c r="I836" s="29"/>
      <c r="J836" s="29"/>
      <c r="K836" s="29"/>
      <c r="L836" s="29"/>
      <c r="M836" s="2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0"/>
      <c r="B837" s="10"/>
      <c r="C837" s="10"/>
      <c r="D837" s="10"/>
      <c r="E837" s="10"/>
      <c r="F837" s="28"/>
      <c r="G837" s="28"/>
      <c r="H837" s="28"/>
      <c r="I837" s="29"/>
      <c r="J837" s="29"/>
      <c r="K837" s="29"/>
      <c r="L837" s="29"/>
      <c r="M837" s="2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0"/>
      <c r="B838" s="10"/>
      <c r="C838" s="10"/>
      <c r="D838" s="10"/>
      <c r="E838" s="10"/>
      <c r="F838" s="28"/>
      <c r="G838" s="28"/>
      <c r="H838" s="28"/>
      <c r="I838" s="29"/>
      <c r="J838" s="29"/>
      <c r="K838" s="29"/>
      <c r="L838" s="29"/>
      <c r="M838" s="2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0"/>
      <c r="B839" s="10"/>
      <c r="C839" s="10"/>
      <c r="D839" s="10"/>
      <c r="E839" s="10"/>
      <c r="F839" s="28"/>
      <c r="G839" s="28"/>
      <c r="H839" s="28"/>
      <c r="I839" s="29"/>
      <c r="J839" s="29"/>
      <c r="K839" s="29"/>
      <c r="L839" s="29"/>
      <c r="M839" s="2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0"/>
      <c r="B840" s="10"/>
      <c r="C840" s="10"/>
      <c r="D840" s="10"/>
      <c r="E840" s="10"/>
      <c r="F840" s="28"/>
      <c r="G840" s="28"/>
      <c r="H840" s="28"/>
      <c r="I840" s="29"/>
      <c r="J840" s="29"/>
      <c r="K840" s="29"/>
      <c r="L840" s="29"/>
      <c r="M840" s="2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0"/>
      <c r="B841" s="10"/>
      <c r="C841" s="10"/>
      <c r="D841" s="10"/>
      <c r="E841" s="10"/>
      <c r="F841" s="28"/>
      <c r="G841" s="28"/>
      <c r="H841" s="28"/>
      <c r="I841" s="29"/>
      <c r="J841" s="29"/>
      <c r="K841" s="29"/>
      <c r="L841" s="29"/>
      <c r="M841" s="2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0"/>
      <c r="B842" s="10"/>
      <c r="C842" s="10"/>
      <c r="D842" s="10"/>
      <c r="E842" s="10"/>
      <c r="F842" s="28"/>
      <c r="G842" s="28"/>
      <c r="H842" s="28"/>
      <c r="I842" s="29"/>
      <c r="J842" s="29"/>
      <c r="K842" s="29"/>
      <c r="L842" s="29"/>
      <c r="M842" s="2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0"/>
      <c r="B843" s="10"/>
      <c r="C843" s="10"/>
      <c r="D843" s="10"/>
      <c r="E843" s="10"/>
      <c r="F843" s="28"/>
      <c r="G843" s="28"/>
      <c r="H843" s="28"/>
      <c r="I843" s="29"/>
      <c r="J843" s="29"/>
      <c r="K843" s="29"/>
      <c r="L843" s="29"/>
      <c r="M843" s="2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0"/>
      <c r="B844" s="10"/>
      <c r="C844" s="10"/>
      <c r="D844" s="10"/>
      <c r="E844" s="10"/>
      <c r="F844" s="28"/>
      <c r="G844" s="28"/>
      <c r="H844" s="28"/>
      <c r="I844" s="29"/>
      <c r="J844" s="29"/>
      <c r="K844" s="29"/>
      <c r="L844" s="29"/>
      <c r="M844" s="2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0"/>
      <c r="B845" s="10"/>
      <c r="C845" s="10"/>
      <c r="D845" s="10"/>
      <c r="E845" s="10"/>
      <c r="F845" s="28"/>
      <c r="G845" s="28"/>
      <c r="H845" s="28"/>
      <c r="I845" s="29"/>
      <c r="J845" s="29"/>
      <c r="K845" s="29"/>
      <c r="L845" s="29"/>
      <c r="M845" s="2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0"/>
      <c r="B846" s="10"/>
      <c r="C846" s="10"/>
      <c r="D846" s="10"/>
      <c r="E846" s="10"/>
      <c r="F846" s="28"/>
      <c r="G846" s="28"/>
      <c r="H846" s="28"/>
      <c r="I846" s="29"/>
      <c r="J846" s="29"/>
      <c r="K846" s="29"/>
      <c r="L846" s="29"/>
      <c r="M846" s="2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0"/>
      <c r="B847" s="10"/>
      <c r="C847" s="10"/>
      <c r="D847" s="10"/>
      <c r="E847" s="10"/>
      <c r="F847" s="28"/>
      <c r="G847" s="28"/>
      <c r="H847" s="28"/>
      <c r="I847" s="29"/>
      <c r="J847" s="29"/>
      <c r="K847" s="29"/>
      <c r="L847" s="29"/>
      <c r="M847" s="2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0"/>
      <c r="B848" s="10"/>
      <c r="C848" s="10"/>
      <c r="D848" s="10"/>
      <c r="E848" s="10"/>
      <c r="F848" s="28"/>
      <c r="G848" s="28"/>
      <c r="H848" s="28"/>
      <c r="I848" s="29"/>
      <c r="J848" s="29"/>
      <c r="K848" s="29"/>
      <c r="L848" s="29"/>
      <c r="M848" s="2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0"/>
      <c r="B849" s="10"/>
      <c r="C849" s="10"/>
      <c r="D849" s="10"/>
      <c r="E849" s="10"/>
      <c r="F849" s="28"/>
      <c r="G849" s="28"/>
      <c r="H849" s="28"/>
      <c r="I849" s="29"/>
      <c r="J849" s="29"/>
      <c r="K849" s="29"/>
      <c r="L849" s="29"/>
      <c r="M849" s="2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0"/>
      <c r="B850" s="10"/>
      <c r="C850" s="10"/>
      <c r="D850" s="10"/>
      <c r="E850" s="10"/>
      <c r="F850" s="28"/>
      <c r="G850" s="28"/>
      <c r="H850" s="28"/>
      <c r="I850" s="29"/>
      <c r="J850" s="29"/>
      <c r="K850" s="29"/>
      <c r="L850" s="29"/>
      <c r="M850" s="2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0"/>
      <c r="B851" s="10"/>
      <c r="C851" s="10"/>
      <c r="D851" s="10"/>
      <c r="E851" s="10"/>
      <c r="F851" s="28"/>
      <c r="G851" s="28"/>
      <c r="H851" s="28"/>
      <c r="I851" s="29"/>
      <c r="J851" s="29"/>
      <c r="K851" s="29"/>
      <c r="L851" s="29"/>
      <c r="M851" s="2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0"/>
      <c r="B852" s="10"/>
      <c r="C852" s="10"/>
      <c r="D852" s="10"/>
      <c r="E852" s="10"/>
      <c r="F852" s="28"/>
      <c r="G852" s="28"/>
      <c r="H852" s="28"/>
      <c r="I852" s="29"/>
      <c r="J852" s="29"/>
      <c r="K852" s="29"/>
      <c r="L852" s="29"/>
      <c r="M852" s="2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0"/>
      <c r="B853" s="10"/>
      <c r="C853" s="10"/>
      <c r="D853" s="10"/>
      <c r="E853" s="10"/>
      <c r="F853" s="28"/>
      <c r="G853" s="28"/>
      <c r="H853" s="28"/>
      <c r="I853" s="29"/>
      <c r="J853" s="29"/>
      <c r="K853" s="29"/>
      <c r="L853" s="29"/>
      <c r="M853" s="2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0"/>
      <c r="B854" s="10"/>
      <c r="C854" s="10"/>
      <c r="D854" s="10"/>
      <c r="E854" s="10"/>
      <c r="F854" s="28"/>
      <c r="G854" s="28"/>
      <c r="H854" s="28"/>
      <c r="I854" s="29"/>
      <c r="J854" s="29"/>
      <c r="K854" s="29"/>
      <c r="L854" s="29"/>
      <c r="M854" s="2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0"/>
      <c r="B855" s="10"/>
      <c r="C855" s="10"/>
      <c r="D855" s="10"/>
      <c r="E855" s="10"/>
      <c r="F855" s="28"/>
      <c r="G855" s="28"/>
      <c r="H855" s="28"/>
      <c r="I855" s="29"/>
      <c r="J855" s="29"/>
      <c r="K855" s="29"/>
      <c r="L855" s="29"/>
      <c r="M855" s="2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0"/>
      <c r="B856" s="10"/>
      <c r="C856" s="10"/>
      <c r="D856" s="10"/>
      <c r="E856" s="10"/>
      <c r="F856" s="28"/>
      <c r="G856" s="28"/>
      <c r="H856" s="28"/>
      <c r="I856" s="29"/>
      <c r="J856" s="29"/>
      <c r="K856" s="29"/>
      <c r="L856" s="29"/>
      <c r="M856" s="2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0"/>
      <c r="B857" s="10"/>
      <c r="C857" s="10"/>
      <c r="D857" s="10"/>
      <c r="E857" s="10"/>
      <c r="F857" s="28"/>
      <c r="G857" s="28"/>
      <c r="H857" s="28"/>
      <c r="I857" s="29"/>
      <c r="J857" s="29"/>
      <c r="K857" s="29"/>
      <c r="L857" s="29"/>
      <c r="M857" s="2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0"/>
      <c r="B858" s="10"/>
      <c r="C858" s="10"/>
      <c r="D858" s="10"/>
      <c r="E858" s="10"/>
      <c r="F858" s="28"/>
      <c r="G858" s="28"/>
      <c r="H858" s="28"/>
      <c r="I858" s="29"/>
      <c r="J858" s="29"/>
      <c r="K858" s="29"/>
      <c r="L858" s="29"/>
      <c r="M858" s="2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0"/>
      <c r="B859" s="10"/>
      <c r="C859" s="10"/>
      <c r="D859" s="10"/>
      <c r="E859" s="10"/>
      <c r="F859" s="28"/>
      <c r="G859" s="28"/>
      <c r="H859" s="28"/>
      <c r="I859" s="29"/>
      <c r="J859" s="29"/>
      <c r="K859" s="29"/>
      <c r="L859" s="29"/>
      <c r="M859" s="2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0"/>
      <c r="B860" s="10"/>
      <c r="C860" s="10"/>
      <c r="D860" s="10"/>
      <c r="E860" s="10"/>
      <c r="F860" s="28"/>
      <c r="G860" s="28"/>
      <c r="H860" s="28"/>
      <c r="I860" s="29"/>
      <c r="J860" s="29"/>
      <c r="K860" s="29"/>
      <c r="L860" s="29"/>
      <c r="M860" s="2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0"/>
      <c r="B861" s="10"/>
      <c r="C861" s="10"/>
      <c r="D861" s="10"/>
      <c r="E861" s="10"/>
      <c r="F861" s="28"/>
      <c r="G861" s="28"/>
      <c r="H861" s="28"/>
      <c r="I861" s="29"/>
      <c r="J861" s="29"/>
      <c r="K861" s="29"/>
      <c r="L861" s="29"/>
      <c r="M861" s="2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0"/>
      <c r="B862" s="10"/>
      <c r="C862" s="10"/>
      <c r="D862" s="10"/>
      <c r="E862" s="10"/>
      <c r="F862" s="28"/>
      <c r="G862" s="28"/>
      <c r="H862" s="28"/>
      <c r="I862" s="29"/>
      <c r="J862" s="29"/>
      <c r="K862" s="29"/>
      <c r="L862" s="29"/>
      <c r="M862" s="2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0"/>
      <c r="B863" s="10"/>
      <c r="C863" s="10"/>
      <c r="D863" s="10"/>
      <c r="E863" s="10"/>
      <c r="F863" s="28"/>
      <c r="G863" s="28"/>
      <c r="H863" s="28"/>
      <c r="I863" s="29"/>
      <c r="J863" s="29"/>
      <c r="K863" s="29"/>
      <c r="L863" s="29"/>
      <c r="M863" s="2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0"/>
      <c r="B864" s="10"/>
      <c r="C864" s="10"/>
      <c r="D864" s="10"/>
      <c r="E864" s="10"/>
      <c r="F864" s="28"/>
      <c r="G864" s="28"/>
      <c r="H864" s="28"/>
      <c r="I864" s="29"/>
      <c r="J864" s="29"/>
      <c r="K864" s="29"/>
      <c r="L864" s="29"/>
      <c r="M864" s="2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0"/>
      <c r="B865" s="10"/>
      <c r="C865" s="10"/>
      <c r="D865" s="10"/>
      <c r="E865" s="10"/>
      <c r="F865" s="28"/>
      <c r="G865" s="28"/>
      <c r="H865" s="28"/>
      <c r="I865" s="29"/>
      <c r="J865" s="29"/>
      <c r="K865" s="29"/>
      <c r="L865" s="29"/>
      <c r="M865" s="2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0"/>
      <c r="B866" s="10"/>
      <c r="C866" s="10"/>
      <c r="D866" s="10"/>
      <c r="E866" s="10"/>
      <c r="F866" s="28"/>
      <c r="G866" s="28"/>
      <c r="H866" s="28"/>
      <c r="I866" s="29"/>
      <c r="J866" s="29"/>
      <c r="K866" s="29"/>
      <c r="L866" s="29"/>
      <c r="M866" s="2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0"/>
      <c r="B867" s="10"/>
      <c r="C867" s="10"/>
      <c r="D867" s="10"/>
      <c r="E867" s="10"/>
      <c r="F867" s="28"/>
      <c r="G867" s="28"/>
      <c r="H867" s="28"/>
      <c r="I867" s="29"/>
      <c r="J867" s="29"/>
      <c r="K867" s="29"/>
      <c r="L867" s="29"/>
      <c r="M867" s="2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0"/>
      <c r="B868" s="10"/>
      <c r="C868" s="10"/>
      <c r="D868" s="10"/>
      <c r="E868" s="10"/>
      <c r="F868" s="28"/>
      <c r="G868" s="28"/>
      <c r="H868" s="28"/>
      <c r="I868" s="29"/>
      <c r="J868" s="29"/>
      <c r="K868" s="29"/>
      <c r="L868" s="29"/>
      <c r="M868" s="2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0"/>
      <c r="B869" s="10"/>
      <c r="C869" s="10"/>
      <c r="D869" s="10"/>
      <c r="E869" s="10"/>
      <c r="F869" s="28"/>
      <c r="G869" s="28"/>
      <c r="H869" s="28"/>
      <c r="I869" s="29"/>
      <c r="J869" s="29"/>
      <c r="K869" s="29"/>
      <c r="L869" s="29"/>
      <c r="M869" s="2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0"/>
      <c r="B870" s="10"/>
      <c r="C870" s="10"/>
      <c r="D870" s="10"/>
      <c r="E870" s="10"/>
      <c r="F870" s="28"/>
      <c r="G870" s="28"/>
      <c r="H870" s="28"/>
      <c r="I870" s="29"/>
      <c r="J870" s="29"/>
      <c r="K870" s="29"/>
      <c r="L870" s="29"/>
      <c r="M870" s="2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0"/>
      <c r="B871" s="10"/>
      <c r="C871" s="10"/>
      <c r="D871" s="10"/>
      <c r="E871" s="10"/>
      <c r="F871" s="28"/>
      <c r="G871" s="28"/>
      <c r="H871" s="28"/>
      <c r="I871" s="29"/>
      <c r="J871" s="29"/>
      <c r="K871" s="29"/>
      <c r="L871" s="29"/>
      <c r="M871" s="2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0"/>
      <c r="B872" s="10"/>
      <c r="C872" s="10"/>
      <c r="D872" s="10"/>
      <c r="E872" s="10"/>
      <c r="F872" s="28"/>
      <c r="G872" s="28"/>
      <c r="H872" s="28"/>
      <c r="I872" s="29"/>
      <c r="J872" s="29"/>
      <c r="K872" s="29"/>
      <c r="L872" s="29"/>
      <c r="M872" s="2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0"/>
      <c r="B873" s="10"/>
      <c r="C873" s="10"/>
      <c r="D873" s="10"/>
      <c r="E873" s="10"/>
      <c r="F873" s="28"/>
      <c r="G873" s="28"/>
      <c r="H873" s="28"/>
      <c r="I873" s="29"/>
      <c r="J873" s="29"/>
      <c r="K873" s="29"/>
      <c r="L873" s="29"/>
      <c r="M873" s="2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0"/>
      <c r="B874" s="10"/>
      <c r="C874" s="10"/>
      <c r="D874" s="10"/>
      <c r="E874" s="10"/>
      <c r="F874" s="28"/>
      <c r="G874" s="28"/>
      <c r="H874" s="28"/>
      <c r="I874" s="29"/>
      <c r="J874" s="29"/>
      <c r="K874" s="29"/>
      <c r="L874" s="29"/>
      <c r="M874" s="2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0"/>
      <c r="B875" s="10"/>
      <c r="C875" s="10"/>
      <c r="D875" s="10"/>
      <c r="E875" s="10"/>
      <c r="F875" s="28"/>
      <c r="G875" s="28"/>
      <c r="H875" s="28"/>
      <c r="I875" s="29"/>
      <c r="J875" s="29"/>
      <c r="K875" s="29"/>
      <c r="L875" s="29"/>
      <c r="M875" s="2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0"/>
      <c r="B876" s="10"/>
      <c r="C876" s="10"/>
      <c r="D876" s="10"/>
      <c r="E876" s="10"/>
      <c r="F876" s="28"/>
      <c r="G876" s="28"/>
      <c r="H876" s="28"/>
      <c r="I876" s="29"/>
      <c r="J876" s="29"/>
      <c r="K876" s="29"/>
      <c r="L876" s="29"/>
      <c r="M876" s="2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0"/>
      <c r="B877" s="10"/>
      <c r="C877" s="10"/>
      <c r="D877" s="10"/>
      <c r="E877" s="10"/>
      <c r="F877" s="28"/>
      <c r="G877" s="28"/>
      <c r="H877" s="28"/>
      <c r="I877" s="29"/>
      <c r="J877" s="29"/>
      <c r="K877" s="29"/>
      <c r="L877" s="29"/>
      <c r="M877" s="2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0"/>
      <c r="B878" s="10"/>
      <c r="C878" s="10"/>
      <c r="D878" s="10"/>
      <c r="E878" s="10"/>
      <c r="F878" s="28"/>
      <c r="G878" s="28"/>
      <c r="H878" s="28"/>
      <c r="I878" s="29"/>
      <c r="J878" s="29"/>
      <c r="K878" s="29"/>
      <c r="L878" s="29"/>
      <c r="M878" s="2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0"/>
      <c r="B879" s="10"/>
      <c r="C879" s="10"/>
      <c r="D879" s="10"/>
      <c r="E879" s="10"/>
      <c r="F879" s="28"/>
      <c r="G879" s="28"/>
      <c r="H879" s="28"/>
      <c r="I879" s="29"/>
      <c r="J879" s="29"/>
      <c r="K879" s="29"/>
      <c r="L879" s="29"/>
      <c r="M879" s="2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0"/>
      <c r="B880" s="10"/>
      <c r="C880" s="10"/>
      <c r="D880" s="10"/>
      <c r="E880" s="10"/>
      <c r="F880" s="28"/>
      <c r="G880" s="28"/>
      <c r="H880" s="28"/>
      <c r="I880" s="29"/>
      <c r="J880" s="29"/>
      <c r="K880" s="29"/>
      <c r="L880" s="29"/>
      <c r="M880" s="2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0"/>
      <c r="B881" s="10"/>
      <c r="C881" s="10"/>
      <c r="D881" s="10"/>
      <c r="E881" s="10"/>
      <c r="F881" s="28"/>
      <c r="G881" s="28"/>
      <c r="H881" s="28"/>
      <c r="I881" s="29"/>
      <c r="J881" s="29"/>
      <c r="K881" s="29"/>
      <c r="L881" s="29"/>
      <c r="M881" s="2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0"/>
      <c r="B882" s="10"/>
      <c r="C882" s="10"/>
      <c r="D882" s="10"/>
      <c r="E882" s="10"/>
      <c r="F882" s="28"/>
      <c r="G882" s="28"/>
      <c r="H882" s="28"/>
      <c r="I882" s="29"/>
      <c r="J882" s="29"/>
      <c r="K882" s="29"/>
      <c r="L882" s="29"/>
      <c r="M882" s="2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0"/>
      <c r="B883" s="10"/>
      <c r="C883" s="10"/>
      <c r="D883" s="10"/>
      <c r="E883" s="10"/>
      <c r="F883" s="28"/>
      <c r="G883" s="28"/>
      <c r="H883" s="28"/>
      <c r="I883" s="29"/>
      <c r="J883" s="29"/>
      <c r="K883" s="29"/>
      <c r="L883" s="29"/>
      <c r="M883" s="2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0"/>
      <c r="B884" s="10"/>
      <c r="C884" s="10"/>
      <c r="D884" s="10"/>
      <c r="E884" s="10"/>
      <c r="F884" s="28"/>
      <c r="G884" s="28"/>
      <c r="H884" s="28"/>
      <c r="I884" s="29"/>
      <c r="J884" s="29"/>
      <c r="K884" s="29"/>
      <c r="L884" s="29"/>
      <c r="M884" s="2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0"/>
      <c r="B885" s="10"/>
      <c r="C885" s="10"/>
      <c r="D885" s="10"/>
      <c r="E885" s="10"/>
      <c r="F885" s="28"/>
      <c r="G885" s="28"/>
      <c r="H885" s="28"/>
      <c r="I885" s="29"/>
      <c r="J885" s="29"/>
      <c r="K885" s="29"/>
      <c r="L885" s="29"/>
      <c r="M885" s="2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0"/>
      <c r="B886" s="10"/>
      <c r="C886" s="10"/>
      <c r="D886" s="10"/>
      <c r="E886" s="10"/>
      <c r="F886" s="28"/>
      <c r="G886" s="28"/>
      <c r="H886" s="28"/>
      <c r="I886" s="29"/>
      <c r="J886" s="29"/>
      <c r="K886" s="29"/>
      <c r="L886" s="29"/>
      <c r="M886" s="2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0"/>
      <c r="B887" s="10"/>
      <c r="C887" s="10"/>
      <c r="D887" s="10"/>
      <c r="E887" s="10"/>
      <c r="F887" s="28"/>
      <c r="G887" s="28"/>
      <c r="H887" s="28"/>
      <c r="I887" s="29"/>
      <c r="J887" s="29"/>
      <c r="K887" s="29"/>
      <c r="L887" s="29"/>
      <c r="M887" s="2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0"/>
      <c r="B888" s="10"/>
      <c r="C888" s="10"/>
      <c r="D888" s="10"/>
      <c r="E888" s="10"/>
      <c r="F888" s="28"/>
      <c r="G888" s="28"/>
      <c r="H888" s="28"/>
      <c r="I888" s="29"/>
      <c r="J888" s="29"/>
      <c r="K888" s="29"/>
      <c r="L888" s="29"/>
      <c r="M888" s="2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0"/>
      <c r="B889" s="10"/>
      <c r="C889" s="10"/>
      <c r="D889" s="10"/>
      <c r="E889" s="10"/>
      <c r="F889" s="28"/>
      <c r="G889" s="28"/>
      <c r="H889" s="28"/>
      <c r="I889" s="29"/>
      <c r="J889" s="29"/>
      <c r="K889" s="29"/>
      <c r="L889" s="29"/>
      <c r="M889" s="2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0"/>
      <c r="B890" s="10"/>
      <c r="C890" s="10"/>
      <c r="D890" s="10"/>
      <c r="E890" s="10"/>
      <c r="F890" s="28"/>
      <c r="G890" s="28"/>
      <c r="H890" s="28"/>
      <c r="I890" s="29"/>
      <c r="J890" s="29"/>
      <c r="K890" s="29"/>
      <c r="L890" s="29"/>
      <c r="M890" s="2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0"/>
      <c r="B891" s="10"/>
      <c r="C891" s="10"/>
      <c r="D891" s="10"/>
      <c r="E891" s="10"/>
      <c r="F891" s="28"/>
      <c r="G891" s="28"/>
      <c r="H891" s="28"/>
      <c r="I891" s="29"/>
      <c r="J891" s="29"/>
      <c r="K891" s="29"/>
      <c r="L891" s="29"/>
      <c r="M891" s="2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0"/>
      <c r="B892" s="10"/>
      <c r="C892" s="10"/>
      <c r="D892" s="10"/>
      <c r="E892" s="10"/>
      <c r="F892" s="28"/>
      <c r="G892" s="28"/>
      <c r="H892" s="28"/>
      <c r="I892" s="29"/>
      <c r="J892" s="29"/>
      <c r="K892" s="29"/>
      <c r="L892" s="29"/>
      <c r="M892" s="2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0"/>
      <c r="B893" s="10"/>
      <c r="C893" s="10"/>
      <c r="D893" s="10"/>
      <c r="E893" s="10"/>
      <c r="F893" s="28"/>
      <c r="G893" s="28"/>
      <c r="H893" s="28"/>
      <c r="I893" s="29"/>
      <c r="J893" s="29"/>
      <c r="K893" s="29"/>
      <c r="L893" s="29"/>
      <c r="M893" s="2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0"/>
      <c r="B894" s="10"/>
      <c r="C894" s="10"/>
      <c r="D894" s="10"/>
      <c r="E894" s="10"/>
      <c r="F894" s="28"/>
      <c r="G894" s="28"/>
      <c r="H894" s="28"/>
      <c r="I894" s="29"/>
      <c r="J894" s="29"/>
      <c r="K894" s="29"/>
      <c r="L894" s="29"/>
      <c r="M894" s="2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0"/>
      <c r="B895" s="10"/>
      <c r="C895" s="10"/>
      <c r="D895" s="10"/>
      <c r="E895" s="10"/>
      <c r="F895" s="28"/>
      <c r="G895" s="28"/>
      <c r="H895" s="28"/>
      <c r="I895" s="29"/>
      <c r="J895" s="29"/>
      <c r="K895" s="29"/>
      <c r="L895" s="29"/>
      <c r="M895" s="2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0"/>
      <c r="B896" s="10"/>
      <c r="C896" s="10"/>
      <c r="D896" s="10"/>
      <c r="E896" s="10"/>
      <c r="F896" s="28"/>
      <c r="G896" s="28"/>
      <c r="H896" s="28"/>
      <c r="I896" s="29"/>
      <c r="J896" s="29"/>
      <c r="K896" s="29"/>
      <c r="L896" s="29"/>
      <c r="M896" s="2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0"/>
      <c r="B897" s="10"/>
      <c r="C897" s="10"/>
      <c r="D897" s="10"/>
      <c r="E897" s="10"/>
      <c r="F897" s="28"/>
      <c r="G897" s="28"/>
      <c r="H897" s="28"/>
      <c r="I897" s="29"/>
      <c r="J897" s="29"/>
      <c r="K897" s="29"/>
      <c r="L897" s="29"/>
      <c r="M897" s="2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0"/>
      <c r="B898" s="10"/>
      <c r="C898" s="10"/>
      <c r="D898" s="10"/>
      <c r="E898" s="10"/>
      <c r="F898" s="28"/>
      <c r="G898" s="28"/>
      <c r="H898" s="28"/>
      <c r="I898" s="29"/>
      <c r="J898" s="29"/>
      <c r="K898" s="29"/>
      <c r="L898" s="29"/>
      <c r="M898" s="2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0"/>
      <c r="B899" s="10"/>
      <c r="C899" s="10"/>
      <c r="D899" s="10"/>
      <c r="E899" s="10"/>
      <c r="F899" s="28"/>
      <c r="G899" s="28"/>
      <c r="H899" s="28"/>
      <c r="I899" s="29"/>
      <c r="J899" s="29"/>
      <c r="K899" s="29"/>
      <c r="L899" s="29"/>
      <c r="M899" s="2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0"/>
      <c r="B900" s="10"/>
      <c r="C900" s="10"/>
      <c r="D900" s="10"/>
      <c r="E900" s="10"/>
      <c r="F900" s="28"/>
      <c r="G900" s="28"/>
      <c r="H900" s="28"/>
      <c r="I900" s="29"/>
      <c r="J900" s="29"/>
      <c r="K900" s="29"/>
      <c r="L900" s="29"/>
      <c r="M900" s="2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0"/>
      <c r="B901" s="10"/>
      <c r="C901" s="10"/>
      <c r="D901" s="10"/>
      <c r="E901" s="10"/>
      <c r="F901" s="28"/>
      <c r="G901" s="28"/>
      <c r="H901" s="28"/>
      <c r="I901" s="29"/>
      <c r="J901" s="29"/>
      <c r="K901" s="29"/>
      <c r="L901" s="29"/>
      <c r="M901" s="2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0"/>
      <c r="B902" s="10"/>
      <c r="C902" s="10"/>
      <c r="D902" s="10"/>
      <c r="E902" s="10"/>
      <c r="F902" s="28"/>
      <c r="G902" s="28"/>
      <c r="H902" s="28"/>
      <c r="I902" s="29"/>
      <c r="J902" s="29"/>
      <c r="K902" s="29"/>
      <c r="L902" s="29"/>
      <c r="M902" s="2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0"/>
      <c r="B903" s="10"/>
      <c r="C903" s="10"/>
      <c r="D903" s="10"/>
      <c r="E903" s="10"/>
      <c r="F903" s="28"/>
      <c r="G903" s="28"/>
      <c r="H903" s="28"/>
      <c r="I903" s="29"/>
      <c r="J903" s="29"/>
      <c r="K903" s="29"/>
      <c r="L903" s="29"/>
      <c r="M903" s="2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0"/>
      <c r="B904" s="10"/>
      <c r="C904" s="10"/>
      <c r="D904" s="10"/>
      <c r="E904" s="10"/>
      <c r="F904" s="28"/>
      <c r="G904" s="28"/>
      <c r="H904" s="28"/>
      <c r="I904" s="29"/>
      <c r="J904" s="29"/>
      <c r="K904" s="29"/>
      <c r="L904" s="29"/>
      <c r="M904" s="2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0"/>
      <c r="B905" s="10"/>
      <c r="C905" s="10"/>
      <c r="D905" s="10"/>
      <c r="E905" s="10"/>
      <c r="F905" s="28"/>
      <c r="G905" s="28"/>
      <c r="H905" s="28"/>
      <c r="I905" s="29"/>
      <c r="J905" s="29"/>
      <c r="K905" s="29"/>
      <c r="L905" s="29"/>
      <c r="M905" s="2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0"/>
      <c r="B906" s="10"/>
      <c r="C906" s="10"/>
      <c r="D906" s="10"/>
      <c r="E906" s="10"/>
      <c r="F906" s="28"/>
      <c r="G906" s="28"/>
      <c r="H906" s="28"/>
      <c r="I906" s="29"/>
      <c r="J906" s="29"/>
      <c r="K906" s="29"/>
      <c r="L906" s="29"/>
      <c r="M906" s="2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0"/>
      <c r="B907" s="10"/>
      <c r="C907" s="10"/>
      <c r="D907" s="10"/>
      <c r="E907" s="10"/>
      <c r="F907" s="28"/>
      <c r="G907" s="28"/>
      <c r="H907" s="28"/>
      <c r="I907" s="29"/>
      <c r="J907" s="29"/>
      <c r="K907" s="29"/>
      <c r="L907" s="29"/>
      <c r="M907" s="2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0"/>
      <c r="B908" s="10"/>
      <c r="C908" s="10"/>
      <c r="D908" s="10"/>
      <c r="E908" s="10"/>
      <c r="F908" s="28"/>
      <c r="G908" s="28"/>
      <c r="H908" s="28"/>
      <c r="I908" s="29"/>
      <c r="J908" s="29"/>
      <c r="K908" s="29"/>
      <c r="L908" s="29"/>
      <c r="M908" s="2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0"/>
      <c r="B909" s="10"/>
      <c r="C909" s="10"/>
      <c r="D909" s="10"/>
      <c r="E909" s="10"/>
      <c r="F909" s="28"/>
      <c r="G909" s="28"/>
      <c r="H909" s="28"/>
      <c r="I909" s="29"/>
      <c r="J909" s="29"/>
      <c r="K909" s="29"/>
      <c r="L909" s="29"/>
      <c r="M909" s="2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0"/>
      <c r="B910" s="10"/>
      <c r="C910" s="10"/>
      <c r="D910" s="10"/>
      <c r="E910" s="10"/>
      <c r="F910" s="28"/>
      <c r="G910" s="28"/>
      <c r="H910" s="28"/>
      <c r="I910" s="29"/>
      <c r="J910" s="29"/>
      <c r="K910" s="29"/>
      <c r="L910" s="29"/>
      <c r="M910" s="2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0"/>
      <c r="B911" s="10"/>
      <c r="C911" s="10"/>
      <c r="D911" s="10"/>
      <c r="E911" s="10"/>
      <c r="F911" s="28"/>
      <c r="G911" s="28"/>
      <c r="H911" s="28"/>
      <c r="I911" s="29"/>
      <c r="J911" s="29"/>
      <c r="K911" s="29"/>
      <c r="L911" s="29"/>
      <c r="M911" s="2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0"/>
      <c r="B912" s="10"/>
      <c r="C912" s="10"/>
      <c r="D912" s="10"/>
      <c r="E912" s="10"/>
      <c r="F912" s="28"/>
      <c r="G912" s="28"/>
      <c r="H912" s="28"/>
      <c r="I912" s="29"/>
      <c r="J912" s="29"/>
      <c r="K912" s="29"/>
      <c r="L912" s="29"/>
      <c r="M912" s="2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0"/>
      <c r="B913" s="10"/>
      <c r="C913" s="10"/>
      <c r="D913" s="10"/>
      <c r="E913" s="10"/>
      <c r="F913" s="28"/>
      <c r="G913" s="28"/>
      <c r="H913" s="28"/>
      <c r="I913" s="29"/>
      <c r="J913" s="29"/>
      <c r="K913" s="29"/>
      <c r="L913" s="29"/>
      <c r="M913" s="2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0"/>
      <c r="B914" s="10"/>
      <c r="C914" s="10"/>
      <c r="D914" s="10"/>
      <c r="E914" s="10"/>
      <c r="F914" s="28"/>
      <c r="G914" s="28"/>
      <c r="H914" s="28"/>
      <c r="I914" s="29"/>
      <c r="J914" s="29"/>
      <c r="K914" s="29"/>
      <c r="L914" s="29"/>
      <c r="M914" s="2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0"/>
      <c r="B915" s="10"/>
      <c r="C915" s="10"/>
      <c r="D915" s="10"/>
      <c r="E915" s="10"/>
      <c r="F915" s="28"/>
      <c r="G915" s="28"/>
      <c r="H915" s="28"/>
      <c r="I915" s="29"/>
      <c r="J915" s="29"/>
      <c r="K915" s="29"/>
      <c r="L915" s="29"/>
      <c r="M915" s="2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0"/>
      <c r="B916" s="10"/>
      <c r="C916" s="10"/>
      <c r="D916" s="10"/>
      <c r="E916" s="10"/>
      <c r="F916" s="28"/>
      <c r="G916" s="28"/>
      <c r="H916" s="28"/>
      <c r="I916" s="29"/>
      <c r="J916" s="29"/>
      <c r="K916" s="29"/>
      <c r="L916" s="29"/>
      <c r="M916" s="2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0"/>
      <c r="B917" s="10"/>
      <c r="C917" s="10"/>
      <c r="D917" s="10"/>
      <c r="E917" s="10"/>
      <c r="F917" s="28"/>
      <c r="G917" s="28"/>
      <c r="H917" s="28"/>
      <c r="I917" s="29"/>
      <c r="J917" s="29"/>
      <c r="K917" s="29"/>
      <c r="L917" s="29"/>
      <c r="M917" s="2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0"/>
      <c r="B918" s="10"/>
      <c r="C918" s="10"/>
      <c r="D918" s="10"/>
      <c r="E918" s="10"/>
      <c r="F918" s="28"/>
      <c r="G918" s="28"/>
      <c r="H918" s="28"/>
      <c r="I918" s="29"/>
      <c r="J918" s="29"/>
      <c r="K918" s="29"/>
      <c r="L918" s="29"/>
      <c r="M918" s="2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0"/>
      <c r="B919" s="10"/>
      <c r="C919" s="10"/>
      <c r="D919" s="10"/>
      <c r="E919" s="10"/>
      <c r="F919" s="28"/>
      <c r="G919" s="28"/>
      <c r="H919" s="28"/>
      <c r="I919" s="29"/>
      <c r="J919" s="29"/>
      <c r="K919" s="29"/>
      <c r="L919" s="29"/>
      <c r="M919" s="2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0"/>
      <c r="B920" s="10"/>
      <c r="C920" s="10"/>
      <c r="D920" s="10"/>
      <c r="E920" s="10"/>
      <c r="F920" s="28"/>
      <c r="G920" s="28"/>
      <c r="H920" s="28"/>
      <c r="I920" s="29"/>
      <c r="J920" s="29"/>
      <c r="K920" s="29"/>
      <c r="L920" s="29"/>
      <c r="M920" s="2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0"/>
      <c r="B921" s="10"/>
      <c r="C921" s="10"/>
      <c r="D921" s="10"/>
      <c r="E921" s="10"/>
      <c r="F921" s="28"/>
      <c r="G921" s="28"/>
      <c r="H921" s="28"/>
      <c r="I921" s="29"/>
      <c r="J921" s="29"/>
      <c r="K921" s="29"/>
      <c r="L921" s="29"/>
      <c r="M921" s="2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0"/>
      <c r="B922" s="10"/>
      <c r="C922" s="10"/>
      <c r="D922" s="10"/>
      <c r="E922" s="10"/>
      <c r="F922" s="28"/>
      <c r="G922" s="28"/>
      <c r="H922" s="28"/>
      <c r="I922" s="29"/>
      <c r="J922" s="29"/>
      <c r="K922" s="29"/>
      <c r="L922" s="29"/>
      <c r="M922" s="2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0"/>
      <c r="B923" s="10"/>
      <c r="C923" s="10"/>
      <c r="D923" s="10"/>
      <c r="E923" s="10"/>
      <c r="F923" s="28"/>
      <c r="G923" s="28"/>
      <c r="H923" s="28"/>
      <c r="I923" s="29"/>
      <c r="J923" s="29"/>
      <c r="K923" s="29"/>
      <c r="L923" s="29"/>
      <c r="M923" s="2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0"/>
      <c r="B924" s="10"/>
      <c r="C924" s="10"/>
      <c r="D924" s="10"/>
      <c r="E924" s="10"/>
      <c r="F924" s="28"/>
      <c r="G924" s="28"/>
      <c r="H924" s="28"/>
      <c r="I924" s="29"/>
      <c r="J924" s="29"/>
      <c r="K924" s="29"/>
      <c r="L924" s="29"/>
      <c r="M924" s="2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0"/>
      <c r="B925" s="10"/>
      <c r="C925" s="10"/>
      <c r="D925" s="10"/>
      <c r="E925" s="10"/>
      <c r="F925" s="28"/>
      <c r="G925" s="28"/>
      <c r="H925" s="28"/>
      <c r="I925" s="29"/>
      <c r="J925" s="29"/>
      <c r="K925" s="29"/>
      <c r="L925" s="29"/>
      <c r="M925" s="2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0"/>
      <c r="B926" s="10"/>
      <c r="C926" s="10"/>
      <c r="D926" s="10"/>
      <c r="E926" s="10"/>
      <c r="F926" s="28"/>
      <c r="G926" s="28"/>
      <c r="H926" s="28"/>
      <c r="I926" s="29"/>
      <c r="J926" s="29"/>
      <c r="K926" s="29"/>
      <c r="L926" s="29"/>
      <c r="M926" s="2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0"/>
      <c r="B927" s="10"/>
      <c r="C927" s="10"/>
      <c r="D927" s="10"/>
      <c r="E927" s="10"/>
      <c r="F927" s="28"/>
      <c r="G927" s="28"/>
      <c r="H927" s="28"/>
      <c r="I927" s="29"/>
      <c r="J927" s="29"/>
      <c r="K927" s="29"/>
      <c r="L927" s="29"/>
      <c r="M927" s="2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0"/>
      <c r="B928" s="10"/>
      <c r="C928" s="10"/>
      <c r="D928" s="10"/>
      <c r="E928" s="10"/>
      <c r="F928" s="28"/>
      <c r="G928" s="28"/>
      <c r="H928" s="28"/>
      <c r="I928" s="29"/>
      <c r="J928" s="29"/>
      <c r="K928" s="29"/>
      <c r="L928" s="29"/>
      <c r="M928" s="2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0"/>
      <c r="B929" s="10"/>
      <c r="C929" s="10"/>
      <c r="D929" s="10"/>
      <c r="E929" s="10"/>
      <c r="F929" s="28"/>
      <c r="G929" s="28"/>
      <c r="H929" s="28"/>
      <c r="I929" s="29"/>
      <c r="J929" s="29"/>
      <c r="K929" s="29"/>
      <c r="L929" s="29"/>
      <c r="M929" s="2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0"/>
      <c r="B930" s="10"/>
      <c r="C930" s="10"/>
      <c r="D930" s="10"/>
      <c r="E930" s="10"/>
      <c r="F930" s="28"/>
      <c r="G930" s="28"/>
      <c r="H930" s="28"/>
      <c r="I930" s="29"/>
      <c r="J930" s="29"/>
      <c r="K930" s="29"/>
      <c r="L930" s="29"/>
      <c r="M930" s="2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0"/>
      <c r="B931" s="10"/>
      <c r="C931" s="10"/>
      <c r="D931" s="10"/>
      <c r="E931" s="10"/>
      <c r="F931" s="28"/>
      <c r="G931" s="28"/>
      <c r="H931" s="28"/>
      <c r="I931" s="29"/>
      <c r="J931" s="29"/>
      <c r="K931" s="29"/>
      <c r="L931" s="29"/>
      <c r="M931" s="2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0"/>
      <c r="B932" s="10"/>
      <c r="C932" s="10"/>
      <c r="D932" s="10"/>
      <c r="E932" s="10"/>
      <c r="F932" s="28"/>
      <c r="G932" s="28"/>
      <c r="H932" s="28"/>
      <c r="I932" s="29"/>
      <c r="J932" s="29"/>
      <c r="K932" s="29"/>
      <c r="L932" s="29"/>
      <c r="M932" s="2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0"/>
      <c r="B933" s="10"/>
      <c r="C933" s="10"/>
      <c r="D933" s="10"/>
      <c r="E933" s="10"/>
      <c r="F933" s="28"/>
      <c r="G933" s="28"/>
      <c r="H933" s="28"/>
      <c r="I933" s="29"/>
      <c r="J933" s="29"/>
      <c r="K933" s="29"/>
      <c r="L933" s="29"/>
      <c r="M933" s="2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0"/>
      <c r="B934" s="10"/>
      <c r="C934" s="10"/>
      <c r="D934" s="10"/>
      <c r="E934" s="10"/>
      <c r="F934" s="28"/>
      <c r="G934" s="28"/>
      <c r="H934" s="28"/>
      <c r="I934" s="29"/>
      <c r="J934" s="29"/>
      <c r="K934" s="29"/>
      <c r="L934" s="29"/>
      <c r="M934" s="2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0"/>
      <c r="B935" s="10"/>
      <c r="C935" s="10"/>
      <c r="D935" s="10"/>
      <c r="E935" s="10"/>
      <c r="F935" s="28"/>
      <c r="G935" s="28"/>
      <c r="H935" s="28"/>
      <c r="I935" s="29"/>
      <c r="J935" s="29"/>
      <c r="K935" s="29"/>
      <c r="L935" s="29"/>
      <c r="M935" s="2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0"/>
      <c r="B936" s="10"/>
      <c r="C936" s="10"/>
      <c r="D936" s="10"/>
      <c r="E936" s="10"/>
      <c r="F936" s="28"/>
      <c r="G936" s="28"/>
      <c r="H936" s="28"/>
      <c r="I936" s="29"/>
      <c r="J936" s="29"/>
      <c r="K936" s="29"/>
      <c r="L936" s="29"/>
      <c r="M936" s="2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0"/>
      <c r="B937" s="10"/>
      <c r="C937" s="10"/>
      <c r="D937" s="10"/>
      <c r="E937" s="10"/>
      <c r="F937" s="28"/>
      <c r="G937" s="28"/>
      <c r="H937" s="28"/>
      <c r="I937" s="29"/>
      <c r="J937" s="29"/>
      <c r="K937" s="29"/>
      <c r="L937" s="29"/>
      <c r="M937" s="2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0"/>
      <c r="B938" s="10"/>
      <c r="C938" s="10"/>
      <c r="D938" s="10"/>
      <c r="E938" s="10"/>
      <c r="F938" s="28"/>
      <c r="G938" s="28"/>
      <c r="H938" s="28"/>
      <c r="I938" s="29"/>
      <c r="J938" s="29"/>
      <c r="K938" s="29"/>
      <c r="L938" s="29"/>
      <c r="M938" s="2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0"/>
      <c r="B939" s="10"/>
      <c r="C939" s="10"/>
      <c r="D939" s="10"/>
      <c r="E939" s="10"/>
      <c r="F939" s="28"/>
      <c r="G939" s="28"/>
      <c r="H939" s="28"/>
      <c r="I939" s="29"/>
      <c r="J939" s="29"/>
      <c r="K939" s="29"/>
      <c r="L939" s="29"/>
      <c r="M939" s="2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0"/>
      <c r="B940" s="10"/>
      <c r="C940" s="10"/>
      <c r="D940" s="10"/>
      <c r="E940" s="10"/>
      <c r="F940" s="28"/>
      <c r="G940" s="28"/>
      <c r="H940" s="28"/>
      <c r="I940" s="29"/>
      <c r="J940" s="29"/>
      <c r="K940" s="29"/>
      <c r="L940" s="29"/>
      <c r="M940" s="2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0"/>
      <c r="B941" s="10"/>
      <c r="C941" s="10"/>
      <c r="D941" s="10"/>
      <c r="E941" s="10"/>
      <c r="F941" s="28"/>
      <c r="G941" s="28"/>
      <c r="H941" s="28"/>
      <c r="I941" s="29"/>
      <c r="J941" s="29"/>
      <c r="K941" s="29"/>
      <c r="L941" s="29"/>
      <c r="M941" s="2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0"/>
      <c r="B942" s="10"/>
      <c r="C942" s="10"/>
      <c r="D942" s="10"/>
      <c r="E942" s="10"/>
      <c r="F942" s="28"/>
      <c r="G942" s="28"/>
      <c r="H942" s="28"/>
      <c r="I942" s="29"/>
      <c r="J942" s="29"/>
      <c r="K942" s="29"/>
      <c r="L942" s="29"/>
      <c r="M942" s="2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0"/>
      <c r="B943" s="10"/>
      <c r="C943" s="10"/>
      <c r="D943" s="10"/>
      <c r="E943" s="10"/>
      <c r="F943" s="28"/>
      <c r="G943" s="28"/>
      <c r="H943" s="28"/>
      <c r="I943" s="29"/>
      <c r="J943" s="29"/>
      <c r="K943" s="29"/>
      <c r="L943" s="29"/>
      <c r="M943" s="2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0"/>
      <c r="B944" s="10"/>
      <c r="C944" s="10"/>
      <c r="D944" s="10"/>
      <c r="E944" s="10"/>
      <c r="F944" s="28"/>
      <c r="G944" s="28"/>
      <c r="H944" s="28"/>
      <c r="I944" s="29"/>
      <c r="J944" s="29"/>
      <c r="K944" s="29"/>
      <c r="L944" s="29"/>
      <c r="M944" s="2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0"/>
      <c r="B945" s="10"/>
      <c r="C945" s="10"/>
      <c r="D945" s="10"/>
      <c r="E945" s="10"/>
      <c r="F945" s="28"/>
      <c r="G945" s="28"/>
      <c r="H945" s="28"/>
      <c r="I945" s="29"/>
      <c r="J945" s="29"/>
      <c r="K945" s="29"/>
      <c r="L945" s="29"/>
      <c r="M945" s="2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0"/>
      <c r="B946" s="10"/>
      <c r="C946" s="10"/>
      <c r="D946" s="10"/>
      <c r="E946" s="10"/>
      <c r="F946" s="28"/>
      <c r="G946" s="28"/>
      <c r="H946" s="28"/>
      <c r="I946" s="29"/>
      <c r="J946" s="29"/>
      <c r="K946" s="29"/>
      <c r="L946" s="29"/>
      <c r="M946" s="2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0"/>
      <c r="B947" s="10"/>
      <c r="C947" s="10"/>
      <c r="D947" s="10"/>
      <c r="E947" s="10"/>
      <c r="F947" s="28"/>
      <c r="G947" s="28"/>
      <c r="H947" s="28"/>
      <c r="I947" s="29"/>
      <c r="J947" s="29"/>
      <c r="K947" s="29"/>
      <c r="L947" s="29"/>
      <c r="M947" s="2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0"/>
      <c r="B948" s="10"/>
      <c r="C948" s="10"/>
      <c r="D948" s="10"/>
      <c r="E948" s="10"/>
      <c r="F948" s="28"/>
      <c r="G948" s="28"/>
      <c r="H948" s="28"/>
      <c r="I948" s="29"/>
      <c r="J948" s="29"/>
      <c r="K948" s="29"/>
      <c r="L948" s="29"/>
      <c r="M948" s="2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0"/>
      <c r="B949" s="10"/>
      <c r="C949" s="10"/>
      <c r="D949" s="10"/>
      <c r="E949" s="10"/>
      <c r="F949" s="28"/>
      <c r="G949" s="28"/>
      <c r="H949" s="28"/>
      <c r="I949" s="29"/>
      <c r="J949" s="29"/>
      <c r="K949" s="29"/>
      <c r="L949" s="29"/>
      <c r="M949" s="2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0"/>
      <c r="B950" s="10"/>
      <c r="C950" s="10"/>
      <c r="D950" s="10"/>
      <c r="E950" s="10"/>
      <c r="F950" s="28"/>
      <c r="G950" s="28"/>
      <c r="H950" s="28"/>
      <c r="I950" s="29"/>
      <c r="J950" s="29"/>
      <c r="K950" s="29"/>
      <c r="L950" s="29"/>
      <c r="M950" s="2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0"/>
      <c r="B951" s="10"/>
      <c r="C951" s="10"/>
      <c r="D951" s="10"/>
      <c r="E951" s="10"/>
      <c r="F951" s="28"/>
      <c r="G951" s="28"/>
      <c r="H951" s="28"/>
      <c r="I951" s="29"/>
      <c r="J951" s="29"/>
      <c r="K951" s="29"/>
      <c r="L951" s="29"/>
      <c r="M951" s="2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0"/>
      <c r="B952" s="10"/>
      <c r="C952" s="10"/>
      <c r="D952" s="10"/>
      <c r="E952" s="10"/>
      <c r="F952" s="28"/>
      <c r="G952" s="28"/>
      <c r="H952" s="28"/>
      <c r="I952" s="29"/>
      <c r="J952" s="29"/>
      <c r="K952" s="29"/>
      <c r="L952" s="29"/>
      <c r="M952" s="2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0"/>
      <c r="B953" s="10"/>
      <c r="C953" s="10"/>
      <c r="D953" s="10"/>
      <c r="E953" s="10"/>
      <c r="F953" s="28"/>
      <c r="G953" s="28"/>
      <c r="H953" s="28"/>
      <c r="I953" s="29"/>
      <c r="J953" s="29"/>
      <c r="K953" s="29"/>
      <c r="L953" s="29"/>
      <c r="M953" s="2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0"/>
      <c r="B954" s="10"/>
      <c r="C954" s="10"/>
      <c r="D954" s="10"/>
      <c r="E954" s="10"/>
      <c r="F954" s="28"/>
      <c r="G954" s="28"/>
      <c r="H954" s="28"/>
      <c r="I954" s="29"/>
      <c r="J954" s="29"/>
      <c r="K954" s="29"/>
      <c r="L954" s="29"/>
      <c r="M954" s="2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0"/>
      <c r="B955" s="10"/>
      <c r="C955" s="10"/>
      <c r="D955" s="10"/>
      <c r="E955" s="10"/>
      <c r="F955" s="28"/>
      <c r="G955" s="28"/>
      <c r="H955" s="28"/>
      <c r="I955" s="29"/>
      <c r="J955" s="29"/>
      <c r="K955" s="29"/>
      <c r="L955" s="29"/>
      <c r="M955" s="2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0"/>
      <c r="B956" s="10"/>
      <c r="C956" s="10"/>
      <c r="D956" s="10"/>
      <c r="E956" s="10"/>
      <c r="F956" s="28"/>
      <c r="G956" s="28"/>
      <c r="H956" s="28"/>
      <c r="I956" s="29"/>
      <c r="J956" s="29"/>
      <c r="K956" s="29"/>
      <c r="L956" s="29"/>
      <c r="M956" s="2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0"/>
      <c r="B957" s="10"/>
      <c r="C957" s="10"/>
      <c r="D957" s="10"/>
      <c r="E957" s="10"/>
      <c r="F957" s="28"/>
      <c r="G957" s="28"/>
      <c r="H957" s="28"/>
      <c r="I957" s="29"/>
      <c r="J957" s="29"/>
      <c r="K957" s="29"/>
      <c r="L957" s="29"/>
      <c r="M957" s="2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0"/>
      <c r="B958" s="10"/>
      <c r="C958" s="10"/>
      <c r="D958" s="10"/>
      <c r="E958" s="10"/>
      <c r="F958" s="28"/>
      <c r="G958" s="28"/>
      <c r="H958" s="28"/>
      <c r="I958" s="29"/>
      <c r="J958" s="29"/>
      <c r="K958" s="29"/>
      <c r="L958" s="29"/>
      <c r="M958" s="2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0"/>
      <c r="B959" s="10"/>
      <c r="C959" s="10"/>
      <c r="D959" s="10"/>
      <c r="E959" s="10"/>
      <c r="F959" s="28"/>
      <c r="G959" s="28"/>
      <c r="H959" s="28"/>
      <c r="I959" s="29"/>
      <c r="J959" s="29"/>
      <c r="K959" s="29"/>
      <c r="L959" s="29"/>
      <c r="M959" s="2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0"/>
      <c r="B960" s="10"/>
      <c r="C960" s="10"/>
      <c r="D960" s="10"/>
      <c r="E960" s="10"/>
      <c r="F960" s="28"/>
      <c r="G960" s="28"/>
      <c r="H960" s="28"/>
      <c r="I960" s="29"/>
      <c r="J960" s="29"/>
      <c r="K960" s="29"/>
      <c r="L960" s="29"/>
      <c r="M960" s="2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0"/>
      <c r="B961" s="10"/>
      <c r="C961" s="10"/>
      <c r="D961" s="10"/>
      <c r="E961" s="10"/>
      <c r="F961" s="28"/>
      <c r="G961" s="28"/>
      <c r="H961" s="28"/>
      <c r="I961" s="29"/>
      <c r="J961" s="29"/>
      <c r="K961" s="29"/>
      <c r="L961" s="29"/>
      <c r="M961" s="2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0"/>
      <c r="B962" s="10"/>
      <c r="C962" s="10"/>
      <c r="D962" s="10"/>
      <c r="E962" s="10"/>
      <c r="F962" s="28"/>
      <c r="G962" s="28"/>
      <c r="H962" s="28"/>
      <c r="I962" s="29"/>
      <c r="J962" s="29"/>
      <c r="K962" s="29"/>
      <c r="L962" s="29"/>
      <c r="M962" s="2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0"/>
      <c r="B963" s="10"/>
      <c r="C963" s="10"/>
      <c r="D963" s="10"/>
      <c r="E963" s="10"/>
      <c r="F963" s="28"/>
      <c r="G963" s="28"/>
      <c r="H963" s="28"/>
      <c r="I963" s="29"/>
      <c r="J963" s="29"/>
      <c r="K963" s="29"/>
      <c r="L963" s="29"/>
      <c r="M963" s="2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0"/>
      <c r="B964" s="10"/>
      <c r="C964" s="10"/>
      <c r="D964" s="10"/>
      <c r="E964" s="10"/>
      <c r="F964" s="28"/>
      <c r="G964" s="28"/>
      <c r="H964" s="28"/>
      <c r="I964" s="29"/>
      <c r="J964" s="29"/>
      <c r="K964" s="29"/>
      <c r="L964" s="29"/>
      <c r="M964" s="2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0"/>
      <c r="B965" s="10"/>
      <c r="C965" s="10"/>
      <c r="D965" s="10"/>
      <c r="E965" s="10"/>
      <c r="F965" s="28"/>
      <c r="G965" s="28"/>
      <c r="H965" s="28"/>
      <c r="I965" s="29"/>
      <c r="J965" s="29"/>
      <c r="K965" s="29"/>
      <c r="L965" s="29"/>
      <c r="M965" s="2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0"/>
      <c r="B966" s="10"/>
      <c r="C966" s="10"/>
      <c r="D966" s="10"/>
      <c r="E966" s="10"/>
      <c r="F966" s="28"/>
      <c r="G966" s="28"/>
      <c r="H966" s="28"/>
      <c r="I966" s="29"/>
      <c r="J966" s="29"/>
      <c r="K966" s="29"/>
      <c r="L966" s="29"/>
      <c r="M966" s="2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0"/>
      <c r="B967" s="10"/>
      <c r="C967" s="10"/>
      <c r="D967" s="10"/>
      <c r="E967" s="10"/>
      <c r="F967" s="28"/>
      <c r="G967" s="28"/>
      <c r="H967" s="28"/>
      <c r="I967" s="29"/>
      <c r="J967" s="29"/>
      <c r="K967" s="29"/>
      <c r="L967" s="29"/>
      <c r="M967" s="2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0"/>
      <c r="B968" s="10"/>
      <c r="C968" s="10"/>
      <c r="D968" s="10"/>
      <c r="E968" s="10"/>
      <c r="F968" s="28"/>
      <c r="G968" s="28"/>
      <c r="H968" s="28"/>
      <c r="I968" s="29"/>
      <c r="J968" s="29"/>
      <c r="K968" s="29"/>
      <c r="L968" s="29"/>
      <c r="M968" s="2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0"/>
      <c r="B969" s="10"/>
      <c r="C969" s="10"/>
      <c r="D969" s="10"/>
      <c r="E969" s="10"/>
      <c r="F969" s="28"/>
      <c r="G969" s="28"/>
      <c r="H969" s="28"/>
      <c r="I969" s="29"/>
      <c r="J969" s="29"/>
      <c r="K969" s="29"/>
      <c r="L969" s="29"/>
      <c r="M969" s="2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0"/>
      <c r="B970" s="10"/>
      <c r="C970" s="10"/>
      <c r="D970" s="10"/>
      <c r="E970" s="10"/>
      <c r="F970" s="28"/>
      <c r="G970" s="28"/>
      <c r="H970" s="28"/>
      <c r="I970" s="29"/>
      <c r="J970" s="29"/>
      <c r="K970" s="29"/>
      <c r="L970" s="29"/>
      <c r="M970" s="2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0"/>
      <c r="B971" s="10"/>
      <c r="C971" s="10"/>
      <c r="D971" s="10"/>
      <c r="E971" s="10"/>
      <c r="F971" s="28"/>
      <c r="G971" s="28"/>
      <c r="H971" s="28"/>
      <c r="I971" s="29"/>
      <c r="J971" s="29"/>
      <c r="K971" s="29"/>
      <c r="L971" s="29"/>
      <c r="M971" s="2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</sheetData>
  <autoFilter ref="$A$1:$O$971">
    <sortState ref="A1:O971">
      <sortCondition ref="B1:B971"/>
      <sortCondition ref="D1:D971"/>
      <sortCondition ref="E1:E971"/>
      <sortCondition ref="A1:A971"/>
    </sortState>
  </autoFilter>
  <conditionalFormatting sqref="B258 I258">
    <cfRule type="expression" dxfId="0" priority="1">
      <formula>$H257="Missing"</formula>
    </cfRule>
  </conditionalFormatting>
  <conditionalFormatting sqref="B258 I258">
    <cfRule type="expression" dxfId="1" priority="2">
      <formula>$H257="Lent"</formula>
    </cfRule>
  </conditionalFormatting>
  <conditionalFormatting sqref="A2:A51 B2:F185 G2:G219 H2:H220 I2:I208 J2:J211 K2:M226 N2:N185 A53:A185 A187:F219 N187:N272 I210:I219 J213 J215 D226:D272 A229:C272 E229:M272">
    <cfRule type="expression" dxfId="0" priority="3">
      <formula>$N2="Missing"</formula>
    </cfRule>
  </conditionalFormatting>
  <conditionalFormatting sqref="A2:A51 B2:F185 G2:G219 H2:H220 I2:I208 J2:J211 K2:M226 N2:N185 A53:A185 A187:F219 N187:N272 I210:I219 J213 J215 D226:D272 A229:C272 E229:M272">
    <cfRule type="expression" dxfId="1" priority="4">
      <formula>$N2="Lent"</formula>
    </cfRule>
  </conditionalFormatting>
  <conditionalFormatting sqref="I209">
    <cfRule type="expression" dxfId="0" priority="5">
      <formula>$N209="Missing"</formula>
    </cfRule>
  </conditionalFormatting>
  <conditionalFormatting sqref="I209">
    <cfRule type="expression" dxfId="1" priority="6">
      <formula>$N209="Lent"</formula>
    </cfRule>
  </conditionalFormatting>
  <conditionalFormatting sqref="A52">
    <cfRule type="expression" dxfId="0" priority="7">
      <formula>$N52="Missing"</formula>
    </cfRule>
  </conditionalFormatting>
  <conditionalFormatting sqref="A52">
    <cfRule type="expression" dxfId="1" priority="8">
      <formula>$N52="Lent"</formula>
    </cfRule>
  </conditionalFormatting>
  <conditionalFormatting sqref="J212">
    <cfRule type="expression" dxfId="0" priority="9">
      <formula>$N212="Missing"</formula>
    </cfRule>
  </conditionalFormatting>
  <conditionalFormatting sqref="J212">
    <cfRule type="expression" dxfId="1" priority="10">
      <formula>$N212="Lent"</formula>
    </cfRule>
  </conditionalFormatting>
  <conditionalFormatting sqref="J214">
    <cfRule type="expression" dxfId="0" priority="11">
      <formula>$N214="Missing"</formula>
    </cfRule>
  </conditionalFormatting>
  <conditionalFormatting sqref="J214">
    <cfRule type="expression" dxfId="1" priority="12">
      <formula>$N214="Lent"</formula>
    </cfRule>
  </conditionalFormatting>
  <conditionalFormatting sqref="J216:J217">
    <cfRule type="expression" dxfId="0" priority="13">
      <formula>$N216="Missing"</formula>
    </cfRule>
  </conditionalFormatting>
  <conditionalFormatting sqref="J216:J217">
    <cfRule type="expression" dxfId="1" priority="14">
      <formula>$N216="Lent"</formula>
    </cfRule>
  </conditionalFormatting>
  <conditionalFormatting sqref="A186:F186">
    <cfRule type="expression" dxfId="0" priority="15">
      <formula>$N186="Missing"</formula>
    </cfRule>
  </conditionalFormatting>
  <conditionalFormatting sqref="A186:F186">
    <cfRule type="expression" dxfId="1" priority="16">
      <formula>$N186="Lent"</formula>
    </cfRule>
  </conditionalFormatting>
  <conditionalFormatting sqref="A227:M228">
    <cfRule type="expression" dxfId="0" priority="17">
      <formula>$N227="Missing"</formula>
    </cfRule>
  </conditionalFormatting>
  <conditionalFormatting sqref="A227:M228">
    <cfRule type="expression" dxfId="1" priority="18">
      <formula>$N227="Lent"</formula>
    </cfRule>
  </conditionalFormatting>
  <conditionalFormatting sqref="J218:J219">
    <cfRule type="expression" dxfId="0" priority="19">
      <formula>$N218="Missing"</formula>
    </cfRule>
  </conditionalFormatting>
  <conditionalFormatting sqref="J218:J219">
    <cfRule type="expression" dxfId="1" priority="20">
      <formula>$N218="Lent"</formula>
    </cfRule>
  </conditionalFormatting>
  <conditionalFormatting sqref="A220:A226 B220:C228 D220:F226 G220:H228 I220:I226">
    <cfRule type="expression" dxfId="0" priority="21">
      <formula>$N220="Missing"</formula>
    </cfRule>
  </conditionalFormatting>
  <conditionalFormatting sqref="A220:A226 B220:C228 D220:F226 G220:H228 I220:I226">
    <cfRule type="expression" dxfId="1" priority="22">
      <formula>$N220="Lent"</formula>
    </cfRule>
  </conditionalFormatting>
  <conditionalFormatting sqref="J222:J226">
    <cfRule type="expression" dxfId="0" priority="23">
      <formula>$N222="Missing"</formula>
    </cfRule>
  </conditionalFormatting>
  <conditionalFormatting sqref="J222:J226">
    <cfRule type="expression" dxfId="1" priority="24">
      <formula>$N222="Lent"</formula>
    </cfRule>
  </conditionalFormatting>
  <conditionalFormatting sqref="J220:J221">
    <cfRule type="expression" dxfId="0" priority="25">
      <formula>$N220="Missing"</formula>
    </cfRule>
  </conditionalFormatting>
  <conditionalFormatting sqref="J220:J221">
    <cfRule type="expression" dxfId="1" priority="26">
      <formula>$N220="Lent"</formula>
    </cfRule>
  </conditionalFormatting>
  <dataValidations>
    <dataValidation type="custom" allowBlank="1" showErrorMessage="1" sqref="I42:M43">
      <formula1>2</formula1>
    </dataValidation>
    <dataValidation type="decimal" allowBlank="1" showErrorMessage="1" sqref="F2:F24 F27:F28 F30:F31 F33 F35:F40 F42:F50 F52:F61 F63:F71 F73:F75 F78 F80:F86 F89:F91 F93:F96 F98:F104 F106:F107 F109:F118 F121:F154 F157:F170 F176:F177 F180:F194 F197:F205 F207:F209 F212:F213 F215:F216 F218 F221:F222 F224:F226 F228 F230:F232 F234 F236:F237 F242:F251 F253:F256 F258:F259 F261:F265">
      <formula1>-2000.0</formula1>
      <formula2>YEAR(TODAY())</formula2>
    </dataValidation>
    <dataValidation type="list" allowBlank="1" showErrorMessage="1" sqref="N2:N195 N197:N216 N218:N272">
      <formula1>'Sheet Dynamics'!$B$2:$D$2</formula1>
    </dataValidation>
  </dataValidations>
  <hyperlinks>
    <hyperlink r:id="rId2" ref="J25"/>
    <hyperlink r:id="rId3" ref="J26"/>
    <hyperlink r:id="rId4" ref="J29"/>
    <hyperlink r:id="rId5" ref="J32"/>
    <hyperlink r:id="rId6" ref="J34"/>
    <hyperlink r:id="rId7" ref="J41"/>
    <hyperlink r:id="rId8" ref="J62"/>
    <hyperlink r:id="rId9" ref="J67"/>
    <hyperlink r:id="rId10" ref="J72"/>
    <hyperlink r:id="rId11" ref="J76"/>
    <hyperlink r:id="rId12" ref="J77"/>
    <hyperlink r:id="rId13" ref="J79"/>
    <hyperlink r:id="rId14" ref="J87"/>
    <hyperlink r:id="rId15" ref="J88"/>
    <hyperlink r:id="rId16" ref="J91"/>
    <hyperlink r:id="rId17" ref="J92"/>
    <hyperlink r:id="rId18" ref="J96"/>
    <hyperlink r:id="rId19" ref="J97"/>
    <hyperlink r:id="rId20" ref="J98"/>
    <hyperlink r:id="rId21" ref="J105"/>
    <hyperlink r:id="rId22" ref="J106"/>
    <hyperlink r:id="rId23" ref="J107"/>
    <hyperlink r:id="rId24" ref="J108"/>
    <hyperlink r:id="rId25" ref="J112"/>
    <hyperlink r:id="rId26" ref="J118"/>
    <hyperlink r:id="rId27" ref="J119"/>
    <hyperlink r:id="rId28" ref="J120"/>
    <hyperlink r:id="rId29" ref="J127"/>
    <hyperlink r:id="rId30" ref="J139"/>
    <hyperlink r:id="rId31" ref="J141"/>
    <hyperlink r:id="rId32" ref="J142"/>
    <hyperlink r:id="rId33" ref="J143"/>
    <hyperlink r:id="rId34" ref="J155"/>
    <hyperlink r:id="rId35" ref="J156"/>
    <hyperlink r:id="rId36" ref="J160"/>
    <hyperlink r:id="rId37" ref="J171"/>
    <hyperlink r:id="rId38" ref="J172"/>
    <hyperlink r:id="rId39" ref="J173"/>
    <hyperlink r:id="rId40" ref="J174"/>
    <hyperlink r:id="rId41" ref="J175"/>
    <hyperlink r:id="rId42" ref="J178"/>
    <hyperlink r:id="rId43" ref="J179"/>
    <hyperlink r:id="rId44" ref="J182"/>
    <hyperlink r:id="rId45" ref="J183"/>
    <hyperlink r:id="rId46" ref="J184"/>
    <hyperlink r:id="rId47" ref="J186"/>
    <hyperlink r:id="rId48" ref="J188"/>
    <hyperlink r:id="rId49" ref="J195"/>
    <hyperlink r:id="rId50" ref="J198"/>
    <hyperlink r:id="rId51" ref="J199"/>
    <hyperlink r:id="rId52" ref="J200"/>
    <hyperlink r:id="rId53" ref="J201"/>
    <hyperlink r:id="rId54" ref="J206"/>
    <hyperlink r:id="rId55" ref="J210"/>
    <hyperlink r:id="rId56" ref="J211"/>
    <hyperlink r:id="rId57" ref="J212"/>
    <hyperlink r:id="rId58" ref="J214"/>
    <hyperlink r:id="rId59" ref="J218"/>
    <hyperlink r:id="rId60" ref="J219"/>
    <hyperlink r:id="rId61" ref="J220"/>
    <hyperlink r:id="rId62" ref="J222"/>
    <hyperlink r:id="rId63" ref="J223"/>
    <hyperlink r:id="rId64" ref="J225"/>
    <hyperlink r:id="rId65" ref="J227"/>
    <hyperlink r:id="rId66" ref="J229"/>
    <hyperlink r:id="rId67" ref="J233"/>
    <hyperlink r:id="rId68" ref="J235"/>
    <hyperlink r:id="rId69" ref="J238"/>
    <hyperlink r:id="rId70" ref="J239"/>
    <hyperlink r:id="rId71" ref="J240"/>
    <hyperlink r:id="rId72" ref="J241"/>
    <hyperlink r:id="rId73" ref="J243"/>
    <hyperlink r:id="rId74" ref="J252"/>
    <hyperlink r:id="rId75" ref="J256"/>
    <hyperlink r:id="rId76" ref="J257"/>
    <hyperlink r:id="rId77" ref="J260"/>
    <hyperlink r:id="rId78" ref="J267"/>
    <hyperlink r:id="rId79" ref="J268"/>
    <hyperlink r:id="rId80" ref="J269"/>
    <hyperlink r:id="rId81" ref="J270"/>
  </hyperlinks>
  <printOptions/>
  <pageMargins bottom="0.75" footer="0.0" header="0.0" left="0.7" right="0.7" top="0.75"/>
  <pageSetup orientation="portrait"/>
  <drawing r:id="rId82"/>
  <legacy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5" width="9.14"/>
    <col customWidth="1" min="6" max="6" width="12.14"/>
    <col customWidth="1" min="7" max="25" width="9.14"/>
  </cols>
  <sheetData>
    <row r="1" ht="12.0" customHeight="1">
      <c r="A1" s="30" t="s">
        <v>0</v>
      </c>
      <c r="B1" s="30" t="s">
        <v>1</v>
      </c>
      <c r="C1" s="30" t="s">
        <v>3</v>
      </c>
      <c r="D1" s="30" t="s">
        <v>4</v>
      </c>
      <c r="E1" s="30" t="s">
        <v>5</v>
      </c>
      <c r="F1" s="31" t="s">
        <v>8</v>
      </c>
      <c r="G1" s="31" t="s">
        <v>9</v>
      </c>
      <c r="H1" s="31" t="s">
        <v>10</v>
      </c>
      <c r="I1" s="31" t="s">
        <v>11</v>
      </c>
      <c r="J1" s="31" t="s">
        <v>12</v>
      </c>
      <c r="K1" s="32" t="s">
        <v>13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12.0" customHeight="1">
      <c r="A2" s="5" t="s">
        <v>1111</v>
      </c>
      <c r="B2" s="5" t="s">
        <v>1112</v>
      </c>
      <c r="C2" s="5"/>
      <c r="D2" s="6"/>
      <c r="E2" s="6">
        <v>1988.0</v>
      </c>
      <c r="F2" s="7" t="s">
        <v>1113</v>
      </c>
      <c r="G2" s="7"/>
      <c r="H2" s="8"/>
      <c r="I2" s="8"/>
      <c r="J2" s="9"/>
      <c r="K2" s="34" t="s">
        <v>22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12.0" customHeight="1">
      <c r="A3" s="5" t="s">
        <v>1114</v>
      </c>
      <c r="B3" s="5" t="s">
        <v>1115</v>
      </c>
      <c r="C3" s="5"/>
      <c r="D3" s="6"/>
      <c r="E3" s="6">
        <v>1968.0</v>
      </c>
      <c r="F3" s="7" t="s">
        <v>1116</v>
      </c>
      <c r="G3" s="7" t="s">
        <v>1117</v>
      </c>
      <c r="H3" s="8"/>
      <c r="I3" s="8"/>
      <c r="J3" s="9"/>
      <c r="K3" s="34" t="s">
        <v>22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12.0" customHeight="1">
      <c r="A4" s="5" t="s">
        <v>1118</v>
      </c>
      <c r="B4" s="5" t="s">
        <v>1119</v>
      </c>
      <c r="C4" s="5"/>
      <c r="D4" s="6"/>
      <c r="E4" s="6">
        <v>1927.0</v>
      </c>
      <c r="F4" s="7" t="s">
        <v>1120</v>
      </c>
      <c r="G4" s="7"/>
      <c r="H4" s="8"/>
      <c r="I4" s="8"/>
      <c r="J4" s="9"/>
      <c r="K4" s="34" t="s">
        <v>22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12.0" customHeight="1">
      <c r="A5" s="5" t="s">
        <v>1121</v>
      </c>
      <c r="B5" s="5" t="s">
        <v>1122</v>
      </c>
      <c r="C5" s="5"/>
      <c r="D5" s="6"/>
      <c r="E5" s="6"/>
      <c r="F5" s="7" t="s">
        <v>1123</v>
      </c>
      <c r="G5" s="20" t="s">
        <v>1124</v>
      </c>
      <c r="H5" s="8"/>
      <c r="I5" s="8"/>
      <c r="J5" s="9"/>
      <c r="K5" s="34" t="s">
        <v>22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12.0" customHeight="1">
      <c r="A6" s="12" t="s">
        <v>1125</v>
      </c>
      <c r="B6" s="12" t="s">
        <v>1126</v>
      </c>
      <c r="C6" s="5"/>
      <c r="D6" s="6"/>
      <c r="E6" s="13">
        <v>2021.0</v>
      </c>
      <c r="F6" s="7"/>
      <c r="G6" s="7"/>
      <c r="H6" s="8"/>
      <c r="I6" s="8"/>
      <c r="J6" s="9"/>
      <c r="K6" s="34" t="s">
        <v>22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12.0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12.0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12.0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12.0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12.0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12.0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12.0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12.0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12.0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12.0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12.0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12.0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12.0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12.0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12.0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12.0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12.0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12.0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12.0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12.0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12.0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12.0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12.0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12.0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12.0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12.0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2.0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12.0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ht="12.0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ht="12.0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ht="12.0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2.0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12.0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2.0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2.0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2.0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2.0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2.0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2.0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2.0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2.0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2.0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2.0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2.0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2.0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2.0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2.0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2.0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2.0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2.0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2.0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2.0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2.0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2.0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2.0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2.0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2.0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2.0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2.0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2.0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2.0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2.0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2.0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2.0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2.0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2.0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2.0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2.0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2.0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2.0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2.0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2.0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2.0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2.0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2.0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2.0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2.0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2.0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2.0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2.0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2.0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2.0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2.0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2.0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2.0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2.0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2.0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2.0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2.0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2.0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2.0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2.0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2.0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2.0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2.0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2.0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2.0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2.0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2.0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2.0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2.0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2.0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2.0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2.0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2.0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2.0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2.0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2.0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2.0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2.0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2.0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2.0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2.0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2.0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2.0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2.0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2.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2.0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2.0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2.0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2.0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2.0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2.0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2.0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2.0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2.0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2.0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2.0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2.0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2.0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2.0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2.0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2.0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2.0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2.0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2.0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2.0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2.0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2.0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2.0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2.0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2.0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2.0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2.0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2.0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2.0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2.0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2.0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2.0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2.0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2.0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2.0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2.0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2.0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2.0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2.0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2.0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2.0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2.0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2.0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2.0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2.0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2.0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2.0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2.0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2.0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2.0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2.0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2.0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2.0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2.0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2.0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2.0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2.0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2.0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2.0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2.0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2.0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2.0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2.0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2.0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2.0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2.0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2.0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2.0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2.0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2.0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2.0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2.0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2.0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2.0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2.0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2.0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2.0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2.0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2.0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2.0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2.0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2.0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2.0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2.0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2.0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2.0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2.0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2.0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2.0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2.0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2.0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2.0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2.0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2.0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2.0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2.0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2.0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2.0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ht="12.0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ht="12.0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12.0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ht="12.0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ht="12.0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ht="12.0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ht="12.0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ht="12.0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ht="12.0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ht="12.0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ht="12.0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ht="12.0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ht="12.0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ht="12.0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ht="12.0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ht="12.0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ht="12.0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ht="12.0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ht="12.0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ht="12.0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ht="12.0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ht="12.0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ht="12.0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ht="12.0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ht="12.0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ht="12.0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ht="12.0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ht="12.0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ht="12.0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ht="12.0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ht="12.0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ht="12.0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ht="12.0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ht="12.0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ht="12.0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ht="12.0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ht="12.0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ht="12.0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ht="12.0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ht="12.0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ht="12.0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ht="12.0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ht="12.0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ht="12.0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ht="12.0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ht="12.0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ht="12.0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ht="12.0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ht="12.0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ht="12.0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ht="12.0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ht="12.0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ht="12.0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ht="12.0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ht="12.0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ht="12.0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ht="12.0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ht="12.0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ht="12.0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ht="12.0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ht="12.0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ht="12.0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ht="12.0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ht="12.0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ht="12.0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ht="12.0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ht="12.0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ht="12.0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ht="12.0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ht="12.0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ht="12.0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ht="12.0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ht="12.0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ht="12.0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ht="12.0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ht="12.0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ht="12.0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ht="12.0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ht="12.0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ht="12.0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ht="12.0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ht="12.0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ht="12.0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ht="12.0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ht="12.0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ht="12.0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ht="12.0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ht="12.0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ht="12.0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ht="12.0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ht="12.0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ht="12.0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ht="12.0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ht="12.0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ht="12.0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ht="12.0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ht="12.0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ht="12.0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ht="12.0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ht="12.0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ht="12.0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ht="12.0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ht="12.0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ht="12.0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ht="12.0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ht="12.0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ht="12.0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ht="12.0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ht="12.0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ht="12.0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ht="12.0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ht="12.0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ht="12.0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ht="12.0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ht="12.0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ht="12.0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ht="12.0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ht="12.0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ht="12.0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ht="12.0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ht="12.0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ht="12.0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ht="12.0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ht="12.0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ht="12.0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ht="12.0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ht="12.0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ht="12.0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ht="12.0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ht="12.0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ht="12.0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ht="12.0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ht="12.0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ht="12.0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ht="12.0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ht="12.0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ht="12.0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ht="12.0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ht="12.0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ht="12.0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ht="12.0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ht="12.0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ht="12.0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ht="12.0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ht="12.0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ht="12.0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ht="12.0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ht="12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ht="12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ht="12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ht="12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ht="12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ht="12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ht="12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ht="12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ht="12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ht="12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ht="12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ht="12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ht="12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ht="12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ht="12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ht="12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ht="12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ht="12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ht="12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ht="12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ht="12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ht="12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ht="12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ht="12.0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ht="12.0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ht="12.0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ht="12.0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ht="12.0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ht="12.0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ht="12.0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ht="12.0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ht="12.0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ht="12.0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ht="12.0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ht="12.0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ht="12.0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ht="12.0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ht="12.0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ht="12.0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ht="12.0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ht="12.0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ht="12.0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ht="12.0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ht="12.0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ht="12.0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ht="12.0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ht="12.0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ht="12.0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ht="12.0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ht="12.0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ht="12.0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ht="12.0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ht="12.0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ht="12.0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ht="12.0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ht="12.0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ht="12.0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ht="12.0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ht="12.0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ht="12.0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ht="12.0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ht="12.0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ht="12.0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ht="12.0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ht="12.0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ht="12.0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ht="12.0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ht="12.0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ht="12.0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ht="12.0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ht="12.0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ht="12.0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ht="12.0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ht="12.0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ht="12.0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ht="12.0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ht="12.0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ht="12.0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ht="12.0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ht="12.0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ht="12.0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ht="12.0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ht="12.0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ht="12.0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ht="12.0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ht="12.0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ht="12.0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ht="12.0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ht="12.0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ht="12.0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ht="12.0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ht="12.0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ht="12.0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ht="12.0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ht="12.0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ht="12.0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ht="12.0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ht="12.0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ht="12.0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ht="12.0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ht="12.0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ht="12.0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ht="12.0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ht="12.0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ht="12.0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ht="12.0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ht="12.0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ht="12.0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ht="12.0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ht="12.0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ht="12.0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ht="12.0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ht="12.0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ht="12.0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ht="12.0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ht="12.0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ht="12.0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ht="12.0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ht="12.0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ht="12.0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ht="12.0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ht="12.0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ht="12.0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ht="12.0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ht="12.0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ht="12.0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ht="12.0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ht="12.0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ht="12.0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ht="12.0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ht="12.0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ht="12.0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ht="12.0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ht="12.0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ht="12.0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ht="12.0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ht="12.0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ht="12.0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ht="12.0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ht="12.0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ht="12.0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ht="12.0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ht="12.0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ht="12.0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ht="12.0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ht="12.0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ht="12.0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ht="12.0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ht="12.0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ht="12.0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ht="12.0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ht="12.0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ht="12.0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ht="12.0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ht="12.0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ht="12.0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ht="12.0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ht="12.0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ht="12.0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ht="12.0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ht="12.0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ht="12.0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ht="12.0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ht="12.0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ht="12.0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ht="12.0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ht="12.0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ht="12.0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ht="12.0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ht="12.0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ht="12.0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ht="12.0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ht="12.0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ht="12.0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ht="12.0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ht="12.0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ht="12.0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ht="12.0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ht="12.0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ht="12.0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ht="12.0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ht="12.0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ht="12.0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ht="12.0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ht="12.0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ht="12.0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ht="12.0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ht="12.0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ht="12.0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ht="12.0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ht="12.0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ht="12.0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ht="12.0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ht="12.0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ht="12.0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ht="12.0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ht="12.0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ht="12.0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ht="12.0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ht="12.0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ht="12.0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ht="12.0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ht="12.0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ht="12.0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ht="12.0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ht="12.0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ht="12.0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ht="12.0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ht="12.0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ht="12.0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ht="12.0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ht="12.0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ht="12.0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ht="12.0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ht="12.0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ht="12.0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ht="12.0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ht="12.0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ht="12.0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ht="12.0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ht="12.0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ht="12.0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ht="12.0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ht="12.0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ht="12.0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ht="12.0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ht="12.0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ht="12.0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ht="12.0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ht="12.0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ht="12.0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ht="12.0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ht="12.0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ht="12.0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ht="12.0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ht="12.0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ht="12.0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ht="12.0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ht="12.0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ht="12.0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ht="12.0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ht="12.0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ht="12.0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ht="12.0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ht="12.0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ht="12.0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ht="12.0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ht="12.0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ht="12.0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ht="12.0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ht="12.0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ht="12.0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ht="12.0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ht="12.0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ht="12.0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ht="12.0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ht="12.0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ht="12.0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ht="12.0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ht="12.0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ht="12.0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ht="12.0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ht="12.0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ht="12.0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ht="12.0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ht="12.0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ht="12.0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ht="12.0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ht="12.0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ht="12.0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ht="12.0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ht="12.0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ht="12.0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ht="12.0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ht="12.0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ht="12.0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ht="12.0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ht="12.0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ht="12.0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ht="12.0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ht="12.0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ht="12.0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ht="12.0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ht="12.0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ht="12.0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ht="12.0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ht="12.0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ht="12.0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ht="12.0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ht="12.0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ht="12.0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ht="12.0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ht="12.0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ht="12.0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ht="12.0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ht="12.0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ht="12.0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 ht="12.0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 ht="12.0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 ht="12.0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 ht="12.0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 ht="12.0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 ht="12.0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 ht="12.0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 ht="12.0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 ht="12.0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 ht="12.0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 ht="12.0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 ht="12.0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 ht="12.0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 ht="12.0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 ht="12.0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 ht="12.0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 ht="12.0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 ht="12.0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 ht="12.0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 ht="12.0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 ht="12.0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 ht="12.0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 ht="12.0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 ht="12.0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 ht="12.0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 ht="12.0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 ht="12.0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 ht="12.0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 ht="12.0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 ht="12.0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 ht="12.0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 ht="12.0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 ht="12.0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 ht="12.0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 ht="12.0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 ht="12.0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 ht="12.0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 ht="12.0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 ht="12.0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 ht="12.0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 ht="12.0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 ht="12.0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 ht="12.0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 ht="12.0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 ht="12.0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 ht="12.0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 ht="12.0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 ht="12.0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 ht="12.0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 ht="12.0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 ht="12.0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 ht="12.0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 ht="12.0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 ht="12.0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 ht="12.0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 ht="12.0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 ht="12.0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 ht="12.0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 ht="12.0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 ht="12.0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 ht="12.0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 ht="12.0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 ht="12.0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 ht="12.0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 ht="12.0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 ht="12.0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 ht="12.0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 ht="12.0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 ht="12.0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 ht="12.0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 ht="12.0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 ht="12.0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 ht="12.0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 ht="12.0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 ht="12.0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 ht="12.0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 ht="12.0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 ht="12.0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 ht="12.0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 ht="12.0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 ht="12.0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 ht="12.0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 ht="12.0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 ht="12.0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 ht="12.0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 ht="12.0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 ht="12.0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 ht="12.0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 ht="12.0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 ht="12.0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 ht="12.0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 ht="12.0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 ht="12.0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 ht="12.0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 ht="12.0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 ht="12.0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 ht="12.0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 ht="12.0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 ht="12.0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 ht="12.0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 ht="12.0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 ht="12.0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 ht="12.0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 ht="12.0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 ht="12.0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 ht="12.0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 ht="12.0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 ht="12.0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 ht="12.0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 ht="12.0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 ht="12.0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 ht="12.0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 ht="12.0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 ht="12.0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 ht="12.0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 ht="12.0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 ht="12.0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 ht="12.0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 ht="12.0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 ht="12.0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 ht="12.0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 ht="12.0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 ht="12.0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 ht="12.0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 ht="12.0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 ht="12.0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 ht="12.0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 ht="12.0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 ht="12.0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 ht="12.0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 ht="12.0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 ht="12.0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 ht="12.0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 ht="12.0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 ht="12.0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 ht="12.0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 ht="12.0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 ht="12.0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 ht="12.0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 ht="12.0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 ht="12.0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 ht="12.0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 ht="12.0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 ht="12.0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 ht="12.0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 ht="12.0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 ht="12.0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 ht="12.0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 ht="12.0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 ht="12.0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 ht="12.0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 ht="12.0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 ht="12.0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 ht="12.0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 ht="12.0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 ht="12.0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 ht="12.0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 ht="12.0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 ht="12.0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 ht="12.0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 ht="12.0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 ht="12.0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 ht="12.0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 ht="12.0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 ht="12.0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 ht="12.0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 ht="12.0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 ht="12.0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 ht="12.0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 ht="12.0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 ht="12.0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 ht="12.0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 ht="12.0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 ht="12.0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 ht="12.0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 ht="12.0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 ht="12.0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 ht="12.0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 ht="12.0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 ht="12.0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 ht="12.0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 ht="12.0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 ht="12.0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 ht="12.0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 ht="12.0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 ht="12.0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 ht="12.0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 ht="12.0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 ht="12.0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 ht="12.0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 ht="12.0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 ht="12.0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 ht="12.0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 ht="12.0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 ht="12.0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 ht="12.0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 ht="12.0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 ht="12.0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 ht="12.0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 ht="12.0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 ht="12.0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 ht="12.0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 ht="12.0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ht="12.0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 ht="12.0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 ht="12.0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 ht="12.0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 ht="12.0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 ht="12.0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 ht="12.0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 ht="12.0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 ht="12.0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 ht="12.0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 ht="12.0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 ht="12.0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 ht="12.0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 ht="12.0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 ht="12.0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 ht="12.0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 ht="12.0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 ht="12.0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 ht="12.0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 ht="12.0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 ht="12.0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 ht="12.0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 ht="12.0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 ht="12.0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 ht="12.0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 ht="12.0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 ht="12.0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 ht="12.0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 ht="12.0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 ht="12.0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 ht="12.0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 ht="12.0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 ht="12.0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 ht="12.0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 ht="12.0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 ht="12.0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 ht="12.0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 ht="12.0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 ht="12.0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 ht="12.0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 ht="12.0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 ht="12.0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 ht="12.0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 ht="12.0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 ht="12.0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 ht="12.0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 ht="12.0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 ht="12.0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 ht="12.0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 ht="12.0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 ht="12.0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 ht="12.0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 ht="12.0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 ht="12.0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 ht="12.0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 ht="12.0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 ht="12.0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 ht="12.0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 ht="12.0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 ht="12.0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 ht="12.0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 ht="12.0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 ht="12.0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 ht="12.0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 ht="12.0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 ht="12.0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 ht="12.0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 ht="12.0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 ht="12.0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 ht="12.0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 ht="12.0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 ht="12.0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 ht="12.0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 ht="12.0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 ht="12.0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 ht="12.0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 ht="12.0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 ht="12.0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 ht="12.0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 ht="12.0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 ht="12.0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 ht="12.0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 ht="12.0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 ht="12.0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 ht="12.0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 ht="12.0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 ht="12.0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 ht="12.0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 ht="12.0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 ht="12.0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 ht="12.0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 ht="12.0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 ht="12.0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 ht="12.0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 ht="12.0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 ht="12.0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 ht="12.0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 ht="12.0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 ht="12.0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 ht="12.0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 ht="12.0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 ht="12.0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 ht="12.0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 ht="12.0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 ht="12.0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 ht="12.0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 ht="12.0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 ht="12.0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 ht="12.0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 ht="12.0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 ht="12.0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 ht="12.0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 ht="12.0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 ht="12.0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 ht="12.0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 ht="12.0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 ht="12.0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 ht="12.0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 ht="12.0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 ht="12.0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 ht="12.0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 ht="12.0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 ht="12.0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 ht="12.0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 ht="12.0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 ht="12.0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 ht="12.0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 ht="12.0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 ht="12.0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 ht="12.0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 ht="12.0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 ht="12.0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</sheetData>
  <conditionalFormatting sqref="A2:F6 H2:J2 K2:K6">
    <cfRule type="expression" dxfId="0" priority="1">
      <formula>$K2="Missing"</formula>
    </cfRule>
  </conditionalFormatting>
  <conditionalFormatting sqref="A2:F6 H2:J2 K2:K6">
    <cfRule type="expression" dxfId="1" priority="2">
      <formula>$K2="Lent"</formula>
    </cfRule>
  </conditionalFormatting>
  <conditionalFormatting sqref="G2">
    <cfRule type="expression" dxfId="0" priority="3">
      <formula>$K2="Missing"</formula>
    </cfRule>
  </conditionalFormatting>
  <conditionalFormatting sqref="G2">
    <cfRule type="expression" dxfId="1" priority="4">
      <formula>$K2="Lent"</formula>
    </cfRule>
  </conditionalFormatting>
  <conditionalFormatting sqref="H3:J6">
    <cfRule type="expression" dxfId="0" priority="5">
      <formula>$K3="Missing"</formula>
    </cfRule>
  </conditionalFormatting>
  <conditionalFormatting sqref="H3:J6">
    <cfRule type="expression" dxfId="1" priority="6">
      <formula>$K3="Lent"</formula>
    </cfRule>
  </conditionalFormatting>
  <conditionalFormatting sqref="G3:G6">
    <cfRule type="expression" dxfId="0" priority="7">
      <formula>$K3="Missing"</formula>
    </cfRule>
  </conditionalFormatting>
  <conditionalFormatting sqref="G3:G6">
    <cfRule type="expression" dxfId="1" priority="8">
      <formula>$K3="Lent"</formula>
    </cfRule>
  </conditionalFormatting>
  <dataValidations>
    <dataValidation type="decimal" allowBlank="1" showErrorMessage="1" sqref="E2:E3">
      <formula1>-2000.0</formula1>
      <formula2>YEAR(TODAY())</formula2>
    </dataValidation>
    <dataValidation type="list" allowBlank="1" showErrorMessage="1" sqref="K2:K3">
      <formula1>'Sheet Dynamics'!$B$2:$D$2</formula1>
    </dataValidation>
  </dataValidations>
  <hyperlinks>
    <hyperlink r:id="rId2" ref="G5"/>
  </hyperlinks>
  <printOptions/>
  <pageMargins bottom="0.75" footer="0.0" header="0.0" left="0.7" right="0.7" top="0.75"/>
  <pageSetup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86"/>
    <col customWidth="1" min="2" max="2" width="28.29"/>
    <col customWidth="1" min="3" max="3" width="9.14"/>
    <col customWidth="1" min="4" max="5" width="11.86"/>
    <col customWidth="1" min="6" max="6" width="4.71"/>
    <col customWidth="1" min="7" max="7" width="13.57"/>
    <col customWidth="1" min="8" max="8" width="8.43"/>
    <col customWidth="1" min="9" max="26" width="9.14"/>
  </cols>
  <sheetData>
    <row r="1" ht="12.0" customHeight="1">
      <c r="A1" s="35" t="s">
        <v>0</v>
      </c>
      <c r="B1" s="35" t="s">
        <v>1</v>
      </c>
      <c r="C1" s="35" t="s">
        <v>5</v>
      </c>
      <c r="D1" s="36" t="s">
        <v>8</v>
      </c>
      <c r="E1" s="36" t="s">
        <v>9</v>
      </c>
      <c r="F1" s="36" t="s">
        <v>1127</v>
      </c>
      <c r="G1" s="37" t="s">
        <v>1128</v>
      </c>
      <c r="H1" s="38" t="s">
        <v>13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26" t="s">
        <v>1129</v>
      </c>
      <c r="B2" s="26" t="s">
        <v>1130</v>
      </c>
      <c r="C2" s="39">
        <v>1995.0</v>
      </c>
      <c r="D2" s="27" t="s">
        <v>1131</v>
      </c>
      <c r="E2" s="27" t="s">
        <v>1132</v>
      </c>
      <c r="F2" s="40" t="s">
        <v>1133</v>
      </c>
      <c r="G2" s="41" t="s">
        <v>1133</v>
      </c>
      <c r="H2" s="34" t="s">
        <v>22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42" t="s">
        <v>1134</v>
      </c>
      <c r="B3" s="42" t="s">
        <v>1135</v>
      </c>
      <c r="C3" s="43">
        <v>2010.0</v>
      </c>
      <c r="D3" s="44" t="s">
        <v>1136</v>
      </c>
      <c r="E3" s="45" t="s">
        <v>1137</v>
      </c>
      <c r="F3" s="40" t="s">
        <v>1133</v>
      </c>
      <c r="G3" s="41" t="s">
        <v>1133</v>
      </c>
      <c r="H3" s="34" t="s">
        <v>22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6" t="s">
        <v>1138</v>
      </c>
      <c r="B4" s="26" t="s">
        <v>1139</v>
      </c>
      <c r="C4" s="39">
        <v>2013.0</v>
      </c>
      <c r="D4" s="27" t="s">
        <v>1140</v>
      </c>
      <c r="E4" s="27"/>
      <c r="F4" s="40" t="s">
        <v>1133</v>
      </c>
      <c r="G4" s="41" t="s">
        <v>1141</v>
      </c>
      <c r="H4" s="34" t="s">
        <v>22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42" t="s">
        <v>1142</v>
      </c>
      <c r="B5" s="42" t="s">
        <v>1143</v>
      </c>
      <c r="C5" s="43">
        <v>2008.0</v>
      </c>
      <c r="D5" s="44" t="s">
        <v>1144</v>
      </c>
      <c r="E5" s="45" t="s">
        <v>1145</v>
      </c>
      <c r="F5" s="40" t="s">
        <v>1133</v>
      </c>
      <c r="G5" s="41" t="s">
        <v>1133</v>
      </c>
      <c r="H5" s="34" t="s">
        <v>22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26" t="s">
        <v>1146</v>
      </c>
      <c r="B6" s="26" t="s">
        <v>1147</v>
      </c>
      <c r="C6" s="39">
        <v>2011.0</v>
      </c>
      <c r="D6" s="27" t="s">
        <v>1148</v>
      </c>
      <c r="E6" s="27" t="s">
        <v>1149</v>
      </c>
      <c r="F6" s="40" t="s">
        <v>1133</v>
      </c>
      <c r="G6" s="41" t="s">
        <v>1133</v>
      </c>
      <c r="H6" s="34" t="s">
        <v>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42" t="s">
        <v>1150</v>
      </c>
      <c r="B7" s="42" t="s">
        <v>1151</v>
      </c>
      <c r="C7" s="43">
        <v>2023.0</v>
      </c>
      <c r="D7" s="44" t="s">
        <v>1152</v>
      </c>
      <c r="E7" s="46" t="s">
        <v>1153</v>
      </c>
      <c r="F7" s="40" t="s">
        <v>1133</v>
      </c>
      <c r="G7" s="41" t="s">
        <v>1133</v>
      </c>
      <c r="H7" s="34" t="s">
        <v>22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26" t="s">
        <v>1154</v>
      </c>
      <c r="B8" s="26" t="s">
        <v>1155</v>
      </c>
      <c r="C8" s="39">
        <v>1964.0</v>
      </c>
      <c r="D8" s="27" t="s">
        <v>1156</v>
      </c>
      <c r="E8" s="27" t="s">
        <v>1157</v>
      </c>
      <c r="F8" s="40" t="s">
        <v>1133</v>
      </c>
      <c r="G8" s="41" t="s">
        <v>1133</v>
      </c>
      <c r="H8" s="34" t="s">
        <v>22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26" t="s">
        <v>1158</v>
      </c>
      <c r="B9" s="42" t="s">
        <v>1159</v>
      </c>
      <c r="C9" s="39">
        <v>2001.0</v>
      </c>
      <c r="D9" s="27" t="s">
        <v>1160</v>
      </c>
      <c r="E9" s="27" t="s">
        <v>1161</v>
      </c>
      <c r="F9" s="40" t="s">
        <v>1141</v>
      </c>
      <c r="G9" s="41" t="s">
        <v>1133</v>
      </c>
      <c r="H9" s="34" t="s">
        <v>22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26" t="s">
        <v>1162</v>
      </c>
      <c r="B10" s="26" t="s">
        <v>1163</v>
      </c>
      <c r="C10" s="39">
        <v>2003.0</v>
      </c>
      <c r="D10" s="27" t="s">
        <v>1164</v>
      </c>
      <c r="E10" s="27" t="s">
        <v>1165</v>
      </c>
      <c r="F10" s="40" t="s">
        <v>1133</v>
      </c>
      <c r="G10" s="41" t="s">
        <v>1133</v>
      </c>
      <c r="H10" s="34" t="s">
        <v>22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26" t="s">
        <v>1166</v>
      </c>
      <c r="B11" s="42" t="s">
        <v>1167</v>
      </c>
      <c r="C11" s="39">
        <v>1962.0</v>
      </c>
      <c r="D11" s="27"/>
      <c r="E11" s="47" t="s">
        <v>1168</v>
      </c>
      <c r="F11" s="40" t="s">
        <v>1133</v>
      </c>
      <c r="G11" s="41" t="s">
        <v>1133</v>
      </c>
      <c r="H11" s="34" t="s">
        <v>22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26" t="s">
        <v>1169</v>
      </c>
      <c r="B12" s="26" t="s">
        <v>1170</v>
      </c>
      <c r="C12" s="39">
        <v>1949.0</v>
      </c>
      <c r="D12" s="27" t="s">
        <v>1171</v>
      </c>
      <c r="E12" s="27" t="s">
        <v>1172</v>
      </c>
      <c r="F12" s="40" t="s">
        <v>1133</v>
      </c>
      <c r="G12" s="41" t="s">
        <v>1133</v>
      </c>
      <c r="H12" s="34" t="s">
        <v>22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42" t="s">
        <v>1173</v>
      </c>
      <c r="B13" s="42" t="s">
        <v>1174</v>
      </c>
      <c r="C13" s="43">
        <v>2021.0</v>
      </c>
      <c r="D13" s="44" t="s">
        <v>1175</v>
      </c>
      <c r="E13" s="46" t="s">
        <v>1176</v>
      </c>
      <c r="F13" s="40" t="s">
        <v>1133</v>
      </c>
      <c r="G13" s="41" t="s">
        <v>1133</v>
      </c>
      <c r="H13" s="34" t="s">
        <v>22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26" t="s">
        <v>1177</v>
      </c>
      <c r="B14" s="26" t="s">
        <v>173</v>
      </c>
      <c r="C14" s="39">
        <v>1977.0</v>
      </c>
      <c r="D14" s="27" t="s">
        <v>1178</v>
      </c>
      <c r="E14" s="27" t="s">
        <v>1179</v>
      </c>
      <c r="F14" s="40" t="s">
        <v>1141</v>
      </c>
      <c r="G14" s="41" t="s">
        <v>1133</v>
      </c>
      <c r="H14" s="34" t="s">
        <v>22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26" t="s">
        <v>1180</v>
      </c>
      <c r="B15" s="26" t="s">
        <v>1181</v>
      </c>
      <c r="C15" s="39">
        <v>1947.0</v>
      </c>
      <c r="D15" s="27" t="s">
        <v>1182</v>
      </c>
      <c r="E15" s="27" t="s">
        <v>1183</v>
      </c>
      <c r="F15" s="40" t="s">
        <v>1141</v>
      </c>
      <c r="G15" s="41" t="s">
        <v>1133</v>
      </c>
      <c r="H15" s="34" t="s">
        <v>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42" t="s">
        <v>1184</v>
      </c>
      <c r="B16" s="42" t="s">
        <v>1185</v>
      </c>
      <c r="C16" s="43">
        <v>2005.0</v>
      </c>
      <c r="D16" s="44" t="s">
        <v>1186</v>
      </c>
      <c r="E16" s="27"/>
      <c r="F16" s="40" t="s">
        <v>1133</v>
      </c>
      <c r="G16" s="41" t="s">
        <v>1133</v>
      </c>
      <c r="H16" s="34" t="s">
        <v>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42" t="s">
        <v>1187</v>
      </c>
      <c r="B17" s="42" t="s">
        <v>1188</v>
      </c>
      <c r="C17" s="43">
        <v>2019.0</v>
      </c>
      <c r="D17" s="44" t="s">
        <v>1189</v>
      </c>
      <c r="E17" s="46" t="s">
        <v>1190</v>
      </c>
      <c r="F17" s="48" t="s">
        <v>1141</v>
      </c>
      <c r="G17" s="41" t="s">
        <v>1133</v>
      </c>
      <c r="H17" s="34" t="s">
        <v>22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26" t="s">
        <v>1191</v>
      </c>
      <c r="B18" s="26" t="s">
        <v>1192</v>
      </c>
      <c r="C18" s="39">
        <v>2000.0</v>
      </c>
      <c r="D18" s="27" t="s">
        <v>1193</v>
      </c>
      <c r="E18" s="27"/>
      <c r="F18" s="40" t="s">
        <v>1133</v>
      </c>
      <c r="G18" s="41" t="s">
        <v>1133</v>
      </c>
      <c r="H18" s="34" t="s">
        <v>22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42" t="s">
        <v>1194</v>
      </c>
      <c r="B19" s="42" t="s">
        <v>1195</v>
      </c>
      <c r="C19" s="43">
        <v>2019.0</v>
      </c>
      <c r="D19" s="44" t="s">
        <v>1196</v>
      </c>
      <c r="E19" s="27"/>
      <c r="F19" s="40"/>
      <c r="G19" s="41" t="s">
        <v>1141</v>
      </c>
      <c r="H19" s="49" t="s">
        <v>22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26" t="s">
        <v>1197</v>
      </c>
      <c r="B20" s="26" t="s">
        <v>1198</v>
      </c>
      <c r="C20" s="39">
        <v>1977.0</v>
      </c>
      <c r="D20" s="27" t="s">
        <v>1199</v>
      </c>
      <c r="E20" s="27" t="s">
        <v>1200</v>
      </c>
      <c r="F20" s="40" t="s">
        <v>1133</v>
      </c>
      <c r="G20" s="41" t="s">
        <v>1133</v>
      </c>
      <c r="H20" s="34" t="s">
        <v>22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26" t="s">
        <v>1201</v>
      </c>
      <c r="B21" s="26" t="s">
        <v>1198</v>
      </c>
      <c r="C21" s="39">
        <v>1998.0</v>
      </c>
      <c r="D21" s="27" t="s">
        <v>1202</v>
      </c>
      <c r="E21" s="27" t="s">
        <v>1203</v>
      </c>
      <c r="F21" s="40" t="s">
        <v>1133</v>
      </c>
      <c r="G21" s="41" t="s">
        <v>1133</v>
      </c>
      <c r="H21" s="34" t="s">
        <v>22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26" t="s">
        <v>1204</v>
      </c>
      <c r="B22" s="26" t="s">
        <v>1198</v>
      </c>
      <c r="C22" s="39">
        <v>1980.0</v>
      </c>
      <c r="D22" s="27" t="s">
        <v>1205</v>
      </c>
      <c r="E22" s="27" t="s">
        <v>1206</v>
      </c>
      <c r="F22" s="40" t="s">
        <v>1141</v>
      </c>
      <c r="G22" s="41" t="s">
        <v>1133</v>
      </c>
      <c r="H22" s="34" t="s">
        <v>22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0" customHeight="1">
      <c r="A23" s="26" t="s">
        <v>1207</v>
      </c>
      <c r="B23" s="26" t="s">
        <v>1208</v>
      </c>
      <c r="C23" s="39">
        <v>1984.0</v>
      </c>
      <c r="D23" s="27" t="s">
        <v>1209</v>
      </c>
      <c r="E23" s="27" t="s">
        <v>1210</v>
      </c>
      <c r="F23" s="40" t="s">
        <v>1133</v>
      </c>
      <c r="G23" s="41" t="s">
        <v>1133</v>
      </c>
      <c r="H23" s="34" t="s">
        <v>22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26" t="s">
        <v>1211</v>
      </c>
      <c r="B24" s="26" t="s">
        <v>1212</v>
      </c>
      <c r="C24" s="39">
        <v>2011.0</v>
      </c>
      <c r="D24" s="27" t="s">
        <v>1213</v>
      </c>
      <c r="E24" s="47" t="s">
        <v>1214</v>
      </c>
      <c r="F24" s="40" t="s">
        <v>1133</v>
      </c>
      <c r="G24" s="41" t="s">
        <v>1133</v>
      </c>
      <c r="H24" s="34" t="s">
        <v>22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26" t="s">
        <v>1215</v>
      </c>
      <c r="B25" s="26" t="s">
        <v>1216</v>
      </c>
      <c r="C25" s="39">
        <v>1946.0</v>
      </c>
      <c r="D25" s="27" t="s">
        <v>1217</v>
      </c>
      <c r="E25" s="27" t="s">
        <v>1218</v>
      </c>
      <c r="F25" s="40" t="s">
        <v>1133</v>
      </c>
      <c r="G25" s="41" t="s">
        <v>1133</v>
      </c>
      <c r="H25" s="34" t="s">
        <v>22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0" customHeight="1">
      <c r="A26" s="26" t="s">
        <v>1219</v>
      </c>
      <c r="B26" s="26" t="s">
        <v>370</v>
      </c>
      <c r="C26" s="39">
        <v>2018.0</v>
      </c>
      <c r="D26" s="27" t="s">
        <v>1220</v>
      </c>
      <c r="E26" s="27" t="s">
        <v>1221</v>
      </c>
      <c r="F26" s="40" t="s">
        <v>1133</v>
      </c>
      <c r="G26" s="41" t="s">
        <v>1133</v>
      </c>
      <c r="H26" s="34" t="s">
        <v>22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0" customHeight="1">
      <c r="A27" s="26" t="s">
        <v>1222</v>
      </c>
      <c r="B27" s="26" t="s">
        <v>370</v>
      </c>
      <c r="C27" s="39">
        <v>2013.0</v>
      </c>
      <c r="D27" s="27" t="s">
        <v>1223</v>
      </c>
      <c r="E27" s="27" t="s">
        <v>1224</v>
      </c>
      <c r="F27" s="40" t="s">
        <v>1133</v>
      </c>
      <c r="G27" s="41" t="s">
        <v>1133</v>
      </c>
      <c r="H27" s="34" t="s">
        <v>22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0" customHeight="1">
      <c r="A28" s="26" t="s">
        <v>1225</v>
      </c>
      <c r="B28" s="26" t="s">
        <v>1226</v>
      </c>
      <c r="C28" s="39">
        <v>2005.0</v>
      </c>
      <c r="D28" s="27" t="s">
        <v>1227</v>
      </c>
      <c r="E28" s="27" t="s">
        <v>1228</v>
      </c>
      <c r="F28" s="40" t="s">
        <v>1133</v>
      </c>
      <c r="G28" s="41" t="s">
        <v>1133</v>
      </c>
      <c r="H28" s="34" t="s">
        <v>22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0" customHeight="1">
      <c r="A29" s="26" t="s">
        <v>1229</v>
      </c>
      <c r="B29" s="26" t="s">
        <v>1226</v>
      </c>
      <c r="C29" s="39">
        <v>2008.0</v>
      </c>
      <c r="D29" s="27" t="s">
        <v>1230</v>
      </c>
      <c r="E29" s="27" t="s">
        <v>1231</v>
      </c>
      <c r="F29" s="40" t="s">
        <v>1133</v>
      </c>
      <c r="G29" s="41" t="s">
        <v>1133</v>
      </c>
      <c r="H29" s="34" t="s">
        <v>22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0" customHeight="1">
      <c r="A30" s="26" t="s">
        <v>1232</v>
      </c>
      <c r="B30" s="26" t="s">
        <v>1226</v>
      </c>
      <c r="C30" s="39">
        <v>2000.0</v>
      </c>
      <c r="D30" s="27" t="s">
        <v>1233</v>
      </c>
      <c r="E30" s="27" t="s">
        <v>1234</v>
      </c>
      <c r="F30" s="40" t="s">
        <v>1133</v>
      </c>
      <c r="G30" s="41" t="s">
        <v>1133</v>
      </c>
      <c r="H30" s="34" t="s">
        <v>22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0" customHeight="1">
      <c r="A31" s="26" t="s">
        <v>1235</v>
      </c>
      <c r="B31" s="26" t="s">
        <v>1236</v>
      </c>
      <c r="C31" s="39">
        <v>2003.0</v>
      </c>
      <c r="D31" s="27" t="s">
        <v>1237</v>
      </c>
      <c r="E31" s="27" t="s">
        <v>1238</v>
      </c>
      <c r="F31" s="40" t="s">
        <v>1133</v>
      </c>
      <c r="G31" s="41" t="s">
        <v>1133</v>
      </c>
      <c r="H31" s="34" t="s">
        <v>22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0" customHeight="1">
      <c r="A32" s="50" t="s">
        <v>1239</v>
      </c>
      <c r="B32" s="50" t="s">
        <v>401</v>
      </c>
      <c r="C32" s="39">
        <v>2021.0</v>
      </c>
      <c r="D32" s="51" t="s">
        <v>1240</v>
      </c>
      <c r="E32" s="47" t="s">
        <v>1241</v>
      </c>
      <c r="F32" s="40" t="s">
        <v>1133</v>
      </c>
      <c r="G32" s="41" t="s">
        <v>1133</v>
      </c>
      <c r="H32" s="34" t="s">
        <v>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26" t="s">
        <v>1242</v>
      </c>
      <c r="B33" s="26" t="s">
        <v>1243</v>
      </c>
      <c r="C33" s="39">
        <v>2011.0</v>
      </c>
      <c r="D33" s="27" t="s">
        <v>1244</v>
      </c>
      <c r="E33" s="27" t="s">
        <v>1245</v>
      </c>
      <c r="F33" s="40" t="s">
        <v>1133</v>
      </c>
      <c r="G33" s="41" t="s">
        <v>1133</v>
      </c>
      <c r="H33" s="34" t="s">
        <v>22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0" customHeight="1">
      <c r="A34" s="26" t="s">
        <v>1246</v>
      </c>
      <c r="B34" s="26" t="s">
        <v>1247</v>
      </c>
      <c r="C34" s="39">
        <v>1995.0</v>
      </c>
      <c r="D34" s="27" t="s">
        <v>1248</v>
      </c>
      <c r="E34" s="27" t="s">
        <v>1249</v>
      </c>
      <c r="F34" s="40" t="s">
        <v>1133</v>
      </c>
      <c r="G34" s="41" t="s">
        <v>1133</v>
      </c>
      <c r="H34" s="34" t="s">
        <v>22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0" customHeight="1">
      <c r="A35" s="26" t="s">
        <v>1250</v>
      </c>
      <c r="B35" s="26" t="s">
        <v>1251</v>
      </c>
      <c r="C35" s="39">
        <v>1905.0</v>
      </c>
      <c r="D35" s="27" t="s">
        <v>1252</v>
      </c>
      <c r="E35" s="27" t="s">
        <v>1253</v>
      </c>
      <c r="F35" s="40" t="s">
        <v>1133</v>
      </c>
      <c r="G35" s="41" t="s">
        <v>1133</v>
      </c>
      <c r="H35" s="34" t="s">
        <v>22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26" t="s">
        <v>1254</v>
      </c>
      <c r="B36" s="26" t="s">
        <v>1255</v>
      </c>
      <c r="C36" s="39">
        <v>1988.0</v>
      </c>
      <c r="D36" s="27" t="s">
        <v>1256</v>
      </c>
      <c r="E36" s="27" t="s">
        <v>1257</v>
      </c>
      <c r="F36" s="40" t="s">
        <v>1133</v>
      </c>
      <c r="G36" s="41" t="s">
        <v>1133</v>
      </c>
      <c r="H36" s="34" t="s">
        <v>22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26" t="s">
        <v>1258</v>
      </c>
      <c r="B37" s="26" t="s">
        <v>1259</v>
      </c>
      <c r="C37" s="39">
        <v>2010.0</v>
      </c>
      <c r="D37" s="27" t="s">
        <v>1260</v>
      </c>
      <c r="E37" s="27" t="s">
        <v>1261</v>
      </c>
      <c r="F37" s="40" t="s">
        <v>1141</v>
      </c>
      <c r="G37" s="41" t="s">
        <v>1133</v>
      </c>
      <c r="H37" s="34" t="s">
        <v>22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26" t="s">
        <v>1262</v>
      </c>
      <c r="B38" s="26" t="s">
        <v>1263</v>
      </c>
      <c r="C38" s="39">
        <v>1979.0</v>
      </c>
      <c r="D38" s="27" t="s">
        <v>1264</v>
      </c>
      <c r="E38" s="27" t="s">
        <v>1265</v>
      </c>
      <c r="F38" s="40" t="s">
        <v>1133</v>
      </c>
      <c r="G38" s="41" t="s">
        <v>1133</v>
      </c>
      <c r="H38" s="34" t="s">
        <v>22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26" t="s">
        <v>1266</v>
      </c>
      <c r="B39" s="26" t="s">
        <v>1267</v>
      </c>
      <c r="C39" s="39">
        <v>2018.0</v>
      </c>
      <c r="D39" s="27" t="s">
        <v>1268</v>
      </c>
      <c r="E39" s="52" t="s">
        <v>1269</v>
      </c>
      <c r="F39" s="40" t="s">
        <v>1133</v>
      </c>
      <c r="G39" s="41" t="s">
        <v>1133</v>
      </c>
      <c r="H39" s="34" t="s">
        <v>22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26" t="s">
        <v>1270</v>
      </c>
      <c r="B40" s="26" t="s">
        <v>1271</v>
      </c>
      <c r="C40" s="39">
        <v>1996.0</v>
      </c>
      <c r="D40" s="27" t="s">
        <v>1272</v>
      </c>
      <c r="E40" s="27" t="s">
        <v>1273</v>
      </c>
      <c r="F40" s="40" t="s">
        <v>1133</v>
      </c>
      <c r="G40" s="41" t="s">
        <v>1133</v>
      </c>
      <c r="H40" s="34" t="s">
        <v>22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26" t="s">
        <v>1274</v>
      </c>
      <c r="B41" s="26" t="s">
        <v>1275</v>
      </c>
      <c r="C41" s="39">
        <v>2017.0</v>
      </c>
      <c r="D41" s="27" t="s">
        <v>1276</v>
      </c>
      <c r="E41" s="27" t="s">
        <v>1277</v>
      </c>
      <c r="F41" s="40" t="s">
        <v>1141</v>
      </c>
      <c r="G41" s="41" t="s">
        <v>1133</v>
      </c>
      <c r="H41" s="34" t="s">
        <v>22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0" customHeight="1">
      <c r="A42" s="42" t="s">
        <v>1278</v>
      </c>
      <c r="B42" s="42" t="s">
        <v>1279</v>
      </c>
      <c r="C42" s="43">
        <v>2020.0</v>
      </c>
      <c r="D42" s="44" t="s">
        <v>1280</v>
      </c>
      <c r="E42" s="45" t="s">
        <v>1281</v>
      </c>
      <c r="F42" s="40" t="s">
        <v>1133</v>
      </c>
      <c r="G42" s="41" t="s">
        <v>1133</v>
      </c>
      <c r="H42" s="34" t="s">
        <v>22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26" t="s">
        <v>1282</v>
      </c>
      <c r="B43" s="26" t="s">
        <v>1283</v>
      </c>
      <c r="C43" s="39">
        <v>2021.0</v>
      </c>
      <c r="D43" s="27" t="s">
        <v>1284</v>
      </c>
      <c r="E43" s="47" t="s">
        <v>1285</v>
      </c>
      <c r="F43" s="40" t="s">
        <v>1133</v>
      </c>
      <c r="G43" s="41" t="s">
        <v>1133</v>
      </c>
      <c r="H43" s="34" t="s">
        <v>22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26" t="s">
        <v>1286</v>
      </c>
      <c r="B44" s="26" t="s">
        <v>1287</v>
      </c>
      <c r="C44" s="39">
        <v>1992.0</v>
      </c>
      <c r="D44" s="27" t="s">
        <v>1288</v>
      </c>
      <c r="E44" s="52" t="s">
        <v>1289</v>
      </c>
      <c r="F44" s="40" t="s">
        <v>1141</v>
      </c>
      <c r="G44" s="41" t="s">
        <v>1133</v>
      </c>
      <c r="H44" s="34" t="s">
        <v>22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0" customHeight="1">
      <c r="A45" s="26" t="s">
        <v>1290</v>
      </c>
      <c r="B45" s="26" t="s">
        <v>1291</v>
      </c>
      <c r="C45" s="39">
        <v>2019.0</v>
      </c>
      <c r="D45" s="27" t="s">
        <v>1292</v>
      </c>
      <c r="E45" s="27" t="s">
        <v>1293</v>
      </c>
      <c r="F45" s="40" t="s">
        <v>1133</v>
      </c>
      <c r="G45" s="41" t="s">
        <v>1133</v>
      </c>
      <c r="H45" s="34" t="s">
        <v>22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26" t="s">
        <v>1294</v>
      </c>
      <c r="B46" s="26" t="s">
        <v>1295</v>
      </c>
      <c r="C46" s="39">
        <v>2014.0</v>
      </c>
      <c r="D46" s="27" t="s">
        <v>1296</v>
      </c>
      <c r="E46" s="27" t="s">
        <v>1297</v>
      </c>
      <c r="F46" s="40" t="s">
        <v>1141</v>
      </c>
      <c r="G46" s="41" t="s">
        <v>1133</v>
      </c>
      <c r="H46" s="34" t="s">
        <v>22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26" t="s">
        <v>1298</v>
      </c>
      <c r="B47" s="26" t="s">
        <v>1299</v>
      </c>
      <c r="C47" s="39">
        <v>2005.0</v>
      </c>
      <c r="D47" s="27" t="s">
        <v>1300</v>
      </c>
      <c r="E47" s="27" t="s">
        <v>1301</v>
      </c>
      <c r="F47" s="40" t="s">
        <v>1141</v>
      </c>
      <c r="G47" s="41" t="s">
        <v>1133</v>
      </c>
      <c r="H47" s="34" t="s">
        <v>22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26" t="s">
        <v>1302</v>
      </c>
      <c r="B48" s="26" t="s">
        <v>1303</v>
      </c>
      <c r="C48" s="39">
        <v>2009.0</v>
      </c>
      <c r="D48" s="27" t="s">
        <v>1304</v>
      </c>
      <c r="E48" s="27" t="s">
        <v>1305</v>
      </c>
      <c r="F48" s="40" t="s">
        <v>1133</v>
      </c>
      <c r="G48" s="41" t="s">
        <v>1133</v>
      </c>
      <c r="H48" s="34" t="s">
        <v>22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26" t="s">
        <v>1306</v>
      </c>
      <c r="B49" s="26" t="s">
        <v>1307</v>
      </c>
      <c r="C49" s="39">
        <v>2008.0</v>
      </c>
      <c r="D49" s="27" t="s">
        <v>1308</v>
      </c>
      <c r="E49" s="27" t="s">
        <v>1309</v>
      </c>
      <c r="F49" s="40" t="s">
        <v>1133</v>
      </c>
      <c r="G49" s="41" t="s">
        <v>1133</v>
      </c>
      <c r="H49" s="34" t="s">
        <v>22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0" customHeight="1">
      <c r="A50" s="26" t="s">
        <v>1310</v>
      </c>
      <c r="B50" s="26" t="s">
        <v>1311</v>
      </c>
      <c r="C50" s="39">
        <v>2012.0</v>
      </c>
      <c r="D50" s="27" t="s">
        <v>1312</v>
      </c>
      <c r="E50" s="27" t="s">
        <v>1313</v>
      </c>
      <c r="F50" s="40" t="s">
        <v>1133</v>
      </c>
      <c r="G50" s="41" t="s">
        <v>1133</v>
      </c>
      <c r="H50" s="34" t="s">
        <v>22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0" customHeight="1">
      <c r="A51" s="26" t="s">
        <v>1314</v>
      </c>
      <c r="B51" s="26" t="s">
        <v>1315</v>
      </c>
      <c r="C51" s="39">
        <v>1853.0</v>
      </c>
      <c r="D51" s="27" t="s">
        <v>1316</v>
      </c>
      <c r="E51" s="27" t="s">
        <v>1317</v>
      </c>
      <c r="F51" s="40" t="s">
        <v>1141</v>
      </c>
      <c r="G51" s="41" t="s">
        <v>1133</v>
      </c>
      <c r="H51" s="34" t="s">
        <v>22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26" t="s">
        <v>1318</v>
      </c>
      <c r="B52" s="26" t="s">
        <v>1319</v>
      </c>
      <c r="C52" s="39">
        <v>1995.0</v>
      </c>
      <c r="D52" s="27" t="s">
        <v>1320</v>
      </c>
      <c r="E52" s="27" t="s">
        <v>1321</v>
      </c>
      <c r="F52" s="40" t="s">
        <v>1141</v>
      </c>
      <c r="G52" s="41" t="s">
        <v>1133</v>
      </c>
      <c r="H52" s="34" t="s">
        <v>22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0" customHeight="1">
      <c r="A53" s="26" t="s">
        <v>1322</v>
      </c>
      <c r="B53" s="26" t="s">
        <v>1319</v>
      </c>
      <c r="C53" s="39">
        <v>2006.0</v>
      </c>
      <c r="D53" s="27" t="s">
        <v>1323</v>
      </c>
      <c r="E53" s="27"/>
      <c r="F53" s="40" t="s">
        <v>1133</v>
      </c>
      <c r="G53" s="41" t="s">
        <v>1133</v>
      </c>
      <c r="H53" s="34" t="s">
        <v>22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0" customHeight="1">
      <c r="A54" s="26" t="s">
        <v>1324</v>
      </c>
      <c r="B54" s="26" t="s">
        <v>1325</v>
      </c>
      <c r="C54" s="39">
        <v>2000.0</v>
      </c>
      <c r="D54" s="27" t="s">
        <v>1326</v>
      </c>
      <c r="E54" s="27" t="s">
        <v>1327</v>
      </c>
      <c r="F54" s="40" t="s">
        <v>1141</v>
      </c>
      <c r="G54" s="41" t="s">
        <v>1133</v>
      </c>
      <c r="H54" s="34" t="s">
        <v>22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0" customHeight="1">
      <c r="A55" s="26" t="s">
        <v>1328</v>
      </c>
      <c r="B55" s="26" t="s">
        <v>1329</v>
      </c>
      <c r="C55" s="39">
        <v>2010.0</v>
      </c>
      <c r="D55" s="27" t="s">
        <v>1330</v>
      </c>
      <c r="E55" s="27" t="s">
        <v>1331</v>
      </c>
      <c r="F55" s="40" t="s">
        <v>1133</v>
      </c>
      <c r="G55" s="41" t="s">
        <v>1133</v>
      </c>
      <c r="H55" s="34" t="s">
        <v>22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26" t="s">
        <v>1332</v>
      </c>
      <c r="B56" s="26" t="s">
        <v>1333</v>
      </c>
      <c r="C56" s="39">
        <v>-380.0</v>
      </c>
      <c r="D56" s="27" t="s">
        <v>1334</v>
      </c>
      <c r="E56" s="27" t="s">
        <v>1335</v>
      </c>
      <c r="F56" s="40" t="s">
        <v>1141</v>
      </c>
      <c r="G56" s="41" t="s">
        <v>1133</v>
      </c>
      <c r="H56" s="34" t="s">
        <v>22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26" t="s">
        <v>1336</v>
      </c>
      <c r="B57" s="26" t="s">
        <v>1337</v>
      </c>
      <c r="C57" s="39">
        <v>2007.0</v>
      </c>
      <c r="D57" s="27" t="s">
        <v>1338</v>
      </c>
      <c r="E57" s="27" t="s">
        <v>1339</v>
      </c>
      <c r="F57" s="40" t="s">
        <v>1133</v>
      </c>
      <c r="G57" s="41" t="s">
        <v>1133</v>
      </c>
      <c r="H57" s="34" t="s">
        <v>22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26" t="s">
        <v>1340</v>
      </c>
      <c r="B58" s="26" t="s">
        <v>1341</v>
      </c>
      <c r="C58" s="39">
        <v>2005.0</v>
      </c>
      <c r="D58" s="27" t="s">
        <v>1342</v>
      </c>
      <c r="E58" s="27" t="s">
        <v>1343</v>
      </c>
      <c r="F58" s="40" t="s">
        <v>1141</v>
      </c>
      <c r="G58" s="41" t="s">
        <v>1133</v>
      </c>
      <c r="H58" s="34" t="s">
        <v>22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0" customHeight="1">
      <c r="A59" s="26" t="s">
        <v>1344</v>
      </c>
      <c r="B59" s="26" t="s">
        <v>1345</v>
      </c>
      <c r="C59" s="39">
        <v>1996.0</v>
      </c>
      <c r="D59" s="27" t="s">
        <v>1346</v>
      </c>
      <c r="E59" s="52" t="s">
        <v>1347</v>
      </c>
      <c r="F59" s="40" t="s">
        <v>1133</v>
      </c>
      <c r="G59" s="41" t="s">
        <v>1133</v>
      </c>
      <c r="H59" s="34" t="s">
        <v>22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26" t="s">
        <v>1348</v>
      </c>
      <c r="B60" s="26" t="s">
        <v>1349</v>
      </c>
      <c r="C60" s="39">
        <v>2005.0</v>
      </c>
      <c r="D60" s="27" t="s">
        <v>1350</v>
      </c>
      <c r="E60" s="27"/>
      <c r="F60" s="40" t="s">
        <v>1133</v>
      </c>
      <c r="G60" s="41" t="s">
        <v>1133</v>
      </c>
      <c r="H60" s="34" t="s">
        <v>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42" t="s">
        <v>1351</v>
      </c>
      <c r="B61" s="42" t="s">
        <v>1352</v>
      </c>
      <c r="C61" s="43">
        <v>2015.0</v>
      </c>
      <c r="D61" s="44" t="s">
        <v>1353</v>
      </c>
      <c r="E61" s="46" t="s">
        <v>1354</v>
      </c>
      <c r="F61" s="48" t="s">
        <v>1133</v>
      </c>
      <c r="G61" s="41" t="s">
        <v>1133</v>
      </c>
      <c r="H61" s="49" t="s">
        <v>22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26" t="s">
        <v>1355</v>
      </c>
      <c r="B62" s="26" t="s">
        <v>1356</v>
      </c>
      <c r="C62" s="39">
        <v>2004.0</v>
      </c>
      <c r="D62" s="27" t="s">
        <v>1357</v>
      </c>
      <c r="E62" s="27" t="s">
        <v>1358</v>
      </c>
      <c r="F62" s="40" t="s">
        <v>1133</v>
      </c>
      <c r="G62" s="41" t="s">
        <v>1133</v>
      </c>
      <c r="H62" s="34" t="s">
        <v>22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26" t="s">
        <v>1359</v>
      </c>
      <c r="B63" s="26" t="s">
        <v>1356</v>
      </c>
      <c r="C63" s="39">
        <v>1997.0</v>
      </c>
      <c r="D63" s="27" t="s">
        <v>1360</v>
      </c>
      <c r="E63" s="27" t="s">
        <v>1361</v>
      </c>
      <c r="F63" s="40" t="s">
        <v>1141</v>
      </c>
      <c r="G63" s="41" t="s">
        <v>1133</v>
      </c>
      <c r="H63" s="34" t="s">
        <v>22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26" t="s">
        <v>1362</v>
      </c>
      <c r="B64" s="26" t="s">
        <v>1356</v>
      </c>
      <c r="C64" s="39">
        <v>1999.0</v>
      </c>
      <c r="D64" s="27" t="s">
        <v>1363</v>
      </c>
      <c r="E64" s="27" t="s">
        <v>1364</v>
      </c>
      <c r="F64" s="40" t="s">
        <v>1133</v>
      </c>
      <c r="G64" s="41" t="s">
        <v>1133</v>
      </c>
      <c r="H64" s="34" t="s">
        <v>22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0" customHeight="1">
      <c r="A65" s="26" t="s">
        <v>1365</v>
      </c>
      <c r="B65" s="26" t="s">
        <v>1366</v>
      </c>
      <c r="C65" s="39">
        <v>1979.0</v>
      </c>
      <c r="D65" s="27" t="s">
        <v>1367</v>
      </c>
      <c r="E65" s="27"/>
      <c r="F65" s="40" t="s">
        <v>1133</v>
      </c>
      <c r="G65" s="41" t="s">
        <v>1133</v>
      </c>
      <c r="H65" s="34" t="s">
        <v>22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26" t="s">
        <v>1368</v>
      </c>
      <c r="B66" s="26" t="s">
        <v>1369</v>
      </c>
      <c r="C66" s="39">
        <v>2021.0</v>
      </c>
      <c r="D66" s="27" t="s">
        <v>1370</v>
      </c>
      <c r="E66" s="27"/>
      <c r="F66" s="40" t="s">
        <v>1141</v>
      </c>
      <c r="G66" s="41" t="s">
        <v>1133</v>
      </c>
      <c r="H66" s="34" t="s">
        <v>22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0" customHeight="1">
      <c r="A67" s="26" t="s">
        <v>1371</v>
      </c>
      <c r="B67" s="26" t="s">
        <v>1372</v>
      </c>
      <c r="C67" s="39">
        <v>1910.0</v>
      </c>
      <c r="D67" s="27" t="s">
        <v>1373</v>
      </c>
      <c r="E67" s="27" t="s">
        <v>1374</v>
      </c>
      <c r="F67" s="40" t="s">
        <v>1133</v>
      </c>
      <c r="G67" s="41" t="s">
        <v>1133</v>
      </c>
      <c r="H67" s="34" t="s">
        <v>22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26" t="s">
        <v>1375</v>
      </c>
      <c r="B68" s="26" t="s">
        <v>1376</v>
      </c>
      <c r="C68" s="39">
        <v>2018.0</v>
      </c>
      <c r="D68" s="27" t="s">
        <v>1377</v>
      </c>
      <c r="E68" s="52" t="s">
        <v>1378</v>
      </c>
      <c r="F68" s="40" t="s">
        <v>1133</v>
      </c>
      <c r="G68" s="41" t="s">
        <v>1133</v>
      </c>
      <c r="H68" s="34" t="s">
        <v>22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26" t="s">
        <v>1379</v>
      </c>
      <c r="B69" s="26" t="s">
        <v>1376</v>
      </c>
      <c r="C69" s="39">
        <v>2002.0</v>
      </c>
      <c r="D69" s="27" t="s">
        <v>1380</v>
      </c>
      <c r="E69" s="52" t="s">
        <v>1381</v>
      </c>
      <c r="F69" s="40" t="s">
        <v>1133</v>
      </c>
      <c r="G69" s="41" t="s">
        <v>1133</v>
      </c>
      <c r="H69" s="34" t="s">
        <v>22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42" t="s">
        <v>1382</v>
      </c>
      <c r="B70" s="42" t="s">
        <v>1383</v>
      </c>
      <c r="C70" s="43">
        <v>2007.0</v>
      </c>
      <c r="D70" s="44" t="s">
        <v>1384</v>
      </c>
      <c r="E70" s="52" t="s">
        <v>1385</v>
      </c>
      <c r="F70" s="48" t="s">
        <v>1133</v>
      </c>
      <c r="G70" s="41" t="s">
        <v>1133</v>
      </c>
      <c r="H70" s="49" t="s">
        <v>22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42" t="s">
        <v>1386</v>
      </c>
      <c r="B71" s="42" t="s">
        <v>1387</v>
      </c>
      <c r="C71" s="43">
        <v>2003.0</v>
      </c>
      <c r="D71" s="44" t="s">
        <v>1388</v>
      </c>
      <c r="E71" s="52" t="s">
        <v>1389</v>
      </c>
      <c r="F71" s="48" t="s">
        <v>1133</v>
      </c>
      <c r="G71" s="41" t="s">
        <v>1141</v>
      </c>
      <c r="H71" s="49" t="s">
        <v>22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26" t="s">
        <v>1390</v>
      </c>
      <c r="B72" s="26" t="s">
        <v>1391</v>
      </c>
      <c r="C72" s="39">
        <v>2002.0</v>
      </c>
      <c r="D72" s="27"/>
      <c r="E72" s="27"/>
      <c r="F72" s="40" t="s">
        <v>1133</v>
      </c>
      <c r="G72" s="41" t="s">
        <v>1133</v>
      </c>
      <c r="H72" s="34" t="s">
        <v>22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26" t="s">
        <v>1392</v>
      </c>
      <c r="B73" s="26" t="s">
        <v>1391</v>
      </c>
      <c r="C73" s="39">
        <v>2006.0</v>
      </c>
      <c r="D73" s="27"/>
      <c r="E73" s="27"/>
      <c r="F73" s="40" t="s">
        <v>1133</v>
      </c>
      <c r="G73" s="41" t="s">
        <v>1133</v>
      </c>
      <c r="H73" s="34" t="s">
        <v>22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26" t="s">
        <v>1393</v>
      </c>
      <c r="B74" s="26" t="s">
        <v>1394</v>
      </c>
      <c r="C74" s="39">
        <v>2017.0</v>
      </c>
      <c r="D74" s="27" t="s">
        <v>1395</v>
      </c>
      <c r="E74" s="52" t="s">
        <v>1396</v>
      </c>
      <c r="F74" s="40" t="s">
        <v>1141</v>
      </c>
      <c r="G74" s="41" t="s">
        <v>1133</v>
      </c>
      <c r="H74" s="34" t="s">
        <v>22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26" t="s">
        <v>1397</v>
      </c>
      <c r="B75" s="26" t="s">
        <v>1398</v>
      </c>
      <c r="C75" s="39">
        <v>2016.0</v>
      </c>
      <c r="D75" s="27" t="s">
        <v>1399</v>
      </c>
      <c r="E75" s="27" t="s">
        <v>1400</v>
      </c>
      <c r="F75" s="40" t="s">
        <v>1133</v>
      </c>
      <c r="G75" s="41" t="s">
        <v>1133</v>
      </c>
      <c r="H75" s="34" t="s">
        <v>22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42" t="s">
        <v>1401</v>
      </c>
      <c r="B76" s="42" t="s">
        <v>1402</v>
      </c>
      <c r="C76" s="43">
        <v>1994.0</v>
      </c>
      <c r="D76" s="44" t="s">
        <v>1403</v>
      </c>
      <c r="E76" s="52" t="s">
        <v>1404</v>
      </c>
      <c r="F76" s="48" t="s">
        <v>1133</v>
      </c>
      <c r="G76" s="41" t="s">
        <v>1141</v>
      </c>
      <c r="H76" s="49" t="s">
        <v>22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42" t="s">
        <v>1405</v>
      </c>
      <c r="B77" s="42" t="s">
        <v>1406</v>
      </c>
      <c r="C77" s="43">
        <v>1959.0</v>
      </c>
      <c r="D77" s="27"/>
      <c r="E77" s="52" t="s">
        <v>1407</v>
      </c>
      <c r="F77" s="48" t="s">
        <v>1133</v>
      </c>
      <c r="G77" s="41" t="s">
        <v>1141</v>
      </c>
      <c r="H77" s="49" t="s">
        <v>22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50" t="s">
        <v>1408</v>
      </c>
      <c r="B78" s="50" t="s">
        <v>1409</v>
      </c>
      <c r="C78" s="39">
        <v>2017.0</v>
      </c>
      <c r="D78" s="51" t="s">
        <v>1410</v>
      </c>
      <c r="E78" s="52" t="s">
        <v>1411</v>
      </c>
      <c r="F78" s="40" t="s">
        <v>1133</v>
      </c>
      <c r="G78" s="41" t="s">
        <v>1133</v>
      </c>
      <c r="H78" s="34" t="s">
        <v>22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26" t="s">
        <v>1412</v>
      </c>
      <c r="B79" s="26" t="s">
        <v>1413</v>
      </c>
      <c r="C79" s="39">
        <v>1998.0</v>
      </c>
      <c r="D79" s="27" t="s">
        <v>1414</v>
      </c>
      <c r="E79" s="27"/>
      <c r="F79" s="40" t="s">
        <v>1133</v>
      </c>
      <c r="G79" s="41" t="s">
        <v>1133</v>
      </c>
      <c r="H79" s="34" t="s">
        <v>22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42" t="s">
        <v>1415</v>
      </c>
      <c r="B80" s="42" t="s">
        <v>1416</v>
      </c>
      <c r="C80" s="43">
        <v>2024.0</v>
      </c>
      <c r="D80" s="44" t="s">
        <v>1417</v>
      </c>
      <c r="E80" s="45" t="s">
        <v>1418</v>
      </c>
      <c r="F80" s="48" t="s">
        <v>1141</v>
      </c>
      <c r="G80" s="41" t="s">
        <v>1133</v>
      </c>
      <c r="H80" s="34" t="s">
        <v>22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42" t="s">
        <v>1419</v>
      </c>
      <c r="B81" s="42" t="s">
        <v>1420</v>
      </c>
      <c r="C81" s="43">
        <v>2020.0</v>
      </c>
      <c r="D81" s="44" t="s">
        <v>1421</v>
      </c>
      <c r="E81" s="45" t="s">
        <v>1422</v>
      </c>
      <c r="F81" s="40" t="s">
        <v>1133</v>
      </c>
      <c r="G81" s="41" t="s">
        <v>1133</v>
      </c>
      <c r="H81" s="34" t="s">
        <v>22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42" t="s">
        <v>1423</v>
      </c>
      <c r="B82" s="42" t="s">
        <v>1135</v>
      </c>
      <c r="C82" s="43">
        <v>2017.0</v>
      </c>
      <c r="D82" s="44" t="s">
        <v>1424</v>
      </c>
      <c r="E82" s="45" t="s">
        <v>1425</v>
      </c>
      <c r="F82" s="40" t="s">
        <v>1133</v>
      </c>
      <c r="G82" s="41" t="s">
        <v>1133</v>
      </c>
      <c r="H82" s="4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42" t="s">
        <v>1426</v>
      </c>
      <c r="B83" s="42" t="s">
        <v>1427</v>
      </c>
      <c r="C83" s="43">
        <v>1917.0</v>
      </c>
      <c r="D83" s="44" t="s">
        <v>1428</v>
      </c>
      <c r="E83" s="45" t="s">
        <v>1429</v>
      </c>
      <c r="F83" s="40" t="s">
        <v>1133</v>
      </c>
      <c r="G83" s="41" t="s">
        <v>1133</v>
      </c>
      <c r="H83" s="3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42" t="s">
        <v>1430</v>
      </c>
      <c r="B84" s="42" t="s">
        <v>1431</v>
      </c>
      <c r="C84" s="43">
        <v>1848.0</v>
      </c>
      <c r="D84" s="44" t="s">
        <v>1432</v>
      </c>
      <c r="E84" s="44"/>
      <c r="F84" s="40" t="s">
        <v>1133</v>
      </c>
      <c r="G84" s="41" t="s">
        <v>1133</v>
      </c>
      <c r="H84" s="3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42" t="s">
        <v>1433</v>
      </c>
      <c r="B85" s="42" t="s">
        <v>1434</v>
      </c>
      <c r="C85" s="43">
        <v>1972.0</v>
      </c>
      <c r="D85" s="44" t="s">
        <v>1435</v>
      </c>
      <c r="E85" s="44"/>
      <c r="F85" s="48" t="s">
        <v>1141</v>
      </c>
      <c r="G85" s="41" t="s">
        <v>1133</v>
      </c>
      <c r="H85" s="3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26"/>
      <c r="B86" s="26"/>
      <c r="C86" s="39"/>
      <c r="D86" s="27"/>
      <c r="E86" s="27"/>
      <c r="F86" s="40" t="s">
        <v>1133</v>
      </c>
      <c r="G86" s="41" t="s">
        <v>1133</v>
      </c>
      <c r="H86" s="34" t="s">
        <v>22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0"/>
      <c r="B87" s="10"/>
      <c r="C87" s="28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0"/>
      <c r="B88" s="10"/>
      <c r="C88" s="28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10"/>
      <c r="B89" s="10"/>
      <c r="C89" s="28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10"/>
      <c r="B90" s="10"/>
      <c r="C90" s="28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10"/>
      <c r="B91" s="10"/>
      <c r="C91" s="28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0"/>
      <c r="B92" s="10"/>
      <c r="C92" s="28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10"/>
      <c r="B93" s="10"/>
      <c r="C93" s="28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10"/>
      <c r="B94" s="10"/>
      <c r="C94" s="28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10"/>
      <c r="B95" s="10"/>
      <c r="C95" s="28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0"/>
      <c r="B96" s="10"/>
      <c r="C96" s="28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0"/>
      <c r="B97" s="10"/>
      <c r="C97" s="28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10"/>
      <c r="B98" s="10"/>
      <c r="C98" s="28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10"/>
      <c r="B99" s="10"/>
      <c r="C99" s="28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10"/>
      <c r="B100" s="10"/>
      <c r="C100" s="28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10"/>
      <c r="B101" s="10"/>
      <c r="C101" s="28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10"/>
      <c r="B102" s="10"/>
      <c r="C102" s="28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10"/>
      <c r="B103" s="10"/>
      <c r="C103" s="28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10"/>
      <c r="B104" s="10"/>
      <c r="C104" s="28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0"/>
      <c r="B105" s="10"/>
      <c r="C105" s="28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10"/>
      <c r="B106" s="10"/>
      <c r="C106" s="28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10"/>
      <c r="B107" s="10"/>
      <c r="C107" s="28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0"/>
      <c r="B108" s="10"/>
      <c r="C108" s="28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10"/>
      <c r="B109" s="10"/>
      <c r="C109" s="28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10"/>
      <c r="B110" s="10"/>
      <c r="C110" s="28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10"/>
      <c r="B111" s="10"/>
      <c r="C111" s="28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10"/>
      <c r="B112" s="10"/>
      <c r="C112" s="28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10"/>
      <c r="B113" s="10"/>
      <c r="C113" s="28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10"/>
      <c r="B114" s="10"/>
      <c r="C114" s="28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10"/>
      <c r="B115" s="10"/>
      <c r="C115" s="28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10"/>
      <c r="B116" s="10"/>
      <c r="C116" s="28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10"/>
      <c r="B117" s="10"/>
      <c r="C117" s="28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10"/>
      <c r="B118" s="10"/>
      <c r="C118" s="28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0"/>
      <c r="B119" s="10"/>
      <c r="C119" s="28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0"/>
      <c r="B120" s="10"/>
      <c r="C120" s="28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10"/>
      <c r="B121" s="10"/>
      <c r="C121" s="28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10"/>
      <c r="B122" s="10"/>
      <c r="C122" s="28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10"/>
      <c r="B123" s="10"/>
      <c r="C123" s="28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10"/>
      <c r="B124" s="10"/>
      <c r="C124" s="28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10"/>
      <c r="B125" s="10"/>
      <c r="C125" s="28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10"/>
      <c r="B126" s="10"/>
      <c r="C126" s="28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10"/>
      <c r="B127" s="10"/>
      <c r="C127" s="28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10"/>
      <c r="B128" s="10"/>
      <c r="C128" s="28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10"/>
      <c r="B129" s="10"/>
      <c r="C129" s="28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10"/>
      <c r="B130" s="10"/>
      <c r="C130" s="28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10"/>
      <c r="B131" s="10"/>
      <c r="C131" s="28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10"/>
      <c r="B132" s="10"/>
      <c r="C132" s="28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10"/>
      <c r="B133" s="10"/>
      <c r="C133" s="28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10"/>
      <c r="B134" s="10"/>
      <c r="C134" s="28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10"/>
      <c r="B135" s="10"/>
      <c r="C135" s="28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10"/>
      <c r="B136" s="10"/>
      <c r="C136" s="28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10"/>
      <c r="B137" s="10"/>
      <c r="C137" s="28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10"/>
      <c r="B138" s="10"/>
      <c r="C138" s="28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10"/>
      <c r="B139" s="10"/>
      <c r="C139" s="28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10"/>
      <c r="B140" s="10"/>
      <c r="C140" s="28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10"/>
      <c r="B141" s="10"/>
      <c r="C141" s="28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10"/>
      <c r="B142" s="10"/>
      <c r="C142" s="28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10"/>
      <c r="B143" s="10"/>
      <c r="C143" s="28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0"/>
      <c r="B144" s="10"/>
      <c r="C144" s="28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10"/>
      <c r="B145" s="10"/>
      <c r="C145" s="28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10"/>
      <c r="B146" s="10"/>
      <c r="C146" s="28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10"/>
      <c r="B147" s="10"/>
      <c r="C147" s="28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10"/>
      <c r="B148" s="10"/>
      <c r="C148" s="28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10"/>
      <c r="B149" s="10"/>
      <c r="C149" s="28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10"/>
      <c r="B150" s="10"/>
      <c r="C150" s="28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10"/>
      <c r="B151" s="10"/>
      <c r="C151" s="28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10"/>
      <c r="B152" s="10"/>
      <c r="C152" s="28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10"/>
      <c r="B153" s="10"/>
      <c r="C153" s="28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10"/>
      <c r="B154" s="10"/>
      <c r="C154" s="28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0"/>
      <c r="B155" s="10"/>
      <c r="C155" s="28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0"/>
      <c r="B156" s="10"/>
      <c r="C156" s="28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10"/>
      <c r="B157" s="10"/>
      <c r="C157" s="28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10"/>
      <c r="B158" s="10"/>
      <c r="C158" s="28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10"/>
      <c r="B159" s="10"/>
      <c r="C159" s="28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10"/>
      <c r="B160" s="10"/>
      <c r="C160" s="28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10"/>
      <c r="B161" s="10"/>
      <c r="C161" s="28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10"/>
      <c r="B162" s="10"/>
      <c r="C162" s="28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10"/>
      <c r="B163" s="10"/>
      <c r="C163" s="28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10"/>
      <c r="B164" s="10"/>
      <c r="C164" s="28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10"/>
      <c r="B165" s="10"/>
      <c r="C165" s="28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10"/>
      <c r="B166" s="10"/>
      <c r="C166" s="28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10"/>
      <c r="B167" s="10"/>
      <c r="C167" s="28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10"/>
      <c r="B168" s="10"/>
      <c r="C168" s="28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10"/>
      <c r="B169" s="10"/>
      <c r="C169" s="28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10"/>
      <c r="B170" s="10"/>
      <c r="C170" s="28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0"/>
      <c r="B171" s="10"/>
      <c r="C171" s="28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0"/>
      <c r="B172" s="10"/>
      <c r="C172" s="28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0"/>
      <c r="B173" s="10"/>
      <c r="C173" s="28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0"/>
      <c r="B174" s="10"/>
      <c r="C174" s="28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0"/>
      <c r="B175" s="10"/>
      <c r="C175" s="28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10"/>
      <c r="B176" s="10"/>
      <c r="C176" s="28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10"/>
      <c r="B177" s="10"/>
      <c r="C177" s="28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0"/>
      <c r="B178" s="10"/>
      <c r="C178" s="28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0"/>
      <c r="B179" s="10"/>
      <c r="C179" s="28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10"/>
      <c r="B180" s="10"/>
      <c r="C180" s="28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10"/>
      <c r="B181" s="10"/>
      <c r="C181" s="28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10"/>
      <c r="B182" s="10"/>
      <c r="C182" s="28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10"/>
      <c r="B183" s="10"/>
      <c r="C183" s="28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10"/>
      <c r="B184" s="10"/>
      <c r="C184" s="28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10"/>
      <c r="B185" s="10"/>
      <c r="C185" s="28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10"/>
      <c r="B186" s="10"/>
      <c r="C186" s="28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10"/>
      <c r="B187" s="10"/>
      <c r="C187" s="28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10"/>
      <c r="B188" s="10"/>
      <c r="C188" s="28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10"/>
      <c r="B189" s="10"/>
      <c r="C189" s="28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10"/>
      <c r="B190" s="10"/>
      <c r="C190" s="28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10"/>
      <c r="B191" s="10"/>
      <c r="C191" s="28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10"/>
      <c r="B192" s="10"/>
      <c r="C192" s="28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10"/>
      <c r="B193" s="10"/>
      <c r="C193" s="28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10"/>
      <c r="B194" s="10"/>
      <c r="C194" s="28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0"/>
      <c r="B195" s="10"/>
      <c r="C195" s="28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10"/>
      <c r="B196" s="10"/>
      <c r="C196" s="28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10"/>
      <c r="B197" s="10"/>
      <c r="C197" s="28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10"/>
      <c r="B198" s="10"/>
      <c r="C198" s="28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10"/>
      <c r="B199" s="10"/>
      <c r="C199" s="28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10"/>
      <c r="B200" s="10"/>
      <c r="C200" s="28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10"/>
      <c r="B201" s="10"/>
      <c r="C201" s="28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10"/>
      <c r="B202" s="10"/>
      <c r="C202" s="28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10"/>
      <c r="B203" s="10"/>
      <c r="C203" s="28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10"/>
      <c r="B204" s="10"/>
      <c r="C204" s="28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10"/>
      <c r="B205" s="10"/>
      <c r="C205" s="28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0"/>
      <c r="B206" s="10"/>
      <c r="C206" s="28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10"/>
      <c r="B207" s="10"/>
      <c r="C207" s="28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10"/>
      <c r="B208" s="10"/>
      <c r="C208" s="28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10"/>
      <c r="B209" s="10"/>
      <c r="C209" s="28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0"/>
      <c r="B210" s="10"/>
      <c r="C210" s="28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0"/>
      <c r="B211" s="10"/>
      <c r="C211" s="28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10"/>
      <c r="B212" s="10"/>
      <c r="C212" s="28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10"/>
      <c r="B213" s="10"/>
      <c r="C213" s="28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0"/>
      <c r="B214" s="10"/>
      <c r="C214" s="28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10"/>
      <c r="B215" s="10"/>
      <c r="C215" s="28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10"/>
      <c r="B216" s="10"/>
      <c r="C216" s="28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10"/>
      <c r="B217" s="10"/>
      <c r="C217" s="28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10"/>
      <c r="B218" s="10"/>
      <c r="C218" s="28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0"/>
      <c r="B219" s="10"/>
      <c r="C219" s="28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0"/>
      <c r="B220" s="10"/>
      <c r="C220" s="28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10"/>
      <c r="B221" s="10"/>
      <c r="C221" s="28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10"/>
      <c r="B222" s="10"/>
      <c r="C222" s="28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0"/>
      <c r="B223" s="10"/>
      <c r="C223" s="28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10"/>
      <c r="B224" s="10"/>
      <c r="C224" s="28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10"/>
      <c r="B225" s="10"/>
      <c r="C225" s="28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10"/>
      <c r="B226" s="10"/>
      <c r="C226" s="28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0"/>
      <c r="B227" s="10"/>
      <c r="C227" s="28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10"/>
      <c r="B228" s="10"/>
      <c r="C228" s="28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0"/>
      <c r="B229" s="10"/>
      <c r="C229" s="28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10"/>
      <c r="B230" s="10"/>
      <c r="C230" s="28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10"/>
      <c r="B231" s="10"/>
      <c r="C231" s="28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10"/>
      <c r="B232" s="10"/>
      <c r="C232" s="28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0"/>
      <c r="B233" s="10"/>
      <c r="C233" s="28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10"/>
      <c r="B234" s="10"/>
      <c r="C234" s="28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0"/>
      <c r="B235" s="10"/>
      <c r="C235" s="28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10"/>
      <c r="B236" s="10"/>
      <c r="C236" s="28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10"/>
      <c r="B237" s="10"/>
      <c r="C237" s="28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0"/>
      <c r="B238" s="10"/>
      <c r="C238" s="28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0"/>
      <c r="B239" s="10"/>
      <c r="C239" s="28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0"/>
      <c r="B240" s="10"/>
      <c r="C240" s="28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0"/>
      <c r="B241" s="10"/>
      <c r="C241" s="28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10"/>
      <c r="B242" s="10"/>
      <c r="C242" s="28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10"/>
      <c r="B243" s="10"/>
      <c r="C243" s="28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10"/>
      <c r="B244" s="10"/>
      <c r="C244" s="28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10"/>
      <c r="B245" s="10"/>
      <c r="C245" s="28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10"/>
      <c r="B246" s="10"/>
      <c r="C246" s="28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10"/>
      <c r="B247" s="10"/>
      <c r="C247" s="28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10"/>
      <c r="B248" s="10"/>
      <c r="C248" s="28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10"/>
      <c r="B249" s="10"/>
      <c r="C249" s="28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10"/>
      <c r="B250" s="10"/>
      <c r="C250" s="28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10"/>
      <c r="B251" s="10"/>
      <c r="C251" s="28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0"/>
      <c r="B252" s="10"/>
      <c r="C252" s="28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10"/>
      <c r="B253" s="10"/>
      <c r="C253" s="28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10"/>
      <c r="B254" s="10"/>
      <c r="C254" s="28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10"/>
      <c r="B255" s="10"/>
      <c r="C255" s="28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10"/>
      <c r="B256" s="10"/>
      <c r="C256" s="28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10"/>
      <c r="B257" s="10"/>
      <c r="C257" s="28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10"/>
      <c r="B258" s="10"/>
      <c r="C258" s="28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10"/>
      <c r="B259" s="10"/>
      <c r="C259" s="28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0"/>
      <c r="B260" s="10"/>
      <c r="C260" s="28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10"/>
      <c r="B261" s="10"/>
      <c r="C261" s="28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10"/>
      <c r="B262" s="10"/>
      <c r="C262" s="28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10"/>
      <c r="B263" s="10"/>
      <c r="C263" s="28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10"/>
      <c r="B264" s="10"/>
      <c r="C264" s="28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10"/>
      <c r="B265" s="10"/>
      <c r="C265" s="28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10"/>
      <c r="B266" s="10"/>
      <c r="C266" s="28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0"/>
      <c r="B267" s="10"/>
      <c r="C267" s="28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0"/>
      <c r="B268" s="10"/>
      <c r="C268" s="28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0"/>
      <c r="B269" s="10"/>
      <c r="C269" s="28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0"/>
      <c r="B270" s="10"/>
      <c r="C270" s="28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10"/>
      <c r="B271" s="10"/>
      <c r="C271" s="28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10"/>
      <c r="B272" s="10"/>
      <c r="C272" s="28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0"/>
      <c r="B273" s="10"/>
      <c r="C273" s="28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0"/>
      <c r="B274" s="10"/>
      <c r="C274" s="28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0"/>
      <c r="B275" s="10"/>
      <c r="C275" s="28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0"/>
      <c r="B276" s="10"/>
      <c r="C276" s="28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0"/>
      <c r="B277" s="10"/>
      <c r="C277" s="28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0"/>
      <c r="B278" s="10"/>
      <c r="C278" s="28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0"/>
      <c r="B279" s="10"/>
      <c r="C279" s="28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0"/>
      <c r="B280" s="10"/>
      <c r="C280" s="28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0"/>
      <c r="B281" s="10"/>
      <c r="C281" s="28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0"/>
      <c r="B282" s="10"/>
      <c r="C282" s="28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0"/>
      <c r="B283" s="10"/>
      <c r="C283" s="28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0"/>
      <c r="B284" s="10"/>
      <c r="C284" s="28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0"/>
      <c r="B285" s="10"/>
      <c r="C285" s="28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0"/>
      <c r="B286" s="10"/>
      <c r="C286" s="28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0"/>
      <c r="B287" s="10"/>
      <c r="C287" s="28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0"/>
      <c r="B288" s="10"/>
      <c r="C288" s="28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0"/>
      <c r="B289" s="10"/>
      <c r="C289" s="28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0"/>
      <c r="B290" s="10"/>
      <c r="C290" s="28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0"/>
      <c r="B291" s="10"/>
      <c r="C291" s="28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0"/>
      <c r="B292" s="10"/>
      <c r="C292" s="28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0"/>
      <c r="B293" s="10"/>
      <c r="C293" s="28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0"/>
      <c r="B294" s="10"/>
      <c r="C294" s="28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0"/>
      <c r="B295" s="10"/>
      <c r="C295" s="28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0"/>
      <c r="B296" s="10"/>
      <c r="C296" s="28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0"/>
      <c r="B297" s="10"/>
      <c r="C297" s="28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0"/>
      <c r="B298" s="10"/>
      <c r="C298" s="28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0"/>
      <c r="B299" s="10"/>
      <c r="C299" s="28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0"/>
      <c r="B300" s="10"/>
      <c r="C300" s="28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0"/>
      <c r="B301" s="10"/>
      <c r="C301" s="28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0"/>
      <c r="B302" s="10"/>
      <c r="C302" s="28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0"/>
      <c r="B303" s="10"/>
      <c r="C303" s="28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0"/>
      <c r="B304" s="10"/>
      <c r="C304" s="28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0"/>
      <c r="B305" s="10"/>
      <c r="C305" s="28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0"/>
      <c r="B306" s="10"/>
      <c r="C306" s="28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0"/>
      <c r="B307" s="10"/>
      <c r="C307" s="28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0"/>
      <c r="B308" s="10"/>
      <c r="C308" s="28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0"/>
      <c r="B309" s="10"/>
      <c r="C309" s="28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0"/>
      <c r="B310" s="10"/>
      <c r="C310" s="28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0"/>
      <c r="B311" s="10"/>
      <c r="C311" s="28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0"/>
      <c r="B312" s="10"/>
      <c r="C312" s="28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0"/>
      <c r="B313" s="10"/>
      <c r="C313" s="28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0"/>
      <c r="B314" s="10"/>
      <c r="C314" s="28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0"/>
      <c r="B315" s="10"/>
      <c r="C315" s="28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0"/>
      <c r="B316" s="10"/>
      <c r="C316" s="28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0"/>
      <c r="B317" s="10"/>
      <c r="C317" s="28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0"/>
      <c r="B318" s="10"/>
      <c r="C318" s="28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0"/>
      <c r="B319" s="10"/>
      <c r="C319" s="28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0"/>
      <c r="B320" s="10"/>
      <c r="C320" s="28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0"/>
      <c r="B321" s="10"/>
      <c r="C321" s="28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0"/>
      <c r="B322" s="10"/>
      <c r="C322" s="28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0"/>
      <c r="B323" s="10"/>
      <c r="C323" s="28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0"/>
      <c r="B324" s="10"/>
      <c r="C324" s="28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0"/>
      <c r="B325" s="10"/>
      <c r="C325" s="28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0"/>
      <c r="B326" s="10"/>
      <c r="C326" s="28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0"/>
      <c r="B327" s="10"/>
      <c r="C327" s="28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0"/>
      <c r="B328" s="10"/>
      <c r="C328" s="28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0"/>
      <c r="B329" s="10"/>
      <c r="C329" s="28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0"/>
      <c r="B330" s="10"/>
      <c r="C330" s="28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0"/>
      <c r="B331" s="10"/>
      <c r="C331" s="28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0"/>
      <c r="B332" s="10"/>
      <c r="C332" s="28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0"/>
      <c r="B333" s="10"/>
      <c r="C333" s="28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0"/>
      <c r="B334" s="10"/>
      <c r="C334" s="28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0"/>
      <c r="B335" s="10"/>
      <c r="C335" s="28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0"/>
      <c r="B336" s="10"/>
      <c r="C336" s="28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0"/>
      <c r="B337" s="10"/>
      <c r="C337" s="28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0"/>
      <c r="B338" s="10"/>
      <c r="C338" s="28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0"/>
      <c r="B339" s="10"/>
      <c r="C339" s="28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0"/>
      <c r="B340" s="10"/>
      <c r="C340" s="28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0"/>
      <c r="B341" s="10"/>
      <c r="C341" s="28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0"/>
      <c r="B342" s="10"/>
      <c r="C342" s="28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0"/>
      <c r="B343" s="10"/>
      <c r="C343" s="28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0"/>
      <c r="B344" s="10"/>
      <c r="C344" s="28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0"/>
      <c r="B345" s="10"/>
      <c r="C345" s="28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0"/>
      <c r="B346" s="10"/>
      <c r="C346" s="28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0"/>
      <c r="B347" s="10"/>
      <c r="C347" s="28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0"/>
      <c r="B348" s="10"/>
      <c r="C348" s="28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0"/>
      <c r="B349" s="10"/>
      <c r="C349" s="28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0"/>
      <c r="B350" s="10"/>
      <c r="C350" s="28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0"/>
      <c r="B351" s="10"/>
      <c r="C351" s="28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0"/>
      <c r="B352" s="10"/>
      <c r="C352" s="28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0"/>
      <c r="B353" s="10"/>
      <c r="C353" s="28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0"/>
      <c r="B354" s="10"/>
      <c r="C354" s="28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0"/>
      <c r="B355" s="10"/>
      <c r="C355" s="28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0"/>
      <c r="B356" s="10"/>
      <c r="C356" s="28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0"/>
      <c r="B357" s="10"/>
      <c r="C357" s="28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0"/>
      <c r="B358" s="10"/>
      <c r="C358" s="28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0"/>
      <c r="B359" s="10"/>
      <c r="C359" s="28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0"/>
      <c r="B360" s="10"/>
      <c r="C360" s="28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0"/>
      <c r="B361" s="10"/>
      <c r="C361" s="28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0"/>
      <c r="B362" s="10"/>
      <c r="C362" s="28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0"/>
      <c r="B363" s="10"/>
      <c r="C363" s="28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0"/>
      <c r="B364" s="10"/>
      <c r="C364" s="28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0"/>
      <c r="B365" s="10"/>
      <c r="C365" s="28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0"/>
      <c r="B366" s="10"/>
      <c r="C366" s="28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0"/>
      <c r="B367" s="10"/>
      <c r="C367" s="28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0"/>
      <c r="B368" s="10"/>
      <c r="C368" s="28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0"/>
      <c r="B369" s="10"/>
      <c r="C369" s="28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0"/>
      <c r="B370" s="10"/>
      <c r="C370" s="28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0"/>
      <c r="B371" s="10"/>
      <c r="C371" s="28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0"/>
      <c r="B372" s="10"/>
      <c r="C372" s="28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0"/>
      <c r="B373" s="10"/>
      <c r="C373" s="28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0"/>
      <c r="B374" s="10"/>
      <c r="C374" s="28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0"/>
      <c r="B375" s="10"/>
      <c r="C375" s="28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0"/>
      <c r="B376" s="10"/>
      <c r="C376" s="28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0"/>
      <c r="B377" s="10"/>
      <c r="C377" s="28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0"/>
      <c r="B378" s="10"/>
      <c r="C378" s="28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0"/>
      <c r="B379" s="10"/>
      <c r="C379" s="28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0"/>
      <c r="B380" s="10"/>
      <c r="C380" s="28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0"/>
      <c r="B381" s="10"/>
      <c r="C381" s="28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0"/>
      <c r="B382" s="10"/>
      <c r="C382" s="28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0"/>
      <c r="B383" s="10"/>
      <c r="C383" s="28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0"/>
      <c r="B384" s="10"/>
      <c r="C384" s="28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0"/>
      <c r="B385" s="10"/>
      <c r="C385" s="28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0"/>
      <c r="B386" s="10"/>
      <c r="C386" s="28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0"/>
      <c r="B387" s="10"/>
      <c r="C387" s="28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0"/>
      <c r="B388" s="10"/>
      <c r="C388" s="28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0"/>
      <c r="B389" s="10"/>
      <c r="C389" s="28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0"/>
      <c r="B390" s="10"/>
      <c r="C390" s="28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0"/>
      <c r="B391" s="10"/>
      <c r="C391" s="28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0"/>
      <c r="B392" s="10"/>
      <c r="C392" s="28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0"/>
      <c r="B393" s="10"/>
      <c r="C393" s="28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0"/>
      <c r="B394" s="10"/>
      <c r="C394" s="28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0"/>
      <c r="B395" s="10"/>
      <c r="C395" s="28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0"/>
      <c r="B396" s="10"/>
      <c r="C396" s="28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0"/>
      <c r="B397" s="10"/>
      <c r="C397" s="28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0"/>
      <c r="B398" s="10"/>
      <c r="C398" s="28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0"/>
      <c r="B399" s="10"/>
      <c r="C399" s="28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0"/>
      <c r="B400" s="10"/>
      <c r="C400" s="28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0"/>
      <c r="B401" s="10"/>
      <c r="C401" s="28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0"/>
      <c r="B402" s="10"/>
      <c r="C402" s="28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0"/>
      <c r="B403" s="10"/>
      <c r="C403" s="28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0"/>
      <c r="B404" s="10"/>
      <c r="C404" s="28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0"/>
      <c r="B405" s="10"/>
      <c r="C405" s="28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0"/>
      <c r="B406" s="10"/>
      <c r="C406" s="28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0"/>
      <c r="B407" s="10"/>
      <c r="C407" s="28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0"/>
      <c r="B408" s="10"/>
      <c r="C408" s="28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0"/>
      <c r="B409" s="10"/>
      <c r="C409" s="28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0"/>
      <c r="B410" s="10"/>
      <c r="C410" s="28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0"/>
      <c r="B411" s="10"/>
      <c r="C411" s="28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0"/>
      <c r="B412" s="10"/>
      <c r="C412" s="28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0"/>
      <c r="B413" s="10"/>
      <c r="C413" s="28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0"/>
      <c r="B414" s="10"/>
      <c r="C414" s="28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0"/>
      <c r="B415" s="10"/>
      <c r="C415" s="28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0"/>
      <c r="B416" s="10"/>
      <c r="C416" s="28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0"/>
      <c r="B417" s="10"/>
      <c r="C417" s="28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0"/>
      <c r="B418" s="10"/>
      <c r="C418" s="28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0"/>
      <c r="B419" s="10"/>
      <c r="C419" s="28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0"/>
      <c r="B420" s="10"/>
      <c r="C420" s="28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0"/>
      <c r="B421" s="10"/>
      <c r="C421" s="28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0"/>
      <c r="B422" s="10"/>
      <c r="C422" s="28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0"/>
      <c r="B423" s="10"/>
      <c r="C423" s="28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0"/>
      <c r="B424" s="10"/>
      <c r="C424" s="28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0"/>
      <c r="B425" s="10"/>
      <c r="C425" s="28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0"/>
      <c r="B426" s="10"/>
      <c r="C426" s="28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0"/>
      <c r="B427" s="10"/>
      <c r="C427" s="28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0"/>
      <c r="B428" s="10"/>
      <c r="C428" s="28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0"/>
      <c r="B429" s="10"/>
      <c r="C429" s="28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0"/>
      <c r="B430" s="10"/>
      <c r="C430" s="28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0"/>
      <c r="B431" s="10"/>
      <c r="C431" s="28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0"/>
      <c r="B432" s="10"/>
      <c r="C432" s="28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0"/>
      <c r="B433" s="10"/>
      <c r="C433" s="28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0"/>
      <c r="B434" s="10"/>
      <c r="C434" s="28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0"/>
      <c r="B435" s="10"/>
      <c r="C435" s="28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0"/>
      <c r="B436" s="10"/>
      <c r="C436" s="28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0"/>
      <c r="B437" s="10"/>
      <c r="C437" s="28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0"/>
      <c r="B438" s="10"/>
      <c r="C438" s="28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0"/>
      <c r="B439" s="10"/>
      <c r="C439" s="28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0"/>
      <c r="B440" s="10"/>
      <c r="C440" s="28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0"/>
      <c r="B441" s="10"/>
      <c r="C441" s="28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0"/>
      <c r="B442" s="10"/>
      <c r="C442" s="28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0"/>
      <c r="B443" s="10"/>
      <c r="C443" s="28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0"/>
      <c r="B444" s="10"/>
      <c r="C444" s="28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0"/>
      <c r="B445" s="10"/>
      <c r="C445" s="28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0"/>
      <c r="B446" s="10"/>
      <c r="C446" s="28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0"/>
      <c r="B447" s="10"/>
      <c r="C447" s="28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0"/>
      <c r="B448" s="10"/>
      <c r="C448" s="28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0"/>
      <c r="B449" s="10"/>
      <c r="C449" s="28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0"/>
      <c r="B450" s="10"/>
      <c r="C450" s="28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0"/>
      <c r="B451" s="10"/>
      <c r="C451" s="28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0"/>
      <c r="B452" s="10"/>
      <c r="C452" s="28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0"/>
      <c r="B453" s="10"/>
      <c r="C453" s="28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0"/>
      <c r="B454" s="10"/>
      <c r="C454" s="28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0"/>
      <c r="B455" s="10"/>
      <c r="C455" s="28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0"/>
      <c r="B456" s="10"/>
      <c r="C456" s="28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0"/>
      <c r="B457" s="10"/>
      <c r="C457" s="28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0"/>
      <c r="B458" s="10"/>
      <c r="C458" s="28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0"/>
      <c r="B459" s="10"/>
      <c r="C459" s="28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0"/>
      <c r="B460" s="10"/>
      <c r="C460" s="28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0"/>
      <c r="B461" s="10"/>
      <c r="C461" s="28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0"/>
      <c r="B462" s="10"/>
      <c r="C462" s="28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0"/>
      <c r="B463" s="10"/>
      <c r="C463" s="28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0"/>
      <c r="B464" s="10"/>
      <c r="C464" s="28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0"/>
      <c r="B465" s="10"/>
      <c r="C465" s="28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0"/>
      <c r="B466" s="10"/>
      <c r="C466" s="28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0"/>
      <c r="B467" s="10"/>
      <c r="C467" s="28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0"/>
      <c r="B468" s="10"/>
      <c r="C468" s="28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0"/>
      <c r="B469" s="10"/>
      <c r="C469" s="28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0"/>
      <c r="B470" s="10"/>
      <c r="C470" s="28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0"/>
      <c r="B471" s="10"/>
      <c r="C471" s="28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0"/>
      <c r="B472" s="10"/>
      <c r="C472" s="28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0"/>
      <c r="B473" s="10"/>
      <c r="C473" s="28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0"/>
      <c r="B474" s="10"/>
      <c r="C474" s="28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0"/>
      <c r="B475" s="10"/>
      <c r="C475" s="28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0"/>
      <c r="B476" s="10"/>
      <c r="C476" s="28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0"/>
      <c r="B477" s="10"/>
      <c r="C477" s="28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0"/>
      <c r="B478" s="10"/>
      <c r="C478" s="28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0"/>
      <c r="B479" s="10"/>
      <c r="C479" s="28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0"/>
      <c r="B480" s="10"/>
      <c r="C480" s="28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0"/>
      <c r="B481" s="10"/>
      <c r="C481" s="28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0"/>
      <c r="B482" s="10"/>
      <c r="C482" s="28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0"/>
      <c r="B483" s="10"/>
      <c r="C483" s="28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0"/>
      <c r="B484" s="10"/>
      <c r="C484" s="28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0"/>
      <c r="B485" s="10"/>
      <c r="C485" s="28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0"/>
      <c r="B486" s="10"/>
      <c r="C486" s="28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0"/>
      <c r="B487" s="10"/>
      <c r="C487" s="28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0"/>
      <c r="B488" s="10"/>
      <c r="C488" s="28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0"/>
      <c r="B489" s="10"/>
      <c r="C489" s="28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0"/>
      <c r="B490" s="10"/>
      <c r="C490" s="28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0"/>
      <c r="B491" s="10"/>
      <c r="C491" s="28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0"/>
      <c r="B492" s="10"/>
      <c r="C492" s="28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0"/>
      <c r="B493" s="10"/>
      <c r="C493" s="28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0"/>
      <c r="B494" s="10"/>
      <c r="C494" s="28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0"/>
      <c r="B495" s="10"/>
      <c r="C495" s="28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0"/>
      <c r="B496" s="10"/>
      <c r="C496" s="28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0"/>
      <c r="B497" s="10"/>
      <c r="C497" s="28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0"/>
      <c r="B498" s="10"/>
      <c r="C498" s="28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0"/>
      <c r="B499" s="10"/>
      <c r="C499" s="28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0"/>
      <c r="B500" s="10"/>
      <c r="C500" s="28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0"/>
      <c r="B501" s="10"/>
      <c r="C501" s="28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0"/>
      <c r="B502" s="10"/>
      <c r="C502" s="28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0"/>
      <c r="B503" s="10"/>
      <c r="C503" s="28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0"/>
      <c r="B504" s="10"/>
      <c r="C504" s="28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0"/>
      <c r="B505" s="10"/>
      <c r="C505" s="28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0"/>
      <c r="B506" s="10"/>
      <c r="C506" s="28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0"/>
      <c r="B507" s="10"/>
      <c r="C507" s="28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0"/>
      <c r="B508" s="10"/>
      <c r="C508" s="28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0"/>
      <c r="B509" s="10"/>
      <c r="C509" s="28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0"/>
      <c r="B510" s="10"/>
      <c r="C510" s="28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0"/>
      <c r="B511" s="10"/>
      <c r="C511" s="28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0"/>
      <c r="B512" s="10"/>
      <c r="C512" s="28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0"/>
      <c r="B513" s="10"/>
      <c r="C513" s="28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0"/>
      <c r="B514" s="10"/>
      <c r="C514" s="28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0"/>
      <c r="B515" s="10"/>
      <c r="C515" s="28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0"/>
      <c r="B516" s="10"/>
      <c r="C516" s="28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0"/>
      <c r="B517" s="10"/>
      <c r="C517" s="28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0"/>
      <c r="B518" s="10"/>
      <c r="C518" s="28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0"/>
      <c r="B519" s="10"/>
      <c r="C519" s="28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0"/>
      <c r="B520" s="10"/>
      <c r="C520" s="28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0"/>
      <c r="B521" s="10"/>
      <c r="C521" s="28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0"/>
      <c r="B522" s="10"/>
      <c r="C522" s="28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0"/>
      <c r="B523" s="10"/>
      <c r="C523" s="28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0"/>
      <c r="B524" s="10"/>
      <c r="C524" s="28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0"/>
      <c r="B525" s="10"/>
      <c r="C525" s="28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0"/>
      <c r="B526" s="10"/>
      <c r="C526" s="28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0"/>
      <c r="B527" s="10"/>
      <c r="C527" s="28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0"/>
      <c r="B528" s="10"/>
      <c r="C528" s="28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0"/>
      <c r="B529" s="10"/>
      <c r="C529" s="28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0"/>
      <c r="B530" s="10"/>
      <c r="C530" s="28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0"/>
      <c r="B531" s="10"/>
      <c r="C531" s="28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0"/>
      <c r="B532" s="10"/>
      <c r="C532" s="28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0"/>
      <c r="B533" s="10"/>
      <c r="C533" s="28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0"/>
      <c r="B534" s="10"/>
      <c r="C534" s="28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0"/>
      <c r="B535" s="10"/>
      <c r="C535" s="28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0"/>
      <c r="B536" s="10"/>
      <c r="C536" s="28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0"/>
      <c r="B537" s="10"/>
      <c r="C537" s="28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0"/>
      <c r="B538" s="10"/>
      <c r="C538" s="28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0"/>
      <c r="B539" s="10"/>
      <c r="C539" s="28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0"/>
      <c r="B540" s="10"/>
      <c r="C540" s="28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0"/>
      <c r="B541" s="10"/>
      <c r="C541" s="28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0"/>
      <c r="B542" s="10"/>
      <c r="C542" s="28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0"/>
      <c r="B543" s="10"/>
      <c r="C543" s="28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0"/>
      <c r="B544" s="10"/>
      <c r="C544" s="28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0"/>
      <c r="B545" s="10"/>
      <c r="C545" s="28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0"/>
      <c r="B546" s="10"/>
      <c r="C546" s="28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0"/>
      <c r="B547" s="10"/>
      <c r="C547" s="28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0"/>
      <c r="B548" s="10"/>
      <c r="C548" s="28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0"/>
      <c r="B549" s="10"/>
      <c r="C549" s="28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0"/>
      <c r="B550" s="10"/>
      <c r="C550" s="28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0"/>
      <c r="B551" s="10"/>
      <c r="C551" s="28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0"/>
      <c r="B552" s="10"/>
      <c r="C552" s="28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0"/>
      <c r="B553" s="10"/>
      <c r="C553" s="28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0"/>
      <c r="B554" s="10"/>
      <c r="C554" s="28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0"/>
      <c r="B555" s="10"/>
      <c r="C555" s="28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0"/>
      <c r="B556" s="10"/>
      <c r="C556" s="28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0"/>
      <c r="B557" s="10"/>
      <c r="C557" s="28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0"/>
      <c r="B558" s="10"/>
      <c r="C558" s="28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0"/>
      <c r="B559" s="10"/>
      <c r="C559" s="28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0"/>
      <c r="B560" s="10"/>
      <c r="C560" s="28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0"/>
      <c r="B561" s="10"/>
      <c r="C561" s="28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0"/>
      <c r="B562" s="10"/>
      <c r="C562" s="28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0"/>
      <c r="B563" s="10"/>
      <c r="C563" s="28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0"/>
      <c r="B564" s="10"/>
      <c r="C564" s="28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0"/>
      <c r="B565" s="10"/>
      <c r="C565" s="28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0"/>
      <c r="B566" s="10"/>
      <c r="C566" s="28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0"/>
      <c r="B567" s="10"/>
      <c r="C567" s="28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0"/>
      <c r="B568" s="10"/>
      <c r="C568" s="28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0"/>
      <c r="B569" s="10"/>
      <c r="C569" s="28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0"/>
      <c r="B570" s="10"/>
      <c r="C570" s="28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0"/>
      <c r="B571" s="10"/>
      <c r="C571" s="28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0"/>
      <c r="B572" s="10"/>
      <c r="C572" s="28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0"/>
      <c r="B573" s="10"/>
      <c r="C573" s="28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0"/>
      <c r="B574" s="10"/>
      <c r="C574" s="28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0"/>
      <c r="B575" s="10"/>
      <c r="C575" s="28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0"/>
      <c r="B576" s="10"/>
      <c r="C576" s="28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0"/>
      <c r="B577" s="10"/>
      <c r="C577" s="28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0"/>
      <c r="B578" s="10"/>
      <c r="C578" s="28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0"/>
      <c r="B579" s="10"/>
      <c r="C579" s="28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0"/>
      <c r="B580" s="10"/>
      <c r="C580" s="28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0"/>
      <c r="B581" s="10"/>
      <c r="C581" s="28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0"/>
      <c r="B582" s="10"/>
      <c r="C582" s="28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0"/>
      <c r="B583" s="10"/>
      <c r="C583" s="28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0"/>
      <c r="B584" s="10"/>
      <c r="C584" s="28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0"/>
      <c r="B585" s="10"/>
      <c r="C585" s="28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0"/>
      <c r="B586" s="10"/>
      <c r="C586" s="28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0"/>
      <c r="B587" s="10"/>
      <c r="C587" s="28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0"/>
      <c r="B588" s="10"/>
      <c r="C588" s="28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0"/>
      <c r="B589" s="10"/>
      <c r="C589" s="28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0"/>
      <c r="B590" s="10"/>
      <c r="C590" s="28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0"/>
      <c r="B591" s="10"/>
      <c r="C591" s="28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0"/>
      <c r="B592" s="10"/>
      <c r="C592" s="28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0"/>
      <c r="B593" s="10"/>
      <c r="C593" s="28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0"/>
      <c r="B594" s="10"/>
      <c r="C594" s="28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0"/>
      <c r="B595" s="10"/>
      <c r="C595" s="28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0"/>
      <c r="B596" s="10"/>
      <c r="C596" s="28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0"/>
      <c r="B597" s="10"/>
      <c r="C597" s="28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0"/>
      <c r="B598" s="10"/>
      <c r="C598" s="28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0"/>
      <c r="B599" s="10"/>
      <c r="C599" s="28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0"/>
      <c r="B600" s="10"/>
      <c r="C600" s="28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0"/>
      <c r="B601" s="10"/>
      <c r="C601" s="28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0"/>
      <c r="B602" s="10"/>
      <c r="C602" s="28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0"/>
      <c r="B603" s="10"/>
      <c r="C603" s="28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0"/>
      <c r="B604" s="10"/>
      <c r="C604" s="28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0"/>
      <c r="B605" s="10"/>
      <c r="C605" s="28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0"/>
      <c r="B606" s="10"/>
      <c r="C606" s="28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0"/>
      <c r="B607" s="10"/>
      <c r="C607" s="28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0"/>
      <c r="B608" s="10"/>
      <c r="C608" s="28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0"/>
      <c r="B609" s="10"/>
      <c r="C609" s="28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0"/>
      <c r="B610" s="10"/>
      <c r="C610" s="28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0"/>
      <c r="B611" s="10"/>
      <c r="C611" s="28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0"/>
      <c r="B612" s="10"/>
      <c r="C612" s="28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0"/>
      <c r="B613" s="10"/>
      <c r="C613" s="28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0"/>
      <c r="B614" s="10"/>
      <c r="C614" s="28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0"/>
      <c r="B615" s="10"/>
      <c r="C615" s="28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0"/>
      <c r="B616" s="10"/>
      <c r="C616" s="28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0"/>
      <c r="B617" s="10"/>
      <c r="C617" s="28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0"/>
      <c r="B618" s="10"/>
      <c r="C618" s="28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0"/>
      <c r="B619" s="10"/>
      <c r="C619" s="28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0"/>
      <c r="B620" s="10"/>
      <c r="C620" s="28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0"/>
      <c r="B621" s="10"/>
      <c r="C621" s="28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0"/>
      <c r="B622" s="10"/>
      <c r="C622" s="28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0"/>
      <c r="B623" s="10"/>
      <c r="C623" s="28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0"/>
      <c r="B624" s="10"/>
      <c r="C624" s="28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0"/>
      <c r="B625" s="10"/>
      <c r="C625" s="28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0"/>
      <c r="B626" s="10"/>
      <c r="C626" s="28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0"/>
      <c r="B627" s="10"/>
      <c r="C627" s="28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0"/>
      <c r="B628" s="10"/>
      <c r="C628" s="28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0"/>
      <c r="B629" s="10"/>
      <c r="C629" s="28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0"/>
      <c r="B630" s="10"/>
      <c r="C630" s="28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0"/>
      <c r="B631" s="10"/>
      <c r="C631" s="28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0"/>
      <c r="B632" s="10"/>
      <c r="C632" s="28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0"/>
      <c r="B633" s="10"/>
      <c r="C633" s="28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0"/>
      <c r="B634" s="10"/>
      <c r="C634" s="28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0"/>
      <c r="B635" s="10"/>
      <c r="C635" s="28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0"/>
      <c r="B636" s="10"/>
      <c r="C636" s="28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0"/>
      <c r="B637" s="10"/>
      <c r="C637" s="28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0"/>
      <c r="B638" s="10"/>
      <c r="C638" s="28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0"/>
      <c r="B639" s="10"/>
      <c r="C639" s="28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0"/>
      <c r="B640" s="10"/>
      <c r="C640" s="28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0"/>
      <c r="B641" s="10"/>
      <c r="C641" s="28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0"/>
      <c r="B642" s="10"/>
      <c r="C642" s="28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0"/>
      <c r="B643" s="10"/>
      <c r="C643" s="28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0"/>
      <c r="B644" s="10"/>
      <c r="C644" s="28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0"/>
      <c r="B645" s="10"/>
      <c r="C645" s="28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0"/>
      <c r="B646" s="10"/>
      <c r="C646" s="28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0"/>
      <c r="B647" s="10"/>
      <c r="C647" s="28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0"/>
      <c r="B648" s="10"/>
      <c r="C648" s="28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0"/>
      <c r="B649" s="10"/>
      <c r="C649" s="28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0"/>
      <c r="B650" s="10"/>
      <c r="C650" s="28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0"/>
      <c r="B651" s="10"/>
      <c r="C651" s="28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0"/>
      <c r="B652" s="10"/>
      <c r="C652" s="28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0"/>
      <c r="B653" s="10"/>
      <c r="C653" s="28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0"/>
      <c r="B654" s="10"/>
      <c r="C654" s="28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0"/>
      <c r="B655" s="10"/>
      <c r="C655" s="28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0"/>
      <c r="B656" s="10"/>
      <c r="C656" s="28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0"/>
      <c r="B657" s="10"/>
      <c r="C657" s="28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0"/>
      <c r="B658" s="10"/>
      <c r="C658" s="28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0"/>
      <c r="B659" s="10"/>
      <c r="C659" s="28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0"/>
      <c r="B660" s="10"/>
      <c r="C660" s="28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0"/>
      <c r="B661" s="10"/>
      <c r="C661" s="28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0"/>
      <c r="B662" s="10"/>
      <c r="C662" s="28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0"/>
      <c r="B663" s="10"/>
      <c r="C663" s="28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0"/>
      <c r="B664" s="10"/>
      <c r="C664" s="28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0"/>
      <c r="B665" s="10"/>
      <c r="C665" s="28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0"/>
      <c r="B666" s="10"/>
      <c r="C666" s="28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0"/>
      <c r="B667" s="10"/>
      <c r="C667" s="28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0"/>
      <c r="B668" s="10"/>
      <c r="C668" s="28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0"/>
      <c r="B669" s="10"/>
      <c r="C669" s="28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0"/>
      <c r="B670" s="10"/>
      <c r="C670" s="28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0"/>
      <c r="B671" s="10"/>
      <c r="C671" s="28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0"/>
      <c r="B672" s="10"/>
      <c r="C672" s="28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0"/>
      <c r="B673" s="10"/>
      <c r="C673" s="28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0"/>
      <c r="B674" s="10"/>
      <c r="C674" s="28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0"/>
      <c r="B675" s="10"/>
      <c r="C675" s="28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0"/>
      <c r="B676" s="10"/>
      <c r="C676" s="28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0"/>
      <c r="B677" s="10"/>
      <c r="C677" s="28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0"/>
      <c r="B678" s="10"/>
      <c r="C678" s="28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0"/>
      <c r="B679" s="10"/>
      <c r="C679" s="28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0"/>
      <c r="B680" s="10"/>
      <c r="C680" s="28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0"/>
      <c r="B681" s="10"/>
      <c r="C681" s="28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0"/>
      <c r="B682" s="10"/>
      <c r="C682" s="28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0"/>
      <c r="B683" s="10"/>
      <c r="C683" s="28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0"/>
      <c r="B684" s="10"/>
      <c r="C684" s="28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0"/>
      <c r="B685" s="10"/>
      <c r="C685" s="28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0"/>
      <c r="B686" s="10"/>
      <c r="C686" s="28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0"/>
      <c r="B687" s="10"/>
      <c r="C687" s="28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0"/>
      <c r="B688" s="10"/>
      <c r="C688" s="28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0"/>
      <c r="B689" s="10"/>
      <c r="C689" s="28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0"/>
      <c r="B690" s="10"/>
      <c r="C690" s="28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0"/>
      <c r="B691" s="10"/>
      <c r="C691" s="28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0"/>
      <c r="B692" s="10"/>
      <c r="C692" s="28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0"/>
      <c r="B693" s="10"/>
      <c r="C693" s="28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0"/>
      <c r="B694" s="10"/>
      <c r="C694" s="28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0"/>
      <c r="B695" s="10"/>
      <c r="C695" s="28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0"/>
      <c r="B696" s="10"/>
      <c r="C696" s="28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0"/>
      <c r="B697" s="10"/>
      <c r="C697" s="28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0"/>
      <c r="B698" s="10"/>
      <c r="C698" s="28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0"/>
      <c r="B699" s="10"/>
      <c r="C699" s="28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0"/>
      <c r="B700" s="10"/>
      <c r="C700" s="28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0"/>
      <c r="B701" s="10"/>
      <c r="C701" s="28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0"/>
      <c r="B702" s="10"/>
      <c r="C702" s="28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0"/>
      <c r="B703" s="10"/>
      <c r="C703" s="28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0"/>
      <c r="B704" s="10"/>
      <c r="C704" s="28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0"/>
      <c r="B705" s="10"/>
      <c r="C705" s="28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0"/>
      <c r="B706" s="10"/>
      <c r="C706" s="28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0"/>
      <c r="B707" s="10"/>
      <c r="C707" s="28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0"/>
      <c r="B708" s="10"/>
      <c r="C708" s="28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0"/>
      <c r="B709" s="10"/>
      <c r="C709" s="28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0"/>
      <c r="B710" s="10"/>
      <c r="C710" s="28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0"/>
      <c r="B711" s="10"/>
      <c r="C711" s="28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0"/>
      <c r="B712" s="10"/>
      <c r="C712" s="28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0"/>
      <c r="B713" s="10"/>
      <c r="C713" s="28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0"/>
      <c r="B714" s="10"/>
      <c r="C714" s="28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0"/>
      <c r="B715" s="10"/>
      <c r="C715" s="28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0"/>
      <c r="B716" s="10"/>
      <c r="C716" s="28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0"/>
      <c r="B717" s="10"/>
      <c r="C717" s="28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0"/>
      <c r="B718" s="10"/>
      <c r="C718" s="28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0"/>
      <c r="B719" s="10"/>
      <c r="C719" s="28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0"/>
      <c r="B720" s="10"/>
      <c r="C720" s="28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0"/>
      <c r="B721" s="10"/>
      <c r="C721" s="28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0"/>
      <c r="B722" s="10"/>
      <c r="C722" s="28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0"/>
      <c r="B723" s="10"/>
      <c r="C723" s="28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0"/>
      <c r="B724" s="10"/>
      <c r="C724" s="28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0"/>
      <c r="B725" s="10"/>
      <c r="C725" s="28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0"/>
      <c r="B726" s="10"/>
      <c r="C726" s="28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0"/>
      <c r="B727" s="10"/>
      <c r="C727" s="28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0"/>
      <c r="B728" s="10"/>
      <c r="C728" s="28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0"/>
      <c r="B729" s="10"/>
      <c r="C729" s="28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0"/>
      <c r="B730" s="10"/>
      <c r="C730" s="28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0"/>
      <c r="B731" s="10"/>
      <c r="C731" s="28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0"/>
      <c r="B732" s="10"/>
      <c r="C732" s="28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0"/>
      <c r="B733" s="10"/>
      <c r="C733" s="28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0"/>
      <c r="B734" s="10"/>
      <c r="C734" s="28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0"/>
      <c r="B735" s="10"/>
      <c r="C735" s="28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0"/>
      <c r="B736" s="10"/>
      <c r="C736" s="28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0"/>
      <c r="B737" s="10"/>
      <c r="C737" s="28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0"/>
      <c r="B738" s="10"/>
      <c r="C738" s="28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0"/>
      <c r="B739" s="10"/>
      <c r="C739" s="28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0"/>
      <c r="B740" s="10"/>
      <c r="C740" s="28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0"/>
      <c r="B741" s="10"/>
      <c r="C741" s="28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0"/>
      <c r="B742" s="10"/>
      <c r="C742" s="28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0"/>
      <c r="B743" s="10"/>
      <c r="C743" s="28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0"/>
      <c r="B744" s="10"/>
      <c r="C744" s="28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0"/>
      <c r="B745" s="10"/>
      <c r="C745" s="28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0"/>
      <c r="B746" s="10"/>
      <c r="C746" s="28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0"/>
      <c r="B747" s="10"/>
      <c r="C747" s="28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0"/>
      <c r="B748" s="10"/>
      <c r="C748" s="28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0"/>
      <c r="B749" s="10"/>
      <c r="C749" s="28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0"/>
      <c r="B750" s="10"/>
      <c r="C750" s="28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0"/>
      <c r="B751" s="10"/>
      <c r="C751" s="28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0"/>
      <c r="B752" s="10"/>
      <c r="C752" s="28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0"/>
      <c r="B753" s="10"/>
      <c r="C753" s="28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0"/>
      <c r="B754" s="10"/>
      <c r="C754" s="28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0"/>
      <c r="B755" s="10"/>
      <c r="C755" s="28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0"/>
      <c r="B756" s="10"/>
      <c r="C756" s="28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0"/>
      <c r="B757" s="10"/>
      <c r="C757" s="28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0"/>
      <c r="B758" s="10"/>
      <c r="C758" s="28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0"/>
      <c r="B759" s="10"/>
      <c r="C759" s="28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0"/>
      <c r="B760" s="10"/>
      <c r="C760" s="28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0"/>
      <c r="B761" s="10"/>
      <c r="C761" s="28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0"/>
      <c r="B762" s="10"/>
      <c r="C762" s="28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0"/>
      <c r="B763" s="10"/>
      <c r="C763" s="28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0"/>
      <c r="B764" s="10"/>
      <c r="C764" s="28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0"/>
      <c r="B765" s="10"/>
      <c r="C765" s="28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0"/>
      <c r="B766" s="10"/>
      <c r="C766" s="28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0"/>
      <c r="B767" s="10"/>
      <c r="C767" s="28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0"/>
      <c r="B768" s="10"/>
      <c r="C768" s="28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0"/>
      <c r="B769" s="10"/>
      <c r="C769" s="28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0"/>
      <c r="B770" s="10"/>
      <c r="C770" s="28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0"/>
      <c r="B771" s="10"/>
      <c r="C771" s="28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0"/>
      <c r="B772" s="10"/>
      <c r="C772" s="28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0"/>
      <c r="B773" s="10"/>
      <c r="C773" s="28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0"/>
      <c r="B774" s="10"/>
      <c r="C774" s="28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0"/>
      <c r="B775" s="10"/>
      <c r="C775" s="28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0"/>
      <c r="B776" s="10"/>
      <c r="C776" s="28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0"/>
      <c r="B777" s="10"/>
      <c r="C777" s="28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0"/>
      <c r="B778" s="10"/>
      <c r="C778" s="28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0"/>
      <c r="B779" s="10"/>
      <c r="C779" s="28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0"/>
      <c r="B780" s="10"/>
      <c r="C780" s="28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0"/>
      <c r="B781" s="10"/>
      <c r="C781" s="28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0"/>
      <c r="B782" s="10"/>
      <c r="C782" s="28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0"/>
      <c r="B783" s="10"/>
      <c r="C783" s="28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0"/>
      <c r="B784" s="10"/>
      <c r="C784" s="28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0"/>
      <c r="B785" s="10"/>
      <c r="C785" s="28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0"/>
      <c r="B786" s="10"/>
      <c r="C786" s="28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0"/>
      <c r="B787" s="10"/>
      <c r="C787" s="28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0"/>
      <c r="B788" s="10"/>
      <c r="C788" s="28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0"/>
      <c r="B789" s="10"/>
      <c r="C789" s="28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0"/>
      <c r="B790" s="10"/>
      <c r="C790" s="28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0"/>
      <c r="B791" s="10"/>
      <c r="C791" s="28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0"/>
      <c r="B792" s="10"/>
      <c r="C792" s="28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0"/>
      <c r="B793" s="10"/>
      <c r="C793" s="28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0"/>
      <c r="B794" s="10"/>
      <c r="C794" s="28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0"/>
      <c r="B795" s="10"/>
      <c r="C795" s="28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0"/>
      <c r="B796" s="10"/>
      <c r="C796" s="28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0"/>
      <c r="B797" s="10"/>
      <c r="C797" s="28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0"/>
      <c r="B798" s="10"/>
      <c r="C798" s="28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0"/>
      <c r="B799" s="10"/>
      <c r="C799" s="28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0"/>
      <c r="B800" s="10"/>
      <c r="C800" s="28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0"/>
      <c r="B801" s="10"/>
      <c r="C801" s="28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0"/>
      <c r="B802" s="10"/>
      <c r="C802" s="28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0"/>
      <c r="B803" s="10"/>
      <c r="C803" s="28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0"/>
      <c r="B804" s="10"/>
      <c r="C804" s="28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0"/>
      <c r="B805" s="10"/>
      <c r="C805" s="28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0"/>
      <c r="B806" s="10"/>
      <c r="C806" s="28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0"/>
      <c r="B807" s="10"/>
      <c r="C807" s="28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0"/>
      <c r="B808" s="10"/>
      <c r="C808" s="28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0"/>
      <c r="B809" s="10"/>
      <c r="C809" s="28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0"/>
      <c r="B810" s="10"/>
      <c r="C810" s="28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0"/>
      <c r="B811" s="10"/>
      <c r="C811" s="28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0"/>
      <c r="B812" s="10"/>
      <c r="C812" s="28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0"/>
      <c r="B813" s="10"/>
      <c r="C813" s="28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0"/>
      <c r="B814" s="10"/>
      <c r="C814" s="28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0"/>
      <c r="B815" s="10"/>
      <c r="C815" s="28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0"/>
      <c r="B816" s="10"/>
      <c r="C816" s="28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0"/>
      <c r="B817" s="10"/>
      <c r="C817" s="28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0"/>
      <c r="B818" s="10"/>
      <c r="C818" s="28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0"/>
      <c r="B819" s="10"/>
      <c r="C819" s="28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0"/>
      <c r="B820" s="10"/>
      <c r="C820" s="28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0"/>
      <c r="B821" s="10"/>
      <c r="C821" s="28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0"/>
      <c r="B822" s="10"/>
      <c r="C822" s="28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0"/>
      <c r="B823" s="10"/>
      <c r="C823" s="28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0"/>
      <c r="B824" s="10"/>
      <c r="C824" s="28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0"/>
      <c r="B825" s="10"/>
      <c r="C825" s="28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0"/>
      <c r="B826" s="10"/>
      <c r="C826" s="28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0"/>
      <c r="B827" s="10"/>
      <c r="C827" s="28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0"/>
      <c r="B828" s="10"/>
      <c r="C828" s="28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0"/>
      <c r="B829" s="10"/>
      <c r="C829" s="28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0"/>
      <c r="B830" s="10"/>
      <c r="C830" s="28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0"/>
      <c r="B831" s="10"/>
      <c r="C831" s="28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0"/>
      <c r="B832" s="10"/>
      <c r="C832" s="28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0"/>
      <c r="B833" s="10"/>
      <c r="C833" s="28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0"/>
      <c r="B834" s="10"/>
      <c r="C834" s="28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0"/>
      <c r="B835" s="10"/>
      <c r="C835" s="28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0"/>
      <c r="B836" s="10"/>
      <c r="C836" s="28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0"/>
      <c r="B837" s="10"/>
      <c r="C837" s="28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0"/>
      <c r="B838" s="10"/>
      <c r="C838" s="28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0"/>
      <c r="B839" s="10"/>
      <c r="C839" s="28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0"/>
      <c r="B840" s="10"/>
      <c r="C840" s="28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0"/>
      <c r="B841" s="10"/>
      <c r="C841" s="28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0"/>
      <c r="B842" s="10"/>
      <c r="C842" s="28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0"/>
      <c r="B843" s="10"/>
      <c r="C843" s="28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0"/>
      <c r="B844" s="10"/>
      <c r="C844" s="28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0"/>
      <c r="B845" s="10"/>
      <c r="C845" s="28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0"/>
      <c r="B846" s="10"/>
      <c r="C846" s="28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0"/>
      <c r="B847" s="10"/>
      <c r="C847" s="28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0"/>
      <c r="B848" s="10"/>
      <c r="C848" s="28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0"/>
      <c r="B849" s="10"/>
      <c r="C849" s="28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0"/>
      <c r="B850" s="10"/>
      <c r="C850" s="28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0"/>
      <c r="B851" s="10"/>
      <c r="C851" s="28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0"/>
      <c r="B852" s="10"/>
      <c r="C852" s="28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0"/>
      <c r="B853" s="10"/>
      <c r="C853" s="28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0"/>
      <c r="B854" s="10"/>
      <c r="C854" s="28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0"/>
      <c r="B855" s="10"/>
      <c r="C855" s="28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0"/>
      <c r="B856" s="10"/>
      <c r="C856" s="28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0"/>
      <c r="B857" s="10"/>
      <c r="C857" s="28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0"/>
      <c r="B858" s="10"/>
      <c r="C858" s="28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0"/>
      <c r="B859" s="10"/>
      <c r="C859" s="28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0"/>
      <c r="B860" s="10"/>
      <c r="C860" s="28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0"/>
      <c r="B861" s="10"/>
      <c r="C861" s="28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0"/>
      <c r="B862" s="10"/>
      <c r="C862" s="28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0"/>
      <c r="B863" s="10"/>
      <c r="C863" s="28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0"/>
      <c r="B864" s="10"/>
      <c r="C864" s="28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0"/>
      <c r="B865" s="10"/>
      <c r="C865" s="28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0"/>
      <c r="B866" s="10"/>
      <c r="C866" s="28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0"/>
      <c r="B867" s="10"/>
      <c r="C867" s="28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0"/>
      <c r="B868" s="10"/>
      <c r="C868" s="28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0"/>
      <c r="B869" s="10"/>
      <c r="C869" s="28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0"/>
      <c r="B870" s="10"/>
      <c r="C870" s="28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0"/>
      <c r="B871" s="10"/>
      <c r="C871" s="28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0"/>
      <c r="B872" s="10"/>
      <c r="C872" s="28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0"/>
      <c r="B873" s="10"/>
      <c r="C873" s="28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0"/>
      <c r="B874" s="10"/>
      <c r="C874" s="28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0"/>
      <c r="B875" s="10"/>
      <c r="C875" s="28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0"/>
      <c r="B876" s="10"/>
      <c r="C876" s="28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0"/>
      <c r="B877" s="10"/>
      <c r="C877" s="28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0"/>
      <c r="B878" s="10"/>
      <c r="C878" s="28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0"/>
      <c r="B879" s="10"/>
      <c r="C879" s="28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0"/>
      <c r="B880" s="10"/>
      <c r="C880" s="28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0"/>
      <c r="B881" s="10"/>
      <c r="C881" s="28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0"/>
      <c r="B882" s="10"/>
      <c r="C882" s="28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0"/>
      <c r="B883" s="10"/>
      <c r="C883" s="28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0"/>
      <c r="B884" s="10"/>
      <c r="C884" s="28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0"/>
      <c r="B885" s="10"/>
      <c r="C885" s="28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0"/>
      <c r="B886" s="10"/>
      <c r="C886" s="28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0"/>
      <c r="B887" s="10"/>
      <c r="C887" s="28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0"/>
      <c r="B888" s="10"/>
      <c r="C888" s="28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0"/>
      <c r="B889" s="10"/>
      <c r="C889" s="28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0"/>
      <c r="B890" s="10"/>
      <c r="C890" s="28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0"/>
      <c r="B891" s="10"/>
      <c r="C891" s="28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0"/>
      <c r="B892" s="10"/>
      <c r="C892" s="28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0"/>
      <c r="B893" s="10"/>
      <c r="C893" s="28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0"/>
      <c r="B894" s="10"/>
      <c r="C894" s="28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0"/>
      <c r="B895" s="10"/>
      <c r="C895" s="28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0"/>
      <c r="B896" s="10"/>
      <c r="C896" s="28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0"/>
      <c r="B897" s="10"/>
      <c r="C897" s="28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0"/>
      <c r="B898" s="10"/>
      <c r="C898" s="28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0"/>
      <c r="B899" s="10"/>
      <c r="C899" s="28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0"/>
      <c r="B900" s="10"/>
      <c r="C900" s="28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0"/>
      <c r="B901" s="10"/>
      <c r="C901" s="28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0"/>
      <c r="B902" s="10"/>
      <c r="C902" s="28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0"/>
      <c r="B903" s="10"/>
      <c r="C903" s="28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0"/>
      <c r="B904" s="10"/>
      <c r="C904" s="28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0"/>
      <c r="B905" s="10"/>
      <c r="C905" s="28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0"/>
      <c r="B906" s="10"/>
      <c r="C906" s="28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0"/>
      <c r="B907" s="10"/>
      <c r="C907" s="28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0"/>
      <c r="B908" s="10"/>
      <c r="C908" s="28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0"/>
      <c r="B909" s="10"/>
      <c r="C909" s="28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0"/>
      <c r="B910" s="10"/>
      <c r="C910" s="28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0"/>
      <c r="B911" s="10"/>
      <c r="C911" s="28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0"/>
      <c r="B912" s="10"/>
      <c r="C912" s="28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0"/>
      <c r="B913" s="10"/>
      <c r="C913" s="28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0"/>
      <c r="B914" s="10"/>
      <c r="C914" s="28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0"/>
      <c r="B915" s="10"/>
      <c r="C915" s="28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0"/>
      <c r="B916" s="10"/>
      <c r="C916" s="28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0"/>
      <c r="B917" s="10"/>
      <c r="C917" s="28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0"/>
      <c r="B918" s="10"/>
      <c r="C918" s="28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0"/>
      <c r="B919" s="10"/>
      <c r="C919" s="28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0"/>
      <c r="B920" s="10"/>
      <c r="C920" s="28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0"/>
      <c r="B921" s="10"/>
      <c r="C921" s="28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0"/>
      <c r="B922" s="10"/>
      <c r="C922" s="28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0"/>
      <c r="B923" s="10"/>
      <c r="C923" s="28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0"/>
      <c r="B924" s="10"/>
      <c r="C924" s="28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0"/>
      <c r="B925" s="10"/>
      <c r="C925" s="28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0"/>
      <c r="B926" s="10"/>
      <c r="C926" s="28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0"/>
      <c r="B927" s="10"/>
      <c r="C927" s="28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0"/>
      <c r="B928" s="10"/>
      <c r="C928" s="28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0"/>
      <c r="B929" s="10"/>
      <c r="C929" s="28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0"/>
      <c r="B930" s="10"/>
      <c r="C930" s="28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0"/>
      <c r="B931" s="10"/>
      <c r="C931" s="28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0"/>
      <c r="B932" s="10"/>
      <c r="C932" s="28"/>
      <c r="D932" s="29"/>
      <c r="E932" s="29"/>
      <c r="F932" s="29"/>
      <c r="G932" s="2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0"/>
      <c r="B933" s="10"/>
      <c r="C933" s="28"/>
      <c r="D933" s="29"/>
      <c r="E933" s="29"/>
      <c r="F933" s="29"/>
      <c r="G933" s="2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0"/>
      <c r="B934" s="10"/>
      <c r="C934" s="28"/>
      <c r="D934" s="29"/>
      <c r="E934" s="29"/>
      <c r="F934" s="29"/>
      <c r="G934" s="2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0"/>
      <c r="B935" s="10"/>
      <c r="C935" s="28"/>
      <c r="D935" s="29"/>
      <c r="E935" s="29"/>
      <c r="F935" s="29"/>
      <c r="G935" s="2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0"/>
      <c r="B936" s="10"/>
      <c r="C936" s="28"/>
      <c r="D936" s="29"/>
      <c r="E936" s="29"/>
      <c r="F936" s="29"/>
      <c r="G936" s="2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0"/>
      <c r="B937" s="10"/>
      <c r="C937" s="28"/>
      <c r="D937" s="29"/>
      <c r="E937" s="29"/>
      <c r="F937" s="29"/>
      <c r="G937" s="2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0"/>
      <c r="B938" s="10"/>
      <c r="C938" s="28"/>
      <c r="D938" s="29"/>
      <c r="E938" s="29"/>
      <c r="F938" s="29"/>
      <c r="G938" s="2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0"/>
      <c r="B939" s="10"/>
      <c r="C939" s="28"/>
      <c r="D939" s="29"/>
      <c r="E939" s="29"/>
      <c r="F939" s="29"/>
      <c r="G939" s="2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0"/>
      <c r="B940" s="10"/>
      <c r="C940" s="28"/>
      <c r="D940" s="29"/>
      <c r="E940" s="29"/>
      <c r="F940" s="29"/>
      <c r="G940" s="2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0"/>
      <c r="B941" s="10"/>
      <c r="C941" s="28"/>
      <c r="D941" s="29"/>
      <c r="E941" s="29"/>
      <c r="F941" s="29"/>
      <c r="G941" s="2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0"/>
      <c r="B942" s="10"/>
      <c r="C942" s="28"/>
      <c r="D942" s="29"/>
      <c r="E942" s="29"/>
      <c r="F942" s="29"/>
      <c r="G942" s="2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0"/>
      <c r="B943" s="10"/>
      <c r="C943" s="28"/>
      <c r="D943" s="29"/>
      <c r="E943" s="29"/>
      <c r="F943" s="29"/>
      <c r="G943" s="2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0"/>
      <c r="B944" s="10"/>
      <c r="C944" s="28"/>
      <c r="D944" s="29"/>
      <c r="E944" s="29"/>
      <c r="F944" s="29"/>
      <c r="G944" s="2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0"/>
      <c r="B945" s="10"/>
      <c r="C945" s="28"/>
      <c r="D945" s="29"/>
      <c r="E945" s="29"/>
      <c r="F945" s="29"/>
      <c r="G945" s="2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0"/>
      <c r="B946" s="10"/>
      <c r="C946" s="28"/>
      <c r="D946" s="29"/>
      <c r="E946" s="29"/>
      <c r="F946" s="29"/>
      <c r="G946" s="2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0"/>
      <c r="B947" s="10"/>
      <c r="C947" s="28"/>
      <c r="D947" s="29"/>
      <c r="E947" s="29"/>
      <c r="F947" s="29"/>
      <c r="G947" s="2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0"/>
      <c r="B948" s="10"/>
      <c r="C948" s="28"/>
      <c r="D948" s="29"/>
      <c r="E948" s="29"/>
      <c r="F948" s="29"/>
      <c r="G948" s="2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0"/>
      <c r="B949" s="10"/>
      <c r="C949" s="28"/>
      <c r="D949" s="29"/>
      <c r="E949" s="29"/>
      <c r="F949" s="29"/>
      <c r="G949" s="2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0"/>
      <c r="B950" s="10"/>
      <c r="C950" s="28"/>
      <c r="D950" s="29"/>
      <c r="E950" s="29"/>
      <c r="F950" s="29"/>
      <c r="G950" s="2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0"/>
      <c r="B951" s="10"/>
      <c r="C951" s="28"/>
      <c r="D951" s="29"/>
      <c r="E951" s="29"/>
      <c r="F951" s="29"/>
      <c r="G951" s="2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0"/>
      <c r="B952" s="10"/>
      <c r="C952" s="28"/>
      <c r="D952" s="29"/>
      <c r="E952" s="29"/>
      <c r="F952" s="29"/>
      <c r="G952" s="2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0"/>
      <c r="B953" s="10"/>
      <c r="C953" s="28"/>
      <c r="D953" s="29"/>
      <c r="E953" s="29"/>
      <c r="F953" s="29"/>
      <c r="G953" s="2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0"/>
      <c r="B954" s="10"/>
      <c r="C954" s="28"/>
      <c r="D954" s="29"/>
      <c r="E954" s="29"/>
      <c r="F954" s="29"/>
      <c r="G954" s="2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0"/>
      <c r="B955" s="10"/>
      <c r="C955" s="28"/>
      <c r="D955" s="29"/>
      <c r="E955" s="29"/>
      <c r="F955" s="29"/>
      <c r="G955" s="2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0"/>
      <c r="B956" s="10"/>
      <c r="C956" s="28"/>
      <c r="D956" s="29"/>
      <c r="E956" s="29"/>
      <c r="F956" s="29"/>
      <c r="G956" s="2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0"/>
      <c r="B957" s="10"/>
      <c r="C957" s="28"/>
      <c r="D957" s="29"/>
      <c r="E957" s="29"/>
      <c r="F957" s="29"/>
      <c r="G957" s="2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0"/>
      <c r="B958" s="10"/>
      <c r="C958" s="28"/>
      <c r="D958" s="29"/>
      <c r="E958" s="29"/>
      <c r="F958" s="29"/>
      <c r="G958" s="2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0"/>
      <c r="B959" s="10"/>
      <c r="C959" s="28"/>
      <c r="D959" s="29"/>
      <c r="E959" s="29"/>
      <c r="F959" s="29"/>
      <c r="G959" s="2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0"/>
      <c r="B960" s="10"/>
      <c r="C960" s="28"/>
      <c r="D960" s="29"/>
      <c r="E960" s="29"/>
      <c r="F960" s="29"/>
      <c r="G960" s="2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0"/>
      <c r="B961" s="10"/>
      <c r="C961" s="28"/>
      <c r="D961" s="29"/>
      <c r="E961" s="29"/>
      <c r="F961" s="29"/>
      <c r="G961" s="2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0"/>
      <c r="B962" s="10"/>
      <c r="C962" s="28"/>
      <c r="D962" s="29"/>
      <c r="E962" s="29"/>
      <c r="F962" s="29"/>
      <c r="G962" s="2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0"/>
      <c r="B963" s="10"/>
      <c r="C963" s="28"/>
      <c r="D963" s="29"/>
      <c r="E963" s="29"/>
      <c r="F963" s="29"/>
      <c r="G963" s="2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0"/>
      <c r="B964" s="10"/>
      <c r="C964" s="28"/>
      <c r="D964" s="29"/>
      <c r="E964" s="29"/>
      <c r="F964" s="29"/>
      <c r="G964" s="2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0"/>
      <c r="B965" s="10"/>
      <c r="C965" s="28"/>
      <c r="D965" s="29"/>
      <c r="E965" s="29"/>
      <c r="F965" s="29"/>
      <c r="G965" s="2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0"/>
      <c r="B966" s="10"/>
      <c r="C966" s="28"/>
      <c r="D966" s="29"/>
      <c r="E966" s="29"/>
      <c r="F966" s="29"/>
      <c r="G966" s="2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0"/>
      <c r="B967" s="10"/>
      <c r="C967" s="28"/>
      <c r="D967" s="29"/>
      <c r="E967" s="29"/>
      <c r="F967" s="29"/>
      <c r="G967" s="2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0"/>
      <c r="B968" s="10"/>
      <c r="C968" s="28"/>
      <c r="D968" s="29"/>
      <c r="E968" s="29"/>
      <c r="F968" s="29"/>
      <c r="G968" s="2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0"/>
      <c r="B969" s="10"/>
      <c r="C969" s="28"/>
      <c r="D969" s="29"/>
      <c r="E969" s="29"/>
      <c r="F969" s="29"/>
      <c r="G969" s="2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0"/>
      <c r="B970" s="10"/>
      <c r="C970" s="28"/>
      <c r="D970" s="29"/>
      <c r="E970" s="29"/>
      <c r="F970" s="29"/>
      <c r="G970" s="2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0"/>
      <c r="B971" s="10"/>
      <c r="C971" s="28"/>
      <c r="D971" s="29"/>
      <c r="E971" s="29"/>
      <c r="F971" s="29"/>
      <c r="G971" s="2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0" customHeight="1">
      <c r="A972" s="10"/>
      <c r="B972" s="10"/>
      <c r="C972" s="28"/>
      <c r="D972" s="29"/>
      <c r="E972" s="29"/>
      <c r="F972" s="29"/>
      <c r="G972" s="2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0" customHeight="1">
      <c r="A973" s="10"/>
      <c r="B973" s="10"/>
      <c r="C973" s="28"/>
      <c r="D973" s="29"/>
      <c r="E973" s="29"/>
      <c r="F973" s="29"/>
      <c r="G973" s="2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0" customHeight="1">
      <c r="A974" s="10"/>
      <c r="B974" s="10"/>
      <c r="C974" s="28"/>
      <c r="D974" s="29"/>
      <c r="E974" s="29"/>
      <c r="F974" s="29"/>
      <c r="G974" s="2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0" customHeight="1">
      <c r="A975" s="10"/>
      <c r="B975" s="10"/>
      <c r="C975" s="28"/>
      <c r="D975" s="29"/>
      <c r="E975" s="29"/>
      <c r="F975" s="29"/>
      <c r="G975" s="2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0" customHeight="1">
      <c r="A976" s="10"/>
      <c r="B976" s="10"/>
      <c r="C976" s="28"/>
      <c r="D976" s="29"/>
      <c r="E976" s="29"/>
      <c r="F976" s="29"/>
      <c r="G976" s="2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0" customHeight="1">
      <c r="A977" s="10"/>
      <c r="B977" s="10"/>
      <c r="C977" s="28"/>
      <c r="D977" s="29"/>
      <c r="E977" s="29"/>
      <c r="F977" s="29"/>
      <c r="G977" s="2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0" customHeight="1">
      <c r="A978" s="10"/>
      <c r="B978" s="10"/>
      <c r="C978" s="28"/>
      <c r="D978" s="29"/>
      <c r="E978" s="29"/>
      <c r="F978" s="29"/>
      <c r="G978" s="2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0" customHeight="1">
      <c r="A979" s="10"/>
      <c r="B979" s="10"/>
      <c r="C979" s="28"/>
      <c r="D979" s="29"/>
      <c r="E979" s="29"/>
      <c r="F979" s="29"/>
      <c r="G979" s="2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0" customHeight="1">
      <c r="A980" s="10"/>
      <c r="B980" s="10"/>
      <c r="C980" s="28"/>
      <c r="D980" s="29"/>
      <c r="E980" s="29"/>
      <c r="F980" s="29"/>
      <c r="G980" s="2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0" customHeight="1">
      <c r="A981" s="10"/>
      <c r="B981" s="10"/>
      <c r="C981" s="28"/>
      <c r="D981" s="29"/>
      <c r="E981" s="29"/>
      <c r="F981" s="29"/>
      <c r="G981" s="2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0" customHeight="1">
      <c r="A982" s="10"/>
      <c r="B982" s="10"/>
      <c r="C982" s="28"/>
      <c r="D982" s="29"/>
      <c r="E982" s="29"/>
      <c r="F982" s="29"/>
      <c r="G982" s="2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0" customHeight="1">
      <c r="A983" s="10"/>
      <c r="B983" s="10"/>
      <c r="C983" s="28"/>
      <c r="D983" s="29"/>
      <c r="E983" s="29"/>
      <c r="F983" s="29"/>
      <c r="G983" s="2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0" customHeight="1">
      <c r="A984" s="10"/>
      <c r="B984" s="10"/>
      <c r="C984" s="28"/>
      <c r="D984" s="29"/>
      <c r="E984" s="29"/>
      <c r="F984" s="29"/>
      <c r="G984" s="2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0" customHeight="1">
      <c r="A985" s="10"/>
      <c r="B985" s="10"/>
      <c r="C985" s="28"/>
      <c r="D985" s="29"/>
      <c r="E985" s="29"/>
      <c r="F985" s="29"/>
      <c r="G985" s="2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0" customHeight="1">
      <c r="A986" s="10"/>
      <c r="B986" s="10"/>
      <c r="C986" s="28"/>
      <c r="D986" s="29"/>
      <c r="E986" s="29"/>
      <c r="F986" s="29"/>
      <c r="G986" s="2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0" customHeight="1">
      <c r="A987" s="10"/>
      <c r="B987" s="10"/>
      <c r="C987" s="28"/>
      <c r="D987" s="29"/>
      <c r="E987" s="29"/>
      <c r="F987" s="29"/>
      <c r="G987" s="2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0" customHeight="1">
      <c r="A988" s="10"/>
      <c r="B988" s="10"/>
      <c r="C988" s="28"/>
      <c r="D988" s="29"/>
      <c r="E988" s="29"/>
      <c r="F988" s="29"/>
      <c r="G988" s="2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0" customHeight="1">
      <c r="A989" s="10"/>
      <c r="B989" s="10"/>
      <c r="C989" s="28"/>
      <c r="D989" s="29"/>
      <c r="E989" s="29"/>
      <c r="F989" s="29"/>
      <c r="G989" s="2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0" customHeight="1">
      <c r="A990" s="10"/>
      <c r="B990" s="10"/>
      <c r="C990" s="28"/>
      <c r="D990" s="29"/>
      <c r="E990" s="29"/>
      <c r="F990" s="29"/>
      <c r="G990" s="2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0" customHeight="1">
      <c r="A991" s="10"/>
      <c r="B991" s="10"/>
      <c r="C991" s="28"/>
      <c r="D991" s="29"/>
      <c r="E991" s="29"/>
      <c r="F991" s="29"/>
      <c r="G991" s="2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0" customHeight="1">
      <c r="A992" s="10"/>
      <c r="B992" s="10"/>
      <c r="C992" s="28"/>
      <c r="D992" s="29"/>
      <c r="E992" s="29"/>
      <c r="F992" s="29"/>
      <c r="G992" s="2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0" customHeight="1">
      <c r="A993" s="10"/>
      <c r="B993" s="10"/>
      <c r="C993" s="28"/>
      <c r="D993" s="29"/>
      <c r="E993" s="29"/>
      <c r="F993" s="29"/>
      <c r="G993" s="2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0" customHeight="1">
      <c r="A994" s="10"/>
      <c r="B994" s="10"/>
      <c r="C994" s="28"/>
      <c r="D994" s="29"/>
      <c r="E994" s="29"/>
      <c r="F994" s="29"/>
      <c r="G994" s="2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0" customHeight="1">
      <c r="A995" s="10"/>
      <c r="B995" s="10"/>
      <c r="C995" s="28"/>
      <c r="D995" s="29"/>
      <c r="E995" s="29"/>
      <c r="F995" s="29"/>
      <c r="G995" s="2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0" customHeight="1">
      <c r="A996" s="10"/>
      <c r="B996" s="10"/>
      <c r="C996" s="28"/>
      <c r="D996" s="29"/>
      <c r="E996" s="29"/>
      <c r="F996" s="29"/>
      <c r="G996" s="2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0" customHeight="1">
      <c r="A997" s="10"/>
      <c r="B997" s="10"/>
      <c r="C997" s="28"/>
      <c r="D997" s="29"/>
      <c r="E997" s="29"/>
      <c r="F997" s="29"/>
      <c r="G997" s="2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0" customHeight="1">
      <c r="A998" s="10"/>
      <c r="B998" s="10"/>
      <c r="C998" s="28"/>
      <c r="D998" s="29"/>
      <c r="E998" s="29"/>
      <c r="F998" s="29"/>
      <c r="G998" s="2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autoFilter ref="$A$1:$H$80">
    <sortState ref="A1:H80">
      <sortCondition ref="B1:B80"/>
      <sortCondition ref="A1:A80"/>
    </sortState>
  </autoFilter>
  <conditionalFormatting sqref="A2:D2 H2">
    <cfRule type="expression" dxfId="0" priority="1">
      <formula>$H2="Missing"</formula>
    </cfRule>
  </conditionalFormatting>
  <conditionalFormatting sqref="A2:D2 H2">
    <cfRule type="expression" dxfId="1" priority="2">
      <formula>$H2="Lent"</formula>
    </cfRule>
  </conditionalFormatting>
  <conditionalFormatting sqref="F2 G2:G68">
    <cfRule type="expression" dxfId="0" priority="3">
      <formula>$H2="Missing"</formula>
    </cfRule>
  </conditionalFormatting>
  <conditionalFormatting sqref="F2 G2:G68">
    <cfRule type="expression" dxfId="1" priority="4">
      <formula>$H2="Lent"</formula>
    </cfRule>
  </conditionalFormatting>
  <conditionalFormatting sqref="A3:D57 H3:H7 E4:E86 H9:H57">
    <cfRule type="expression" dxfId="0" priority="5">
      <formula>$H3="Missing"</formula>
    </cfRule>
  </conditionalFormatting>
  <conditionalFormatting sqref="A3:D57 H3:H7 E4:E86 H9:H57">
    <cfRule type="expression" dxfId="1" priority="6">
      <formula>$H3="Lent"</formula>
    </cfRule>
  </conditionalFormatting>
  <conditionalFormatting sqref="F3:G7 F9:G57">
    <cfRule type="expression" dxfId="0" priority="7">
      <formula>$H3="Missing"</formula>
    </cfRule>
  </conditionalFormatting>
  <conditionalFormatting sqref="F3:G7 F9:G57">
    <cfRule type="expression" dxfId="1" priority="8">
      <formula>$H3="Lent"</formula>
    </cfRule>
  </conditionalFormatting>
  <conditionalFormatting sqref="E2:E3">
    <cfRule type="expression" dxfId="0" priority="9">
      <formula>$H2="Missing"</formula>
    </cfRule>
  </conditionalFormatting>
  <conditionalFormatting sqref="E2:E3">
    <cfRule type="expression" dxfId="1" priority="10">
      <formula>$H2="Lent"</formula>
    </cfRule>
  </conditionalFormatting>
  <conditionalFormatting sqref="A8:E8">
    <cfRule type="expression" dxfId="0" priority="11">
      <formula>$H58="Missing"</formula>
    </cfRule>
  </conditionalFormatting>
  <conditionalFormatting sqref="A8:E8">
    <cfRule type="expression" dxfId="1" priority="12">
      <formula>$H58="Lent"</formula>
    </cfRule>
  </conditionalFormatting>
  <conditionalFormatting sqref="H8">
    <cfRule type="expression" dxfId="0" priority="13">
      <formula>$H8="Missing"</formula>
    </cfRule>
  </conditionalFormatting>
  <conditionalFormatting sqref="H8">
    <cfRule type="expression" dxfId="1" priority="14">
      <formula>$H8="Lent"</formula>
    </cfRule>
  </conditionalFormatting>
  <conditionalFormatting sqref="F8:G8">
    <cfRule type="expression" dxfId="0" priority="15">
      <formula>$H8="Missing"</formula>
    </cfRule>
  </conditionalFormatting>
  <conditionalFormatting sqref="F8:G8">
    <cfRule type="expression" dxfId="1" priority="16">
      <formula>$H8="Lent"</formula>
    </cfRule>
  </conditionalFormatting>
  <conditionalFormatting sqref="E57:E86 A58:D86 H58:H86">
    <cfRule type="expression" dxfId="0" priority="17">
      <formula>$H56="Missing"</formula>
    </cfRule>
  </conditionalFormatting>
  <conditionalFormatting sqref="E57:E86 A58:D86 H58:H86">
    <cfRule type="expression" dxfId="1" priority="18">
      <formula>$H56="Lent"</formula>
    </cfRule>
  </conditionalFormatting>
  <conditionalFormatting sqref="F58:G86">
    <cfRule type="expression" dxfId="0" priority="19">
      <formula>$H58="Missing"</formula>
    </cfRule>
  </conditionalFormatting>
  <conditionalFormatting sqref="F58:G86">
    <cfRule type="expression" dxfId="1" priority="20">
      <formula>$H58="Lent"</formula>
    </cfRule>
  </conditionalFormatting>
  <dataValidations>
    <dataValidation type="list" allowBlank="1" showErrorMessage="1" sqref="F2:G86">
      <formula1>'Sheet Dynamics'!$B$5:$C$5</formula1>
    </dataValidation>
    <dataValidation type="list" allowBlank="1" showErrorMessage="1" sqref="H2:H86">
      <formula1>'Sheet Dynamics'!$B$2:$D$2</formula1>
    </dataValidation>
    <dataValidation type="decimal" allowBlank="1" showErrorMessage="1" sqref="C2 C6 C8:C10 C12 C14:C15 C18 C20:C23 C25:C41 C44:C58 C60 C62:C65 C67 C72:C73 C75 C78:C79">
      <formula1>-6000.0</formula1>
      <formula2>YEAR(TODAY())+1</formula2>
    </dataValidation>
  </dataValidations>
  <hyperlinks>
    <hyperlink r:id="rId2" ref="E3"/>
    <hyperlink r:id="rId3" ref="E5"/>
    <hyperlink r:id="rId4" ref="E7"/>
    <hyperlink r:id="rId5" ref="E11"/>
    <hyperlink r:id="rId6" ref="E13"/>
    <hyperlink r:id="rId7" ref="E17"/>
    <hyperlink r:id="rId8" ref="E24"/>
    <hyperlink r:id="rId9" ref="E32"/>
    <hyperlink r:id="rId10" ref="E39"/>
    <hyperlink r:id="rId11" ref="E42"/>
    <hyperlink r:id="rId12" ref="E43"/>
    <hyperlink r:id="rId13" ref="E44"/>
    <hyperlink r:id="rId14" ref="E59"/>
    <hyperlink r:id="rId15" ref="E61"/>
    <hyperlink r:id="rId16" ref="E68"/>
    <hyperlink r:id="rId17" ref="E69"/>
    <hyperlink r:id="rId18" ref="E70"/>
    <hyperlink r:id="rId19" ref="E71"/>
    <hyperlink r:id="rId20" ref="E74"/>
    <hyperlink r:id="rId21" ref="E76"/>
    <hyperlink r:id="rId22" ref="E77"/>
    <hyperlink r:id="rId23" ref="E78"/>
    <hyperlink r:id="rId24" ref="E80"/>
    <hyperlink r:id="rId25" ref="E81"/>
    <hyperlink r:id="rId26" ref="E82"/>
    <hyperlink r:id="rId27" ref="E83"/>
  </hyperlinks>
  <printOptions/>
  <pageMargins bottom="0.75" footer="0.0" header="0.0" left="0.7" right="0.7" top="0.75"/>
  <pageSetup orientation="portrait"/>
  <drawing r:id="rId28"/>
  <legacy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3" width="12.71"/>
    <col customWidth="1" min="4" max="5" width="9.86"/>
    <col customWidth="1" min="6" max="6" width="28.29"/>
    <col customWidth="1" min="7" max="7" width="9.14"/>
    <col customWidth="1" min="8" max="8" width="8.43"/>
    <col customWidth="1" min="9" max="26" width="9.14"/>
  </cols>
  <sheetData>
    <row r="1" ht="12.0" customHeight="1">
      <c r="A1" s="53" t="s">
        <v>1436</v>
      </c>
      <c r="B1" s="54" t="s">
        <v>1437</v>
      </c>
      <c r="C1" s="54" t="s">
        <v>1438</v>
      </c>
      <c r="D1" s="54" t="s">
        <v>1439</v>
      </c>
      <c r="E1" s="54" t="s">
        <v>1440</v>
      </c>
      <c r="F1" s="54" t="s">
        <v>0</v>
      </c>
      <c r="G1" s="54" t="s">
        <v>1441</v>
      </c>
      <c r="H1" s="38" t="s">
        <v>13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55" t="s">
        <v>1442</v>
      </c>
      <c r="B2" s="42" t="s">
        <v>1443</v>
      </c>
      <c r="C2" s="42" t="s">
        <v>1444</v>
      </c>
      <c r="D2" s="56">
        <v>14.0</v>
      </c>
      <c r="E2" s="56">
        <v>4.0</v>
      </c>
      <c r="F2" s="42" t="s">
        <v>1445</v>
      </c>
      <c r="G2" s="57">
        <v>44652.0</v>
      </c>
      <c r="H2" s="49" t="s">
        <v>22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55" t="s">
        <v>1446</v>
      </c>
      <c r="B3" s="42" t="s">
        <v>1443</v>
      </c>
      <c r="C3" s="42" t="s">
        <v>1444</v>
      </c>
      <c r="D3" s="56">
        <v>14.0</v>
      </c>
      <c r="E3" s="56">
        <v>6.0</v>
      </c>
      <c r="F3" s="42" t="s">
        <v>1447</v>
      </c>
      <c r="G3" s="57">
        <v>44713.0</v>
      </c>
      <c r="H3" s="49" t="s">
        <v>22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55" t="s">
        <v>1448</v>
      </c>
      <c r="B4" s="42" t="s">
        <v>1443</v>
      </c>
      <c r="C4" s="42" t="s">
        <v>1444</v>
      </c>
      <c r="D4" s="56">
        <v>14.0</v>
      </c>
      <c r="E4" s="56">
        <v>7.0</v>
      </c>
      <c r="F4" s="42" t="s">
        <v>1449</v>
      </c>
      <c r="G4" s="57">
        <v>44743.0</v>
      </c>
      <c r="H4" s="49" t="s">
        <v>22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55" t="s">
        <v>1450</v>
      </c>
      <c r="B5" s="42" t="s">
        <v>1451</v>
      </c>
      <c r="C5" s="42" t="s">
        <v>1452</v>
      </c>
      <c r="D5" s="56">
        <v>26.0</v>
      </c>
      <c r="E5" s="56">
        <v>4.0</v>
      </c>
      <c r="F5" s="26"/>
      <c r="G5" s="58">
        <v>30498.0</v>
      </c>
      <c r="H5" s="49" t="s">
        <v>22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55" t="s">
        <v>1453</v>
      </c>
      <c r="B6" s="42" t="s">
        <v>1454</v>
      </c>
      <c r="C6" s="26"/>
      <c r="D6" s="56">
        <v>10.0</v>
      </c>
      <c r="E6" s="56">
        <v>4.0</v>
      </c>
      <c r="F6" s="42" t="s">
        <v>1455</v>
      </c>
      <c r="G6" s="58">
        <v>42095.0</v>
      </c>
      <c r="H6" s="49" t="s">
        <v>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55" t="s">
        <v>1456</v>
      </c>
      <c r="B7" s="42" t="s">
        <v>1454</v>
      </c>
      <c r="C7" s="26"/>
      <c r="D7" s="56">
        <v>11.0</v>
      </c>
      <c r="E7" s="56">
        <v>8.0</v>
      </c>
      <c r="F7" s="42" t="s">
        <v>1457</v>
      </c>
      <c r="G7" s="58">
        <v>42583.0</v>
      </c>
      <c r="H7" s="49" t="s">
        <v>22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55" t="s">
        <v>1458</v>
      </c>
      <c r="B8" s="42" t="s">
        <v>1454</v>
      </c>
      <c r="C8" s="26"/>
      <c r="D8" s="56">
        <v>12.0</v>
      </c>
      <c r="E8" s="56">
        <v>1.0</v>
      </c>
      <c r="F8" s="42" t="s">
        <v>1459</v>
      </c>
      <c r="G8" s="58">
        <v>42736.0</v>
      </c>
      <c r="H8" s="49" t="s">
        <v>22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55" t="s">
        <v>1460</v>
      </c>
      <c r="B9" s="59" t="s">
        <v>1461</v>
      </c>
      <c r="C9" s="59" t="s">
        <v>1462</v>
      </c>
      <c r="D9" s="60">
        <v>2024.0</v>
      </c>
      <c r="E9" s="60">
        <v>6.0</v>
      </c>
      <c r="F9" s="59" t="s">
        <v>1463</v>
      </c>
      <c r="G9" s="58">
        <v>45444.0</v>
      </c>
      <c r="H9" s="49" t="s">
        <v>22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55" t="s">
        <v>1464</v>
      </c>
      <c r="B10" s="42" t="s">
        <v>1465</v>
      </c>
      <c r="C10" s="42" t="s">
        <v>1466</v>
      </c>
      <c r="D10" s="56">
        <v>1.0</v>
      </c>
      <c r="E10" s="56">
        <v>1.0</v>
      </c>
      <c r="F10" s="42" t="s">
        <v>1467</v>
      </c>
      <c r="G10" s="58">
        <v>40299.0</v>
      </c>
      <c r="H10" s="49" t="s">
        <v>22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55" t="s">
        <v>1468</v>
      </c>
      <c r="B11" s="42" t="s">
        <v>1465</v>
      </c>
      <c r="C11" s="42" t="s">
        <v>1466</v>
      </c>
      <c r="D11" s="56">
        <v>1.0</v>
      </c>
      <c r="E11" s="56">
        <v>2.0</v>
      </c>
      <c r="F11" s="42" t="s">
        <v>1469</v>
      </c>
      <c r="G11" s="39"/>
      <c r="H11" s="49" t="s">
        <v>22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55" t="s">
        <v>1470</v>
      </c>
      <c r="B12" s="42" t="s">
        <v>1465</v>
      </c>
      <c r="C12" s="42" t="s">
        <v>1466</v>
      </c>
      <c r="D12" s="56">
        <v>1.0</v>
      </c>
      <c r="E12" s="56">
        <v>3.0</v>
      </c>
      <c r="F12" s="26"/>
      <c r="G12" s="39"/>
      <c r="H12" s="49" t="s">
        <v>22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55" t="s">
        <v>1471</v>
      </c>
      <c r="B13" s="42" t="s">
        <v>1465</v>
      </c>
      <c r="C13" s="42" t="s">
        <v>1466</v>
      </c>
      <c r="D13" s="56">
        <v>1.0</v>
      </c>
      <c r="E13" s="56">
        <v>4.0</v>
      </c>
      <c r="F13" s="26"/>
      <c r="G13" s="58">
        <v>40452.0</v>
      </c>
      <c r="H13" s="49" t="s">
        <v>22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55" t="s">
        <v>1472</v>
      </c>
      <c r="B14" s="42" t="s">
        <v>1473</v>
      </c>
      <c r="C14" s="42" t="s">
        <v>1466</v>
      </c>
      <c r="D14" s="56">
        <v>3.0</v>
      </c>
      <c r="E14" s="56">
        <v>1.0</v>
      </c>
      <c r="F14" s="42" t="s">
        <v>1474</v>
      </c>
      <c r="G14" s="39"/>
      <c r="H14" s="49" t="s">
        <v>22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55" t="s">
        <v>1475</v>
      </c>
      <c r="B15" s="42" t="s">
        <v>1476</v>
      </c>
      <c r="C15" s="42" t="s">
        <v>1477</v>
      </c>
      <c r="D15" s="56">
        <v>45.0</v>
      </c>
      <c r="E15" s="56">
        <v>823.0</v>
      </c>
      <c r="F15" s="26"/>
      <c r="G15" s="58">
        <v>45748.0</v>
      </c>
      <c r="H15" s="49" t="s">
        <v>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55" t="s">
        <v>1478</v>
      </c>
      <c r="B16" s="42" t="s">
        <v>1465</v>
      </c>
      <c r="C16" s="42" t="s">
        <v>1466</v>
      </c>
      <c r="D16" s="56">
        <v>1.0</v>
      </c>
      <c r="E16" s="56">
        <v>5.0</v>
      </c>
      <c r="F16" s="42" t="s">
        <v>1479</v>
      </c>
      <c r="G16" s="58">
        <v>40483.0</v>
      </c>
      <c r="H16" s="49" t="s">
        <v>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55" t="s">
        <v>1480</v>
      </c>
      <c r="B17" s="42" t="s">
        <v>1465</v>
      </c>
      <c r="C17" s="42" t="s">
        <v>1466</v>
      </c>
      <c r="D17" s="56">
        <v>2.0</v>
      </c>
      <c r="E17" s="56">
        <v>7.0</v>
      </c>
      <c r="F17" s="42" t="s">
        <v>1481</v>
      </c>
      <c r="G17" s="39"/>
      <c r="H17" s="49" t="s">
        <v>22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55" t="s">
        <v>1482</v>
      </c>
      <c r="B18" s="42" t="s">
        <v>1465</v>
      </c>
      <c r="C18" s="42" t="s">
        <v>1466</v>
      </c>
      <c r="D18" s="56">
        <v>2.0</v>
      </c>
      <c r="E18" s="56">
        <v>8.0</v>
      </c>
      <c r="F18" s="42" t="s">
        <v>1483</v>
      </c>
      <c r="G18" s="39"/>
      <c r="H18" s="49" t="s">
        <v>22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55" t="s">
        <v>1484</v>
      </c>
      <c r="B19" s="42" t="s">
        <v>1465</v>
      </c>
      <c r="C19" s="42" t="s">
        <v>1466</v>
      </c>
      <c r="D19" s="56">
        <v>2.0</v>
      </c>
      <c r="E19" s="56">
        <v>11.0</v>
      </c>
      <c r="F19" s="42" t="s">
        <v>1485</v>
      </c>
      <c r="G19" s="39"/>
      <c r="H19" s="49" t="s">
        <v>22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61"/>
      <c r="B20" s="26"/>
      <c r="C20" s="26"/>
      <c r="D20" s="62"/>
      <c r="E20" s="62"/>
      <c r="F20" s="26"/>
      <c r="G20" s="39"/>
      <c r="H20" s="3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61"/>
      <c r="B21" s="26"/>
      <c r="C21" s="26"/>
      <c r="D21" s="62"/>
      <c r="E21" s="62"/>
      <c r="F21" s="26"/>
      <c r="G21" s="39"/>
      <c r="H21" s="3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61"/>
      <c r="B22" s="26"/>
      <c r="C22" s="26"/>
      <c r="D22" s="62"/>
      <c r="E22" s="62"/>
      <c r="F22" s="26"/>
      <c r="G22" s="39"/>
      <c r="H22" s="3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0" customHeight="1">
      <c r="A23" s="61"/>
      <c r="B23" s="26"/>
      <c r="C23" s="26"/>
      <c r="D23" s="62"/>
      <c r="E23" s="62"/>
      <c r="F23" s="26"/>
      <c r="G23" s="39"/>
      <c r="H23" s="3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61"/>
      <c r="B24" s="26"/>
      <c r="C24" s="26"/>
      <c r="D24" s="62"/>
      <c r="E24" s="62"/>
      <c r="F24" s="26"/>
      <c r="G24" s="39"/>
      <c r="H24" s="3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61"/>
      <c r="B25" s="26"/>
      <c r="C25" s="26"/>
      <c r="D25" s="62"/>
      <c r="E25" s="62"/>
      <c r="F25" s="26"/>
      <c r="G25" s="39"/>
      <c r="H25" s="34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0" customHeight="1">
      <c r="A26" s="61"/>
      <c r="B26" s="26"/>
      <c r="C26" s="26"/>
      <c r="D26" s="62"/>
      <c r="E26" s="62"/>
      <c r="F26" s="26"/>
      <c r="G26" s="39"/>
      <c r="H26" s="34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0" customHeight="1">
      <c r="A27" s="61"/>
      <c r="B27" s="26"/>
      <c r="C27" s="26"/>
      <c r="D27" s="62"/>
      <c r="E27" s="62"/>
      <c r="F27" s="26"/>
      <c r="G27" s="39"/>
      <c r="H27" s="34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0" customHeight="1">
      <c r="A28" s="61"/>
      <c r="B28" s="26"/>
      <c r="C28" s="26"/>
      <c r="D28" s="62"/>
      <c r="E28" s="62"/>
      <c r="F28" s="26"/>
      <c r="G28" s="39"/>
      <c r="H28" s="34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0" customHeight="1">
      <c r="A29" s="61"/>
      <c r="B29" s="26"/>
      <c r="C29" s="26"/>
      <c r="D29" s="62"/>
      <c r="E29" s="62"/>
      <c r="F29" s="26"/>
      <c r="G29" s="39"/>
      <c r="H29" s="34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0" customHeight="1">
      <c r="A30" s="61"/>
      <c r="B30" s="26"/>
      <c r="C30" s="26"/>
      <c r="D30" s="62"/>
      <c r="E30" s="62"/>
      <c r="F30" s="26"/>
      <c r="G30" s="39"/>
      <c r="H30" s="34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0" customHeight="1">
      <c r="A31" s="61"/>
      <c r="B31" s="26"/>
      <c r="C31" s="26"/>
      <c r="D31" s="62"/>
      <c r="E31" s="62"/>
      <c r="F31" s="26"/>
      <c r="G31" s="39"/>
      <c r="H31" s="34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0" customHeight="1">
      <c r="A32" s="61"/>
      <c r="B32" s="26"/>
      <c r="C32" s="26"/>
      <c r="D32" s="62"/>
      <c r="E32" s="62"/>
      <c r="F32" s="26"/>
      <c r="G32" s="39"/>
      <c r="H32" s="34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61"/>
      <c r="B33" s="26"/>
      <c r="C33" s="26"/>
      <c r="D33" s="62"/>
      <c r="E33" s="62"/>
      <c r="F33" s="26"/>
      <c r="G33" s="39"/>
      <c r="H33" s="34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0" customHeight="1">
      <c r="A34" s="61"/>
      <c r="B34" s="26"/>
      <c r="C34" s="26"/>
      <c r="D34" s="62"/>
      <c r="E34" s="62"/>
      <c r="F34" s="26"/>
      <c r="G34" s="39"/>
      <c r="H34" s="34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0" customHeight="1">
      <c r="A35" s="61"/>
      <c r="B35" s="26"/>
      <c r="C35" s="26"/>
      <c r="D35" s="62"/>
      <c r="E35" s="62"/>
      <c r="F35" s="26"/>
      <c r="G35" s="39"/>
      <c r="H35" s="34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61"/>
      <c r="B36" s="26"/>
      <c r="C36" s="26"/>
      <c r="D36" s="62"/>
      <c r="E36" s="62"/>
      <c r="F36" s="26"/>
      <c r="G36" s="39"/>
      <c r="H36" s="34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61"/>
      <c r="B37" s="26"/>
      <c r="C37" s="26"/>
      <c r="D37" s="62"/>
      <c r="E37" s="62"/>
      <c r="F37" s="26"/>
      <c r="G37" s="39"/>
      <c r="H37" s="3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61"/>
      <c r="B38" s="26"/>
      <c r="C38" s="26"/>
      <c r="D38" s="62"/>
      <c r="E38" s="62"/>
      <c r="F38" s="26"/>
      <c r="G38" s="39"/>
      <c r="H38" s="3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61"/>
      <c r="B39" s="26"/>
      <c r="C39" s="26"/>
      <c r="D39" s="62"/>
      <c r="E39" s="62"/>
      <c r="F39" s="26"/>
      <c r="G39" s="39"/>
      <c r="H39" s="34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61"/>
      <c r="B40" s="26"/>
      <c r="C40" s="26"/>
      <c r="D40" s="62"/>
      <c r="E40" s="62"/>
      <c r="F40" s="26"/>
      <c r="G40" s="39"/>
      <c r="H40" s="3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61"/>
      <c r="B41" s="26"/>
      <c r="C41" s="26"/>
      <c r="D41" s="62"/>
      <c r="E41" s="62"/>
      <c r="F41" s="26"/>
      <c r="G41" s="39"/>
      <c r="H41" s="3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0" customHeight="1">
      <c r="A42" s="61"/>
      <c r="B42" s="26"/>
      <c r="C42" s="26"/>
      <c r="D42" s="62"/>
      <c r="E42" s="62"/>
      <c r="F42" s="26"/>
      <c r="G42" s="39"/>
      <c r="H42" s="3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61"/>
      <c r="B43" s="26"/>
      <c r="C43" s="26"/>
      <c r="D43" s="62"/>
      <c r="E43" s="62"/>
      <c r="F43" s="26"/>
      <c r="G43" s="39"/>
      <c r="H43" s="34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61"/>
      <c r="B44" s="26"/>
      <c r="C44" s="26"/>
      <c r="D44" s="62"/>
      <c r="E44" s="62"/>
      <c r="F44" s="26"/>
      <c r="G44" s="39"/>
      <c r="H44" s="3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0" customHeight="1">
      <c r="A45" s="61"/>
      <c r="B45" s="26"/>
      <c r="C45" s="26"/>
      <c r="D45" s="62"/>
      <c r="E45" s="62"/>
      <c r="F45" s="26"/>
      <c r="G45" s="39"/>
      <c r="H45" s="3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61"/>
      <c r="B46" s="26"/>
      <c r="C46" s="26"/>
      <c r="D46" s="62"/>
      <c r="E46" s="62"/>
      <c r="F46" s="26"/>
      <c r="G46" s="39"/>
      <c r="H46" s="3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61"/>
      <c r="B47" s="26"/>
      <c r="C47" s="26"/>
      <c r="D47" s="62"/>
      <c r="E47" s="62"/>
      <c r="F47" s="26"/>
      <c r="G47" s="39"/>
      <c r="H47" s="3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61"/>
      <c r="B48" s="26"/>
      <c r="C48" s="26"/>
      <c r="D48" s="62"/>
      <c r="E48" s="62"/>
      <c r="F48" s="26"/>
      <c r="G48" s="39"/>
      <c r="H48" s="3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61"/>
      <c r="B49" s="26"/>
      <c r="C49" s="26"/>
      <c r="D49" s="62"/>
      <c r="E49" s="62"/>
      <c r="F49" s="26"/>
      <c r="G49" s="39"/>
      <c r="H49" s="3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0" customHeight="1">
      <c r="A50" s="61"/>
      <c r="B50" s="26"/>
      <c r="C50" s="26"/>
      <c r="D50" s="62"/>
      <c r="E50" s="62"/>
      <c r="F50" s="26"/>
      <c r="G50" s="39"/>
      <c r="H50" s="3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0" customHeight="1">
      <c r="A51" s="61"/>
      <c r="B51" s="26"/>
      <c r="C51" s="26"/>
      <c r="D51" s="62"/>
      <c r="E51" s="62"/>
      <c r="F51" s="26"/>
      <c r="G51" s="39"/>
      <c r="H51" s="3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61"/>
      <c r="B52" s="26"/>
      <c r="C52" s="26"/>
      <c r="D52" s="62"/>
      <c r="E52" s="62"/>
      <c r="F52" s="26"/>
      <c r="G52" s="39"/>
      <c r="H52" s="3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0" customHeight="1">
      <c r="A53" s="61"/>
      <c r="B53" s="50"/>
      <c r="C53" s="50"/>
      <c r="D53" s="63"/>
      <c r="E53" s="63"/>
      <c r="F53" s="50"/>
      <c r="G53" s="39"/>
      <c r="H53" s="3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0" customHeight="1">
      <c r="A54" s="61"/>
      <c r="B54" s="26"/>
      <c r="C54" s="26"/>
      <c r="D54" s="62"/>
      <c r="E54" s="62"/>
      <c r="F54" s="26"/>
      <c r="G54" s="39"/>
      <c r="H54" s="3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0" customHeight="1">
      <c r="A55" s="61"/>
      <c r="B55" s="26"/>
      <c r="C55" s="26"/>
      <c r="D55" s="62"/>
      <c r="E55" s="62"/>
      <c r="F55" s="26"/>
      <c r="G55" s="39"/>
      <c r="H55" s="3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61"/>
      <c r="B56" s="26"/>
      <c r="C56" s="26"/>
      <c r="D56" s="62"/>
      <c r="E56" s="62"/>
      <c r="F56" s="26"/>
      <c r="G56" s="39"/>
      <c r="H56" s="3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61"/>
      <c r="B57" s="26"/>
      <c r="C57" s="26"/>
      <c r="D57" s="62"/>
      <c r="E57" s="62"/>
      <c r="F57" s="26"/>
      <c r="G57" s="39"/>
      <c r="H57" s="3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61"/>
      <c r="B58" s="26"/>
      <c r="C58" s="26"/>
      <c r="D58" s="62"/>
      <c r="E58" s="62"/>
      <c r="F58" s="26"/>
      <c r="G58" s="39"/>
      <c r="H58" s="3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0" customHeight="1">
      <c r="A59" s="61"/>
      <c r="B59" s="26"/>
      <c r="C59" s="26"/>
      <c r="D59" s="62"/>
      <c r="E59" s="62"/>
      <c r="F59" s="26"/>
      <c r="G59" s="39"/>
      <c r="H59" s="3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61"/>
      <c r="B60" s="26"/>
      <c r="C60" s="26"/>
      <c r="D60" s="62"/>
      <c r="E60" s="62"/>
      <c r="F60" s="26"/>
      <c r="G60" s="39"/>
      <c r="H60" s="3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61"/>
      <c r="B61" s="26"/>
      <c r="C61" s="26"/>
      <c r="D61" s="62"/>
      <c r="E61" s="62"/>
      <c r="F61" s="26"/>
      <c r="G61" s="39"/>
      <c r="H61" s="3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61"/>
      <c r="B62" s="26"/>
      <c r="C62" s="26"/>
      <c r="D62" s="62"/>
      <c r="E62" s="62"/>
      <c r="F62" s="26"/>
      <c r="G62" s="39"/>
      <c r="H62" s="3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61"/>
      <c r="B63" s="26"/>
      <c r="C63" s="26"/>
      <c r="D63" s="62"/>
      <c r="E63" s="62"/>
      <c r="F63" s="26"/>
      <c r="G63" s="39"/>
      <c r="H63" s="3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61"/>
      <c r="B64" s="42"/>
      <c r="C64" s="42"/>
      <c r="D64" s="56"/>
      <c r="E64" s="56"/>
      <c r="F64" s="42"/>
      <c r="G64" s="43"/>
      <c r="H64" s="3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0" customHeight="1">
      <c r="A65" s="61"/>
      <c r="B65" s="26"/>
      <c r="C65" s="26"/>
      <c r="D65" s="62"/>
      <c r="E65" s="62"/>
      <c r="F65" s="26"/>
      <c r="G65" s="39"/>
      <c r="H65" s="3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61"/>
      <c r="B66" s="26"/>
      <c r="C66" s="26"/>
      <c r="D66" s="62"/>
      <c r="E66" s="62"/>
      <c r="F66" s="26"/>
      <c r="G66" s="39"/>
      <c r="H66" s="3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0" customHeight="1">
      <c r="A67" s="61"/>
      <c r="B67" s="26"/>
      <c r="C67" s="26"/>
      <c r="D67" s="62"/>
      <c r="E67" s="62"/>
      <c r="F67" s="26"/>
      <c r="G67" s="39"/>
      <c r="H67" s="3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61"/>
      <c r="B68" s="26"/>
      <c r="C68" s="26"/>
      <c r="D68" s="62"/>
      <c r="E68" s="62"/>
      <c r="F68" s="26"/>
      <c r="G68" s="39"/>
      <c r="H68" s="3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61"/>
      <c r="B69" s="26"/>
      <c r="C69" s="26"/>
      <c r="D69" s="62"/>
      <c r="E69" s="62"/>
      <c r="F69" s="26"/>
      <c r="G69" s="39"/>
      <c r="H69" s="3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61"/>
      <c r="B70" s="26"/>
      <c r="C70" s="26"/>
      <c r="D70" s="62"/>
      <c r="E70" s="62"/>
      <c r="F70" s="26"/>
      <c r="G70" s="39"/>
      <c r="H70" s="3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61"/>
      <c r="B71" s="26"/>
      <c r="C71" s="26"/>
      <c r="D71" s="62"/>
      <c r="E71" s="62"/>
      <c r="F71" s="26"/>
      <c r="G71" s="39"/>
      <c r="H71" s="3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61"/>
      <c r="B72" s="26"/>
      <c r="C72" s="26"/>
      <c r="D72" s="62"/>
      <c r="E72" s="62"/>
      <c r="F72" s="26"/>
      <c r="G72" s="39"/>
      <c r="H72" s="3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61"/>
      <c r="B73" s="26"/>
      <c r="C73" s="26"/>
      <c r="D73" s="62"/>
      <c r="E73" s="62"/>
      <c r="F73" s="26"/>
      <c r="G73" s="39"/>
      <c r="H73" s="3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61"/>
      <c r="B74" s="26"/>
      <c r="C74" s="26"/>
      <c r="D74" s="62"/>
      <c r="E74" s="62"/>
      <c r="F74" s="26"/>
      <c r="G74" s="39"/>
      <c r="H74" s="3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10"/>
      <c r="B75" s="10"/>
      <c r="C75" s="10"/>
      <c r="D75" s="64"/>
      <c r="E75" s="64"/>
      <c r="F75" s="10"/>
      <c r="G75" s="2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10"/>
      <c r="B76" s="10"/>
      <c r="C76" s="10"/>
      <c r="D76" s="64"/>
      <c r="E76" s="64"/>
      <c r="F76" s="10"/>
      <c r="G76" s="2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10"/>
      <c r="B77" s="10"/>
      <c r="C77" s="10"/>
      <c r="D77" s="64"/>
      <c r="E77" s="64"/>
      <c r="F77" s="10"/>
      <c r="G77" s="2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10"/>
      <c r="B78" s="10"/>
      <c r="C78" s="10"/>
      <c r="D78" s="64"/>
      <c r="E78" s="64"/>
      <c r="F78" s="10"/>
      <c r="G78" s="2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10"/>
      <c r="B79" s="10"/>
      <c r="C79" s="10"/>
      <c r="D79" s="64"/>
      <c r="E79" s="64"/>
      <c r="F79" s="10"/>
      <c r="G79" s="2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10"/>
      <c r="B80" s="10"/>
      <c r="C80" s="10"/>
      <c r="D80" s="64"/>
      <c r="E80" s="64"/>
      <c r="F80" s="10"/>
      <c r="G80" s="2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10"/>
      <c r="B81" s="10"/>
      <c r="C81" s="10"/>
      <c r="D81" s="64"/>
      <c r="E81" s="64"/>
      <c r="F81" s="10"/>
      <c r="G81" s="2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10"/>
      <c r="B82" s="10"/>
      <c r="C82" s="10"/>
      <c r="D82" s="64"/>
      <c r="E82" s="64"/>
      <c r="F82" s="10"/>
      <c r="G82" s="2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10"/>
      <c r="B83" s="10"/>
      <c r="C83" s="10"/>
      <c r="D83" s="64"/>
      <c r="E83" s="64"/>
      <c r="F83" s="10"/>
      <c r="G83" s="2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10"/>
      <c r="B84" s="10"/>
      <c r="C84" s="10"/>
      <c r="D84" s="64"/>
      <c r="E84" s="64"/>
      <c r="F84" s="10"/>
      <c r="G84" s="2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10"/>
      <c r="B85" s="10"/>
      <c r="C85" s="10"/>
      <c r="D85" s="64"/>
      <c r="E85" s="64"/>
      <c r="F85" s="10"/>
      <c r="G85" s="2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10"/>
      <c r="B86" s="10"/>
      <c r="C86" s="10"/>
      <c r="D86" s="64"/>
      <c r="E86" s="64"/>
      <c r="F86" s="10"/>
      <c r="G86" s="2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0"/>
      <c r="B87" s="10"/>
      <c r="C87" s="10"/>
      <c r="D87" s="64"/>
      <c r="E87" s="64"/>
      <c r="F87" s="10"/>
      <c r="G87" s="2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0"/>
      <c r="B88" s="10"/>
      <c r="C88" s="10"/>
      <c r="D88" s="64"/>
      <c r="E88" s="64"/>
      <c r="F88" s="10"/>
      <c r="G88" s="2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10"/>
      <c r="B89" s="10"/>
      <c r="C89" s="10"/>
      <c r="D89" s="64"/>
      <c r="E89" s="64"/>
      <c r="F89" s="10"/>
      <c r="G89" s="2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10"/>
      <c r="B90" s="10"/>
      <c r="C90" s="10"/>
      <c r="D90" s="64"/>
      <c r="E90" s="64"/>
      <c r="F90" s="10"/>
      <c r="G90" s="2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10"/>
      <c r="B91" s="10"/>
      <c r="C91" s="10"/>
      <c r="D91" s="64"/>
      <c r="E91" s="64"/>
      <c r="F91" s="10"/>
      <c r="G91" s="2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0"/>
      <c r="B92" s="10"/>
      <c r="C92" s="10"/>
      <c r="D92" s="64"/>
      <c r="E92" s="64"/>
      <c r="F92" s="10"/>
      <c r="G92" s="2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10"/>
      <c r="B93" s="10"/>
      <c r="C93" s="10"/>
      <c r="D93" s="64"/>
      <c r="E93" s="64"/>
      <c r="F93" s="10"/>
      <c r="G93" s="2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10"/>
      <c r="B94" s="10"/>
      <c r="C94" s="10"/>
      <c r="D94" s="64"/>
      <c r="E94" s="64"/>
      <c r="F94" s="10"/>
      <c r="G94" s="2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10"/>
      <c r="B95" s="10"/>
      <c r="C95" s="10"/>
      <c r="D95" s="64"/>
      <c r="E95" s="64"/>
      <c r="F95" s="10"/>
      <c r="G95" s="2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0"/>
      <c r="B96" s="10"/>
      <c r="C96" s="10"/>
      <c r="D96" s="64"/>
      <c r="E96" s="64"/>
      <c r="F96" s="10"/>
      <c r="G96" s="2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0"/>
      <c r="B97" s="10"/>
      <c r="C97" s="10"/>
      <c r="D97" s="64"/>
      <c r="E97" s="64"/>
      <c r="F97" s="10"/>
      <c r="G97" s="2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10"/>
      <c r="B98" s="10"/>
      <c r="C98" s="10"/>
      <c r="D98" s="64"/>
      <c r="E98" s="64"/>
      <c r="F98" s="10"/>
      <c r="G98" s="2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10"/>
      <c r="B99" s="10"/>
      <c r="C99" s="10"/>
      <c r="D99" s="64"/>
      <c r="E99" s="64"/>
      <c r="F99" s="10"/>
      <c r="G99" s="2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10"/>
      <c r="B100" s="10"/>
      <c r="C100" s="10"/>
      <c r="D100" s="64"/>
      <c r="E100" s="64"/>
      <c r="F100" s="10"/>
      <c r="G100" s="2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10"/>
      <c r="B101" s="10"/>
      <c r="C101" s="10"/>
      <c r="D101" s="64"/>
      <c r="E101" s="64"/>
      <c r="F101" s="10"/>
      <c r="G101" s="28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10"/>
      <c r="B102" s="10"/>
      <c r="C102" s="10"/>
      <c r="D102" s="64"/>
      <c r="E102" s="64"/>
      <c r="F102" s="10"/>
      <c r="G102" s="2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10"/>
      <c r="B103" s="10"/>
      <c r="C103" s="10"/>
      <c r="D103" s="64"/>
      <c r="E103" s="64"/>
      <c r="F103" s="10"/>
      <c r="G103" s="2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10"/>
      <c r="B104" s="10"/>
      <c r="C104" s="10"/>
      <c r="D104" s="64"/>
      <c r="E104" s="64"/>
      <c r="F104" s="10"/>
      <c r="G104" s="2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0"/>
      <c r="B105" s="10"/>
      <c r="C105" s="10"/>
      <c r="D105" s="64"/>
      <c r="E105" s="64"/>
      <c r="F105" s="10"/>
      <c r="G105" s="2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10"/>
      <c r="B106" s="10"/>
      <c r="C106" s="10"/>
      <c r="D106" s="64"/>
      <c r="E106" s="64"/>
      <c r="F106" s="10"/>
      <c r="G106" s="2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10"/>
      <c r="B107" s="10"/>
      <c r="C107" s="10"/>
      <c r="D107" s="64"/>
      <c r="E107" s="64"/>
      <c r="F107" s="10"/>
      <c r="G107" s="2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0"/>
      <c r="B108" s="10"/>
      <c r="C108" s="10"/>
      <c r="D108" s="64"/>
      <c r="E108" s="64"/>
      <c r="F108" s="10"/>
      <c r="G108" s="2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10"/>
      <c r="B109" s="10"/>
      <c r="C109" s="10"/>
      <c r="D109" s="64"/>
      <c r="E109" s="64"/>
      <c r="F109" s="10"/>
      <c r="G109" s="2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10"/>
      <c r="B110" s="10"/>
      <c r="C110" s="10"/>
      <c r="D110" s="64"/>
      <c r="E110" s="64"/>
      <c r="F110" s="10"/>
      <c r="G110" s="2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10"/>
      <c r="B111" s="10"/>
      <c r="C111" s="10"/>
      <c r="D111" s="64"/>
      <c r="E111" s="64"/>
      <c r="F111" s="10"/>
      <c r="G111" s="2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10"/>
      <c r="B112" s="10"/>
      <c r="C112" s="10"/>
      <c r="D112" s="64"/>
      <c r="E112" s="64"/>
      <c r="F112" s="10"/>
      <c r="G112" s="2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10"/>
      <c r="B113" s="10"/>
      <c r="C113" s="10"/>
      <c r="D113" s="64"/>
      <c r="E113" s="64"/>
      <c r="F113" s="10"/>
      <c r="G113" s="2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10"/>
      <c r="B114" s="10"/>
      <c r="C114" s="10"/>
      <c r="D114" s="64"/>
      <c r="E114" s="64"/>
      <c r="F114" s="10"/>
      <c r="G114" s="2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10"/>
      <c r="B115" s="10"/>
      <c r="C115" s="10"/>
      <c r="D115" s="64"/>
      <c r="E115" s="64"/>
      <c r="F115" s="10"/>
      <c r="G115" s="2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10"/>
      <c r="B116" s="10"/>
      <c r="C116" s="10"/>
      <c r="D116" s="64"/>
      <c r="E116" s="64"/>
      <c r="F116" s="10"/>
      <c r="G116" s="2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10"/>
      <c r="B117" s="10"/>
      <c r="C117" s="10"/>
      <c r="D117" s="64"/>
      <c r="E117" s="64"/>
      <c r="F117" s="10"/>
      <c r="G117" s="2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10"/>
      <c r="B118" s="10"/>
      <c r="C118" s="10"/>
      <c r="D118" s="64"/>
      <c r="E118" s="64"/>
      <c r="F118" s="10"/>
      <c r="G118" s="2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0"/>
      <c r="B119" s="10"/>
      <c r="C119" s="10"/>
      <c r="D119" s="64"/>
      <c r="E119" s="64"/>
      <c r="F119" s="10"/>
      <c r="G119" s="2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0"/>
      <c r="B120" s="10"/>
      <c r="C120" s="10"/>
      <c r="D120" s="64"/>
      <c r="E120" s="64"/>
      <c r="F120" s="10"/>
      <c r="G120" s="2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10"/>
      <c r="B121" s="10"/>
      <c r="C121" s="10"/>
      <c r="D121" s="64"/>
      <c r="E121" s="64"/>
      <c r="F121" s="10"/>
      <c r="G121" s="2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10"/>
      <c r="B122" s="10"/>
      <c r="C122" s="10"/>
      <c r="D122" s="64"/>
      <c r="E122" s="64"/>
      <c r="F122" s="10"/>
      <c r="G122" s="2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10"/>
      <c r="B123" s="10"/>
      <c r="C123" s="10"/>
      <c r="D123" s="64"/>
      <c r="E123" s="64"/>
      <c r="F123" s="10"/>
      <c r="G123" s="2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10"/>
      <c r="B124" s="10"/>
      <c r="C124" s="10"/>
      <c r="D124" s="64"/>
      <c r="E124" s="64"/>
      <c r="F124" s="10"/>
      <c r="G124" s="2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10"/>
      <c r="B125" s="10"/>
      <c r="C125" s="10"/>
      <c r="D125" s="64"/>
      <c r="E125" s="64"/>
      <c r="F125" s="10"/>
      <c r="G125" s="2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10"/>
      <c r="B126" s="10"/>
      <c r="C126" s="10"/>
      <c r="D126" s="64"/>
      <c r="E126" s="64"/>
      <c r="F126" s="10"/>
      <c r="G126" s="2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10"/>
      <c r="B127" s="10"/>
      <c r="C127" s="10"/>
      <c r="D127" s="64"/>
      <c r="E127" s="64"/>
      <c r="F127" s="10"/>
      <c r="G127" s="2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10"/>
      <c r="B128" s="10"/>
      <c r="C128" s="10"/>
      <c r="D128" s="64"/>
      <c r="E128" s="64"/>
      <c r="F128" s="10"/>
      <c r="G128" s="2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10"/>
      <c r="B129" s="10"/>
      <c r="C129" s="10"/>
      <c r="D129" s="64"/>
      <c r="E129" s="64"/>
      <c r="F129" s="10"/>
      <c r="G129" s="2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10"/>
      <c r="B130" s="10"/>
      <c r="C130" s="10"/>
      <c r="D130" s="64"/>
      <c r="E130" s="64"/>
      <c r="F130" s="10"/>
      <c r="G130" s="2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10"/>
      <c r="B131" s="10"/>
      <c r="C131" s="10"/>
      <c r="D131" s="64"/>
      <c r="E131" s="64"/>
      <c r="F131" s="10"/>
      <c r="G131" s="2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10"/>
      <c r="B132" s="10"/>
      <c r="C132" s="10"/>
      <c r="D132" s="64"/>
      <c r="E132" s="64"/>
      <c r="F132" s="10"/>
      <c r="G132" s="2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10"/>
      <c r="B133" s="10"/>
      <c r="C133" s="10"/>
      <c r="D133" s="64"/>
      <c r="E133" s="64"/>
      <c r="F133" s="10"/>
      <c r="G133" s="2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10"/>
      <c r="B134" s="10"/>
      <c r="C134" s="10"/>
      <c r="D134" s="64"/>
      <c r="E134" s="64"/>
      <c r="F134" s="10"/>
      <c r="G134" s="2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10"/>
      <c r="B135" s="10"/>
      <c r="C135" s="10"/>
      <c r="D135" s="64"/>
      <c r="E135" s="64"/>
      <c r="F135" s="10"/>
      <c r="G135" s="2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10"/>
      <c r="B136" s="10"/>
      <c r="C136" s="10"/>
      <c r="D136" s="64"/>
      <c r="E136" s="64"/>
      <c r="F136" s="10"/>
      <c r="G136" s="2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10"/>
      <c r="B137" s="10"/>
      <c r="C137" s="10"/>
      <c r="D137" s="64"/>
      <c r="E137" s="64"/>
      <c r="F137" s="10"/>
      <c r="G137" s="2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10"/>
      <c r="B138" s="10"/>
      <c r="C138" s="10"/>
      <c r="D138" s="64"/>
      <c r="E138" s="64"/>
      <c r="F138" s="10"/>
      <c r="G138" s="2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10"/>
      <c r="B139" s="10"/>
      <c r="C139" s="10"/>
      <c r="D139" s="64"/>
      <c r="E139" s="64"/>
      <c r="F139" s="10"/>
      <c r="G139" s="2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10"/>
      <c r="B140" s="10"/>
      <c r="C140" s="10"/>
      <c r="D140" s="64"/>
      <c r="E140" s="64"/>
      <c r="F140" s="10"/>
      <c r="G140" s="2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10"/>
      <c r="B141" s="10"/>
      <c r="C141" s="10"/>
      <c r="D141" s="64"/>
      <c r="E141" s="64"/>
      <c r="F141" s="10"/>
      <c r="G141" s="2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10"/>
      <c r="B142" s="10"/>
      <c r="C142" s="10"/>
      <c r="D142" s="64"/>
      <c r="E142" s="64"/>
      <c r="F142" s="10"/>
      <c r="G142" s="2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10"/>
      <c r="B143" s="10"/>
      <c r="C143" s="10"/>
      <c r="D143" s="64"/>
      <c r="E143" s="64"/>
      <c r="F143" s="10"/>
      <c r="G143" s="2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0"/>
      <c r="B144" s="10"/>
      <c r="C144" s="10"/>
      <c r="D144" s="64"/>
      <c r="E144" s="64"/>
      <c r="F144" s="10"/>
      <c r="G144" s="2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10"/>
      <c r="B145" s="10"/>
      <c r="C145" s="10"/>
      <c r="D145" s="64"/>
      <c r="E145" s="64"/>
      <c r="F145" s="10"/>
      <c r="G145" s="2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10"/>
      <c r="B146" s="10"/>
      <c r="C146" s="10"/>
      <c r="D146" s="64"/>
      <c r="E146" s="64"/>
      <c r="F146" s="10"/>
      <c r="G146" s="2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10"/>
      <c r="B147" s="10"/>
      <c r="C147" s="10"/>
      <c r="D147" s="64"/>
      <c r="E147" s="64"/>
      <c r="F147" s="10"/>
      <c r="G147" s="2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10"/>
      <c r="B148" s="10"/>
      <c r="C148" s="10"/>
      <c r="D148" s="64"/>
      <c r="E148" s="64"/>
      <c r="F148" s="10"/>
      <c r="G148" s="2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10"/>
      <c r="B149" s="10"/>
      <c r="C149" s="10"/>
      <c r="D149" s="64"/>
      <c r="E149" s="64"/>
      <c r="F149" s="10"/>
      <c r="G149" s="2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10"/>
      <c r="B150" s="10"/>
      <c r="C150" s="10"/>
      <c r="D150" s="64"/>
      <c r="E150" s="64"/>
      <c r="F150" s="10"/>
      <c r="G150" s="2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10"/>
      <c r="B151" s="10"/>
      <c r="C151" s="10"/>
      <c r="D151" s="64"/>
      <c r="E151" s="64"/>
      <c r="F151" s="10"/>
      <c r="G151" s="2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10"/>
      <c r="B152" s="10"/>
      <c r="C152" s="10"/>
      <c r="D152" s="64"/>
      <c r="E152" s="64"/>
      <c r="F152" s="10"/>
      <c r="G152" s="2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10"/>
      <c r="B153" s="10"/>
      <c r="C153" s="10"/>
      <c r="D153" s="64"/>
      <c r="E153" s="64"/>
      <c r="F153" s="10"/>
      <c r="G153" s="2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10"/>
      <c r="B154" s="10"/>
      <c r="C154" s="10"/>
      <c r="D154" s="64"/>
      <c r="E154" s="64"/>
      <c r="F154" s="10"/>
      <c r="G154" s="2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0"/>
      <c r="B155" s="10"/>
      <c r="C155" s="10"/>
      <c r="D155" s="64"/>
      <c r="E155" s="64"/>
      <c r="F155" s="10"/>
      <c r="G155" s="2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0"/>
      <c r="B156" s="10"/>
      <c r="C156" s="10"/>
      <c r="D156" s="64"/>
      <c r="E156" s="64"/>
      <c r="F156" s="10"/>
      <c r="G156" s="2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10"/>
      <c r="B157" s="10"/>
      <c r="C157" s="10"/>
      <c r="D157" s="64"/>
      <c r="E157" s="64"/>
      <c r="F157" s="10"/>
      <c r="G157" s="2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10"/>
      <c r="B158" s="10"/>
      <c r="C158" s="10"/>
      <c r="D158" s="64"/>
      <c r="E158" s="64"/>
      <c r="F158" s="10"/>
      <c r="G158" s="2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10"/>
      <c r="B159" s="10"/>
      <c r="C159" s="10"/>
      <c r="D159" s="64"/>
      <c r="E159" s="64"/>
      <c r="F159" s="10"/>
      <c r="G159" s="2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10"/>
      <c r="B160" s="10"/>
      <c r="C160" s="10"/>
      <c r="D160" s="64"/>
      <c r="E160" s="64"/>
      <c r="F160" s="10"/>
      <c r="G160" s="2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10"/>
      <c r="B161" s="10"/>
      <c r="C161" s="10"/>
      <c r="D161" s="64"/>
      <c r="E161" s="64"/>
      <c r="F161" s="10"/>
      <c r="G161" s="2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10"/>
      <c r="B162" s="10"/>
      <c r="C162" s="10"/>
      <c r="D162" s="64"/>
      <c r="E162" s="64"/>
      <c r="F162" s="10"/>
      <c r="G162" s="2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10"/>
      <c r="B163" s="10"/>
      <c r="C163" s="10"/>
      <c r="D163" s="64"/>
      <c r="E163" s="64"/>
      <c r="F163" s="10"/>
      <c r="G163" s="2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10"/>
      <c r="B164" s="10"/>
      <c r="C164" s="10"/>
      <c r="D164" s="64"/>
      <c r="E164" s="64"/>
      <c r="F164" s="10"/>
      <c r="G164" s="2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10"/>
      <c r="B165" s="10"/>
      <c r="C165" s="10"/>
      <c r="D165" s="64"/>
      <c r="E165" s="64"/>
      <c r="F165" s="10"/>
      <c r="G165" s="2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10"/>
      <c r="B166" s="10"/>
      <c r="C166" s="10"/>
      <c r="D166" s="64"/>
      <c r="E166" s="64"/>
      <c r="F166" s="10"/>
      <c r="G166" s="2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10"/>
      <c r="B167" s="10"/>
      <c r="C167" s="10"/>
      <c r="D167" s="64"/>
      <c r="E167" s="64"/>
      <c r="F167" s="10"/>
      <c r="G167" s="2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10"/>
      <c r="B168" s="10"/>
      <c r="C168" s="10"/>
      <c r="D168" s="64"/>
      <c r="E168" s="64"/>
      <c r="F168" s="10"/>
      <c r="G168" s="2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10"/>
      <c r="B169" s="10"/>
      <c r="C169" s="10"/>
      <c r="D169" s="64"/>
      <c r="E169" s="64"/>
      <c r="F169" s="10"/>
      <c r="G169" s="2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10"/>
      <c r="B170" s="10"/>
      <c r="C170" s="10"/>
      <c r="D170" s="64"/>
      <c r="E170" s="64"/>
      <c r="F170" s="10"/>
      <c r="G170" s="2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0"/>
      <c r="B171" s="10"/>
      <c r="C171" s="10"/>
      <c r="D171" s="64"/>
      <c r="E171" s="64"/>
      <c r="F171" s="10"/>
      <c r="G171" s="2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0"/>
      <c r="B172" s="10"/>
      <c r="C172" s="10"/>
      <c r="D172" s="64"/>
      <c r="E172" s="64"/>
      <c r="F172" s="10"/>
      <c r="G172" s="2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0"/>
      <c r="B173" s="10"/>
      <c r="C173" s="10"/>
      <c r="D173" s="64"/>
      <c r="E173" s="64"/>
      <c r="F173" s="10"/>
      <c r="G173" s="2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0"/>
      <c r="B174" s="10"/>
      <c r="C174" s="10"/>
      <c r="D174" s="64"/>
      <c r="E174" s="64"/>
      <c r="F174" s="10"/>
      <c r="G174" s="2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0"/>
      <c r="B175" s="10"/>
      <c r="C175" s="10"/>
      <c r="D175" s="64"/>
      <c r="E175" s="64"/>
      <c r="F175" s="10"/>
      <c r="G175" s="2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10"/>
      <c r="B176" s="10"/>
      <c r="C176" s="10"/>
      <c r="D176" s="64"/>
      <c r="E176" s="64"/>
      <c r="F176" s="10"/>
      <c r="G176" s="2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10"/>
      <c r="B177" s="10"/>
      <c r="C177" s="10"/>
      <c r="D177" s="64"/>
      <c r="E177" s="64"/>
      <c r="F177" s="10"/>
      <c r="G177" s="28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0"/>
      <c r="B178" s="10"/>
      <c r="C178" s="10"/>
      <c r="D178" s="64"/>
      <c r="E178" s="64"/>
      <c r="F178" s="10"/>
      <c r="G178" s="28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0"/>
      <c r="B179" s="10"/>
      <c r="C179" s="10"/>
      <c r="D179" s="64"/>
      <c r="E179" s="64"/>
      <c r="F179" s="10"/>
      <c r="G179" s="2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10"/>
      <c r="B180" s="10"/>
      <c r="C180" s="10"/>
      <c r="D180" s="64"/>
      <c r="E180" s="64"/>
      <c r="F180" s="10"/>
      <c r="G180" s="2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10"/>
      <c r="B181" s="10"/>
      <c r="C181" s="10"/>
      <c r="D181" s="64"/>
      <c r="E181" s="64"/>
      <c r="F181" s="10"/>
      <c r="G181" s="2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10"/>
      <c r="B182" s="10"/>
      <c r="C182" s="10"/>
      <c r="D182" s="64"/>
      <c r="E182" s="64"/>
      <c r="F182" s="10"/>
      <c r="G182" s="2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10"/>
      <c r="B183" s="10"/>
      <c r="C183" s="10"/>
      <c r="D183" s="64"/>
      <c r="E183" s="64"/>
      <c r="F183" s="10"/>
      <c r="G183" s="2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10"/>
      <c r="B184" s="10"/>
      <c r="C184" s="10"/>
      <c r="D184" s="64"/>
      <c r="E184" s="64"/>
      <c r="F184" s="10"/>
      <c r="G184" s="2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10"/>
      <c r="B185" s="10"/>
      <c r="C185" s="10"/>
      <c r="D185" s="64"/>
      <c r="E185" s="64"/>
      <c r="F185" s="10"/>
      <c r="G185" s="2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10"/>
      <c r="B186" s="10"/>
      <c r="C186" s="10"/>
      <c r="D186" s="64"/>
      <c r="E186" s="64"/>
      <c r="F186" s="10"/>
      <c r="G186" s="2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10"/>
      <c r="B187" s="10"/>
      <c r="C187" s="10"/>
      <c r="D187" s="64"/>
      <c r="E187" s="64"/>
      <c r="F187" s="10"/>
      <c r="G187" s="2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10"/>
      <c r="B188" s="10"/>
      <c r="C188" s="10"/>
      <c r="D188" s="64"/>
      <c r="E188" s="64"/>
      <c r="F188" s="10"/>
      <c r="G188" s="2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10"/>
      <c r="B189" s="10"/>
      <c r="C189" s="10"/>
      <c r="D189" s="64"/>
      <c r="E189" s="64"/>
      <c r="F189" s="10"/>
      <c r="G189" s="2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10"/>
      <c r="B190" s="10"/>
      <c r="C190" s="10"/>
      <c r="D190" s="64"/>
      <c r="E190" s="64"/>
      <c r="F190" s="10"/>
      <c r="G190" s="2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10"/>
      <c r="B191" s="10"/>
      <c r="C191" s="10"/>
      <c r="D191" s="64"/>
      <c r="E191" s="64"/>
      <c r="F191" s="10"/>
      <c r="G191" s="2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10"/>
      <c r="B192" s="10"/>
      <c r="C192" s="10"/>
      <c r="D192" s="64"/>
      <c r="E192" s="64"/>
      <c r="F192" s="10"/>
      <c r="G192" s="2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10"/>
      <c r="B193" s="10"/>
      <c r="C193" s="10"/>
      <c r="D193" s="64"/>
      <c r="E193" s="64"/>
      <c r="F193" s="10"/>
      <c r="G193" s="2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10"/>
      <c r="B194" s="10"/>
      <c r="C194" s="10"/>
      <c r="D194" s="64"/>
      <c r="E194" s="64"/>
      <c r="F194" s="10"/>
      <c r="G194" s="2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0"/>
      <c r="B195" s="10"/>
      <c r="C195" s="10"/>
      <c r="D195" s="64"/>
      <c r="E195" s="64"/>
      <c r="F195" s="10"/>
      <c r="G195" s="2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10"/>
      <c r="B196" s="10"/>
      <c r="C196" s="10"/>
      <c r="D196" s="64"/>
      <c r="E196" s="64"/>
      <c r="F196" s="10"/>
      <c r="G196" s="2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10"/>
      <c r="B197" s="10"/>
      <c r="C197" s="10"/>
      <c r="D197" s="64"/>
      <c r="E197" s="64"/>
      <c r="F197" s="10"/>
      <c r="G197" s="2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10"/>
      <c r="B198" s="10"/>
      <c r="C198" s="10"/>
      <c r="D198" s="64"/>
      <c r="E198" s="64"/>
      <c r="F198" s="10"/>
      <c r="G198" s="2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10"/>
      <c r="B199" s="10"/>
      <c r="C199" s="10"/>
      <c r="D199" s="64"/>
      <c r="E199" s="64"/>
      <c r="F199" s="10"/>
      <c r="G199" s="2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10"/>
      <c r="B200" s="10"/>
      <c r="C200" s="10"/>
      <c r="D200" s="64"/>
      <c r="E200" s="64"/>
      <c r="F200" s="10"/>
      <c r="G200" s="2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10"/>
      <c r="B201" s="10"/>
      <c r="C201" s="10"/>
      <c r="D201" s="64"/>
      <c r="E201" s="64"/>
      <c r="F201" s="10"/>
      <c r="G201" s="2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10"/>
      <c r="B202" s="10"/>
      <c r="C202" s="10"/>
      <c r="D202" s="64"/>
      <c r="E202" s="64"/>
      <c r="F202" s="10"/>
      <c r="G202" s="2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10"/>
      <c r="B203" s="10"/>
      <c r="C203" s="10"/>
      <c r="D203" s="64"/>
      <c r="E203" s="64"/>
      <c r="F203" s="10"/>
      <c r="G203" s="2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10"/>
      <c r="B204" s="10"/>
      <c r="C204" s="10"/>
      <c r="D204" s="64"/>
      <c r="E204" s="64"/>
      <c r="F204" s="10"/>
      <c r="G204" s="2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10"/>
      <c r="B205" s="10"/>
      <c r="C205" s="10"/>
      <c r="D205" s="64"/>
      <c r="E205" s="64"/>
      <c r="F205" s="10"/>
      <c r="G205" s="2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0"/>
      <c r="B206" s="10"/>
      <c r="C206" s="10"/>
      <c r="D206" s="64"/>
      <c r="E206" s="64"/>
      <c r="F206" s="10"/>
      <c r="G206" s="2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10"/>
      <c r="B207" s="10"/>
      <c r="C207" s="10"/>
      <c r="D207" s="64"/>
      <c r="E207" s="64"/>
      <c r="F207" s="10"/>
      <c r="G207" s="2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10"/>
      <c r="B208" s="10"/>
      <c r="C208" s="10"/>
      <c r="D208" s="64"/>
      <c r="E208" s="64"/>
      <c r="F208" s="10"/>
      <c r="G208" s="2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10"/>
      <c r="B209" s="10"/>
      <c r="C209" s="10"/>
      <c r="D209" s="64"/>
      <c r="E209" s="64"/>
      <c r="F209" s="10"/>
      <c r="G209" s="2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0"/>
      <c r="B210" s="10"/>
      <c r="C210" s="10"/>
      <c r="D210" s="64"/>
      <c r="E210" s="64"/>
      <c r="F210" s="10"/>
      <c r="G210" s="2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0"/>
      <c r="B211" s="10"/>
      <c r="C211" s="10"/>
      <c r="D211" s="64"/>
      <c r="E211" s="64"/>
      <c r="F211" s="10"/>
      <c r="G211" s="2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10"/>
      <c r="B212" s="10"/>
      <c r="C212" s="10"/>
      <c r="D212" s="64"/>
      <c r="E212" s="64"/>
      <c r="F212" s="10"/>
      <c r="G212" s="2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10"/>
      <c r="B213" s="10"/>
      <c r="C213" s="10"/>
      <c r="D213" s="64"/>
      <c r="E213" s="64"/>
      <c r="F213" s="10"/>
      <c r="G213" s="2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0"/>
      <c r="B214" s="10"/>
      <c r="C214" s="10"/>
      <c r="D214" s="64"/>
      <c r="E214" s="64"/>
      <c r="F214" s="10"/>
      <c r="G214" s="2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10"/>
      <c r="B215" s="10"/>
      <c r="C215" s="10"/>
      <c r="D215" s="64"/>
      <c r="E215" s="64"/>
      <c r="F215" s="10"/>
      <c r="G215" s="2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10"/>
      <c r="B216" s="10"/>
      <c r="C216" s="10"/>
      <c r="D216" s="64"/>
      <c r="E216" s="64"/>
      <c r="F216" s="10"/>
      <c r="G216" s="2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10"/>
      <c r="B217" s="10"/>
      <c r="C217" s="10"/>
      <c r="D217" s="64"/>
      <c r="E217" s="64"/>
      <c r="F217" s="10"/>
      <c r="G217" s="2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10"/>
      <c r="B218" s="10"/>
      <c r="C218" s="10"/>
      <c r="D218" s="64"/>
      <c r="E218" s="64"/>
      <c r="F218" s="10"/>
      <c r="G218" s="2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0"/>
      <c r="B219" s="10"/>
      <c r="C219" s="10"/>
      <c r="D219" s="64"/>
      <c r="E219" s="64"/>
      <c r="F219" s="10"/>
      <c r="G219" s="2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0"/>
      <c r="B220" s="10"/>
      <c r="C220" s="10"/>
      <c r="D220" s="64"/>
      <c r="E220" s="64"/>
      <c r="F220" s="10"/>
      <c r="G220" s="2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10"/>
      <c r="B221" s="10"/>
      <c r="C221" s="10"/>
      <c r="D221" s="64"/>
      <c r="E221" s="64"/>
      <c r="F221" s="10"/>
      <c r="G221" s="2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10"/>
      <c r="B222" s="10"/>
      <c r="C222" s="10"/>
      <c r="D222" s="64"/>
      <c r="E222" s="64"/>
      <c r="F222" s="10"/>
      <c r="G222" s="2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0"/>
      <c r="B223" s="10"/>
      <c r="C223" s="10"/>
      <c r="D223" s="64"/>
      <c r="E223" s="64"/>
      <c r="F223" s="10"/>
      <c r="G223" s="2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10"/>
      <c r="B224" s="10"/>
      <c r="C224" s="10"/>
      <c r="D224" s="64"/>
      <c r="E224" s="64"/>
      <c r="F224" s="10"/>
      <c r="G224" s="2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10"/>
      <c r="B225" s="10"/>
      <c r="C225" s="10"/>
      <c r="D225" s="64"/>
      <c r="E225" s="64"/>
      <c r="F225" s="10"/>
      <c r="G225" s="2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10"/>
      <c r="B226" s="10"/>
      <c r="C226" s="10"/>
      <c r="D226" s="64"/>
      <c r="E226" s="64"/>
      <c r="F226" s="10"/>
      <c r="G226" s="2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0"/>
      <c r="B227" s="10"/>
      <c r="C227" s="10"/>
      <c r="D227" s="64"/>
      <c r="E227" s="64"/>
      <c r="F227" s="10"/>
      <c r="G227" s="2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10"/>
      <c r="B228" s="10"/>
      <c r="C228" s="10"/>
      <c r="D228" s="64"/>
      <c r="E228" s="64"/>
      <c r="F228" s="10"/>
      <c r="G228" s="28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0"/>
      <c r="B229" s="10"/>
      <c r="C229" s="10"/>
      <c r="D229" s="64"/>
      <c r="E229" s="64"/>
      <c r="F229" s="10"/>
      <c r="G229" s="2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10"/>
      <c r="B230" s="10"/>
      <c r="C230" s="10"/>
      <c r="D230" s="64"/>
      <c r="E230" s="64"/>
      <c r="F230" s="10"/>
      <c r="G230" s="2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10"/>
      <c r="B231" s="10"/>
      <c r="C231" s="10"/>
      <c r="D231" s="64"/>
      <c r="E231" s="64"/>
      <c r="F231" s="10"/>
      <c r="G231" s="2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10"/>
      <c r="B232" s="10"/>
      <c r="C232" s="10"/>
      <c r="D232" s="64"/>
      <c r="E232" s="64"/>
      <c r="F232" s="10"/>
      <c r="G232" s="28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0"/>
      <c r="B233" s="10"/>
      <c r="C233" s="10"/>
      <c r="D233" s="64"/>
      <c r="E233" s="64"/>
      <c r="F233" s="10"/>
      <c r="G233" s="2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10"/>
      <c r="B234" s="10"/>
      <c r="C234" s="10"/>
      <c r="D234" s="64"/>
      <c r="E234" s="64"/>
      <c r="F234" s="10"/>
      <c r="G234" s="2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0"/>
      <c r="B235" s="10"/>
      <c r="C235" s="10"/>
      <c r="D235" s="64"/>
      <c r="E235" s="64"/>
      <c r="F235" s="10"/>
      <c r="G235" s="2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10"/>
      <c r="B236" s="10"/>
      <c r="C236" s="10"/>
      <c r="D236" s="64"/>
      <c r="E236" s="64"/>
      <c r="F236" s="10"/>
      <c r="G236" s="2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10"/>
      <c r="B237" s="10"/>
      <c r="C237" s="10"/>
      <c r="D237" s="64"/>
      <c r="E237" s="64"/>
      <c r="F237" s="10"/>
      <c r="G237" s="2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0"/>
      <c r="B238" s="10"/>
      <c r="C238" s="10"/>
      <c r="D238" s="64"/>
      <c r="E238" s="64"/>
      <c r="F238" s="10"/>
      <c r="G238" s="2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0"/>
      <c r="B239" s="10"/>
      <c r="C239" s="10"/>
      <c r="D239" s="64"/>
      <c r="E239" s="64"/>
      <c r="F239" s="10"/>
      <c r="G239" s="2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0"/>
      <c r="B240" s="10"/>
      <c r="C240" s="10"/>
      <c r="D240" s="64"/>
      <c r="E240" s="64"/>
      <c r="F240" s="10"/>
      <c r="G240" s="2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0"/>
      <c r="B241" s="10"/>
      <c r="C241" s="10"/>
      <c r="D241" s="64"/>
      <c r="E241" s="64"/>
      <c r="F241" s="10"/>
      <c r="G241" s="2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10"/>
      <c r="B242" s="10"/>
      <c r="C242" s="10"/>
      <c r="D242" s="64"/>
      <c r="E242" s="64"/>
      <c r="F242" s="10"/>
      <c r="G242" s="2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10"/>
      <c r="B243" s="10"/>
      <c r="C243" s="10"/>
      <c r="D243" s="64"/>
      <c r="E243" s="64"/>
      <c r="F243" s="10"/>
      <c r="G243" s="28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10"/>
      <c r="B244" s="10"/>
      <c r="C244" s="10"/>
      <c r="D244" s="64"/>
      <c r="E244" s="64"/>
      <c r="F244" s="10"/>
      <c r="G244" s="2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10"/>
      <c r="B245" s="10"/>
      <c r="C245" s="10"/>
      <c r="D245" s="64"/>
      <c r="E245" s="64"/>
      <c r="F245" s="10"/>
      <c r="G245" s="2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10"/>
      <c r="B246" s="10"/>
      <c r="C246" s="10"/>
      <c r="D246" s="64"/>
      <c r="E246" s="64"/>
      <c r="F246" s="10"/>
      <c r="G246" s="2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10"/>
      <c r="B247" s="10"/>
      <c r="C247" s="10"/>
      <c r="D247" s="64"/>
      <c r="E247" s="64"/>
      <c r="F247" s="10"/>
      <c r="G247" s="28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10"/>
      <c r="B248" s="10"/>
      <c r="C248" s="10"/>
      <c r="D248" s="64"/>
      <c r="E248" s="64"/>
      <c r="F248" s="10"/>
      <c r="G248" s="2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10"/>
      <c r="B249" s="10"/>
      <c r="C249" s="10"/>
      <c r="D249" s="64"/>
      <c r="E249" s="64"/>
      <c r="F249" s="10"/>
      <c r="G249" s="2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10"/>
      <c r="B250" s="10"/>
      <c r="C250" s="10"/>
      <c r="D250" s="64"/>
      <c r="E250" s="64"/>
      <c r="F250" s="10"/>
      <c r="G250" s="2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10"/>
      <c r="B251" s="10"/>
      <c r="C251" s="10"/>
      <c r="D251" s="64"/>
      <c r="E251" s="64"/>
      <c r="F251" s="10"/>
      <c r="G251" s="2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0"/>
      <c r="B252" s="10"/>
      <c r="C252" s="10"/>
      <c r="D252" s="64"/>
      <c r="E252" s="64"/>
      <c r="F252" s="10"/>
      <c r="G252" s="2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10"/>
      <c r="B253" s="10"/>
      <c r="C253" s="10"/>
      <c r="D253" s="64"/>
      <c r="E253" s="64"/>
      <c r="F253" s="10"/>
      <c r="G253" s="2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10"/>
      <c r="B254" s="10"/>
      <c r="C254" s="10"/>
      <c r="D254" s="64"/>
      <c r="E254" s="64"/>
      <c r="F254" s="10"/>
      <c r="G254" s="2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10"/>
      <c r="B255" s="10"/>
      <c r="C255" s="10"/>
      <c r="D255" s="64"/>
      <c r="E255" s="64"/>
      <c r="F255" s="10"/>
      <c r="G255" s="2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10"/>
      <c r="B256" s="10"/>
      <c r="C256" s="10"/>
      <c r="D256" s="64"/>
      <c r="E256" s="64"/>
      <c r="F256" s="10"/>
      <c r="G256" s="28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10"/>
      <c r="B257" s="10"/>
      <c r="C257" s="10"/>
      <c r="D257" s="64"/>
      <c r="E257" s="64"/>
      <c r="F257" s="10"/>
      <c r="G257" s="28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10"/>
      <c r="B258" s="10"/>
      <c r="C258" s="10"/>
      <c r="D258" s="64"/>
      <c r="E258" s="64"/>
      <c r="F258" s="10"/>
      <c r="G258" s="28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10"/>
      <c r="B259" s="10"/>
      <c r="C259" s="10"/>
      <c r="D259" s="64"/>
      <c r="E259" s="64"/>
      <c r="F259" s="10"/>
      <c r="G259" s="28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0"/>
      <c r="B260" s="10"/>
      <c r="C260" s="10"/>
      <c r="D260" s="64"/>
      <c r="E260" s="64"/>
      <c r="F260" s="10"/>
      <c r="G260" s="28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10"/>
      <c r="B261" s="10"/>
      <c r="C261" s="10"/>
      <c r="D261" s="64"/>
      <c r="E261" s="64"/>
      <c r="F261" s="10"/>
      <c r="G261" s="28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10"/>
      <c r="B262" s="10"/>
      <c r="C262" s="10"/>
      <c r="D262" s="64"/>
      <c r="E262" s="64"/>
      <c r="F262" s="10"/>
      <c r="G262" s="28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10"/>
      <c r="B263" s="10"/>
      <c r="C263" s="10"/>
      <c r="D263" s="64"/>
      <c r="E263" s="64"/>
      <c r="F263" s="10"/>
      <c r="G263" s="2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10"/>
      <c r="B264" s="10"/>
      <c r="C264" s="10"/>
      <c r="D264" s="64"/>
      <c r="E264" s="64"/>
      <c r="F264" s="10"/>
      <c r="G264" s="28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10"/>
      <c r="B265" s="10"/>
      <c r="C265" s="10"/>
      <c r="D265" s="64"/>
      <c r="E265" s="64"/>
      <c r="F265" s="10"/>
      <c r="G265" s="2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10"/>
      <c r="B266" s="10"/>
      <c r="C266" s="10"/>
      <c r="D266" s="64"/>
      <c r="E266" s="64"/>
      <c r="F266" s="10"/>
      <c r="G266" s="2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0"/>
      <c r="B267" s="10"/>
      <c r="C267" s="10"/>
      <c r="D267" s="64"/>
      <c r="E267" s="64"/>
      <c r="F267" s="10"/>
      <c r="G267" s="28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0"/>
      <c r="B268" s="10"/>
      <c r="C268" s="10"/>
      <c r="D268" s="64"/>
      <c r="E268" s="64"/>
      <c r="F268" s="10"/>
      <c r="G268" s="28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0"/>
      <c r="B269" s="10"/>
      <c r="C269" s="10"/>
      <c r="D269" s="64"/>
      <c r="E269" s="64"/>
      <c r="F269" s="10"/>
      <c r="G269" s="2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0"/>
      <c r="B270" s="10"/>
      <c r="C270" s="10"/>
      <c r="D270" s="64"/>
      <c r="E270" s="64"/>
      <c r="F270" s="10"/>
      <c r="G270" s="2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10"/>
      <c r="B271" s="10"/>
      <c r="C271" s="10"/>
      <c r="D271" s="64"/>
      <c r="E271" s="64"/>
      <c r="F271" s="10"/>
      <c r="G271" s="28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10"/>
      <c r="B272" s="10"/>
      <c r="C272" s="10"/>
      <c r="D272" s="64"/>
      <c r="E272" s="64"/>
      <c r="F272" s="10"/>
      <c r="G272" s="28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0"/>
      <c r="B273" s="10"/>
      <c r="C273" s="10"/>
      <c r="D273" s="64"/>
      <c r="E273" s="64"/>
      <c r="F273" s="10"/>
      <c r="G273" s="2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0"/>
      <c r="B274" s="10"/>
      <c r="C274" s="10"/>
      <c r="D274" s="64"/>
      <c r="E274" s="64"/>
      <c r="F274" s="10"/>
      <c r="G274" s="2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0"/>
      <c r="B275" s="10"/>
      <c r="C275" s="10"/>
      <c r="D275" s="64"/>
      <c r="E275" s="64"/>
      <c r="F275" s="10"/>
      <c r="G275" s="2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0"/>
      <c r="B276" s="10"/>
      <c r="C276" s="10"/>
      <c r="D276" s="64"/>
      <c r="E276" s="64"/>
      <c r="F276" s="10"/>
      <c r="G276" s="2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0"/>
      <c r="B277" s="10"/>
      <c r="C277" s="10"/>
      <c r="D277" s="64"/>
      <c r="E277" s="64"/>
      <c r="F277" s="10"/>
      <c r="G277" s="28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0"/>
      <c r="B278" s="10"/>
      <c r="C278" s="10"/>
      <c r="D278" s="64"/>
      <c r="E278" s="64"/>
      <c r="F278" s="10"/>
      <c r="G278" s="2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0"/>
      <c r="B279" s="10"/>
      <c r="C279" s="10"/>
      <c r="D279" s="64"/>
      <c r="E279" s="64"/>
      <c r="F279" s="10"/>
      <c r="G279" s="2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0"/>
      <c r="B280" s="10"/>
      <c r="C280" s="10"/>
      <c r="D280" s="64"/>
      <c r="E280" s="64"/>
      <c r="F280" s="10"/>
      <c r="G280" s="2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0"/>
      <c r="B281" s="10"/>
      <c r="C281" s="10"/>
      <c r="D281" s="64"/>
      <c r="E281" s="64"/>
      <c r="F281" s="10"/>
      <c r="G281" s="2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0"/>
      <c r="B282" s="10"/>
      <c r="C282" s="10"/>
      <c r="D282" s="64"/>
      <c r="E282" s="64"/>
      <c r="F282" s="10"/>
      <c r="G282" s="2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0"/>
      <c r="B283" s="10"/>
      <c r="C283" s="10"/>
      <c r="D283" s="64"/>
      <c r="E283" s="64"/>
      <c r="F283" s="10"/>
      <c r="G283" s="2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0"/>
      <c r="B284" s="10"/>
      <c r="C284" s="10"/>
      <c r="D284" s="64"/>
      <c r="E284" s="64"/>
      <c r="F284" s="10"/>
      <c r="G284" s="2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0"/>
      <c r="B285" s="10"/>
      <c r="C285" s="10"/>
      <c r="D285" s="64"/>
      <c r="E285" s="64"/>
      <c r="F285" s="10"/>
      <c r="G285" s="2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0"/>
      <c r="B286" s="10"/>
      <c r="C286" s="10"/>
      <c r="D286" s="64"/>
      <c r="E286" s="64"/>
      <c r="F286" s="10"/>
      <c r="G286" s="2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0"/>
      <c r="B287" s="10"/>
      <c r="C287" s="10"/>
      <c r="D287" s="64"/>
      <c r="E287" s="64"/>
      <c r="F287" s="10"/>
      <c r="G287" s="2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0"/>
      <c r="B288" s="10"/>
      <c r="C288" s="10"/>
      <c r="D288" s="64"/>
      <c r="E288" s="64"/>
      <c r="F288" s="10"/>
      <c r="G288" s="2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0"/>
      <c r="B289" s="10"/>
      <c r="C289" s="10"/>
      <c r="D289" s="64"/>
      <c r="E289" s="64"/>
      <c r="F289" s="10"/>
      <c r="G289" s="2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0"/>
      <c r="B290" s="10"/>
      <c r="C290" s="10"/>
      <c r="D290" s="64"/>
      <c r="E290" s="64"/>
      <c r="F290" s="10"/>
      <c r="G290" s="2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0"/>
      <c r="B291" s="10"/>
      <c r="C291" s="10"/>
      <c r="D291" s="64"/>
      <c r="E291" s="64"/>
      <c r="F291" s="10"/>
      <c r="G291" s="2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0"/>
      <c r="B292" s="10"/>
      <c r="C292" s="10"/>
      <c r="D292" s="64"/>
      <c r="E292" s="64"/>
      <c r="F292" s="10"/>
      <c r="G292" s="2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0"/>
      <c r="B293" s="10"/>
      <c r="C293" s="10"/>
      <c r="D293" s="64"/>
      <c r="E293" s="64"/>
      <c r="F293" s="10"/>
      <c r="G293" s="2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0"/>
      <c r="B294" s="10"/>
      <c r="C294" s="10"/>
      <c r="D294" s="64"/>
      <c r="E294" s="64"/>
      <c r="F294" s="10"/>
      <c r="G294" s="2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0"/>
      <c r="B295" s="10"/>
      <c r="C295" s="10"/>
      <c r="D295" s="64"/>
      <c r="E295" s="64"/>
      <c r="F295" s="10"/>
      <c r="G295" s="2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0"/>
      <c r="B296" s="10"/>
      <c r="C296" s="10"/>
      <c r="D296" s="64"/>
      <c r="E296" s="64"/>
      <c r="F296" s="10"/>
      <c r="G296" s="2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0"/>
      <c r="B297" s="10"/>
      <c r="C297" s="10"/>
      <c r="D297" s="64"/>
      <c r="E297" s="64"/>
      <c r="F297" s="10"/>
      <c r="G297" s="2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0"/>
      <c r="B298" s="10"/>
      <c r="C298" s="10"/>
      <c r="D298" s="64"/>
      <c r="E298" s="64"/>
      <c r="F298" s="10"/>
      <c r="G298" s="2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0"/>
      <c r="B299" s="10"/>
      <c r="C299" s="10"/>
      <c r="D299" s="64"/>
      <c r="E299" s="64"/>
      <c r="F299" s="10"/>
      <c r="G299" s="2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0"/>
      <c r="B300" s="10"/>
      <c r="C300" s="10"/>
      <c r="D300" s="64"/>
      <c r="E300" s="64"/>
      <c r="F300" s="10"/>
      <c r="G300" s="2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0"/>
      <c r="B301" s="10"/>
      <c r="C301" s="10"/>
      <c r="D301" s="64"/>
      <c r="E301" s="64"/>
      <c r="F301" s="10"/>
      <c r="G301" s="2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0"/>
      <c r="B302" s="10"/>
      <c r="C302" s="10"/>
      <c r="D302" s="64"/>
      <c r="E302" s="64"/>
      <c r="F302" s="10"/>
      <c r="G302" s="2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0"/>
      <c r="B303" s="10"/>
      <c r="C303" s="10"/>
      <c r="D303" s="64"/>
      <c r="E303" s="64"/>
      <c r="F303" s="10"/>
      <c r="G303" s="2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0"/>
      <c r="B304" s="10"/>
      <c r="C304" s="10"/>
      <c r="D304" s="64"/>
      <c r="E304" s="64"/>
      <c r="F304" s="10"/>
      <c r="G304" s="2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0"/>
      <c r="B305" s="10"/>
      <c r="C305" s="10"/>
      <c r="D305" s="64"/>
      <c r="E305" s="64"/>
      <c r="F305" s="10"/>
      <c r="G305" s="2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0"/>
      <c r="B306" s="10"/>
      <c r="C306" s="10"/>
      <c r="D306" s="64"/>
      <c r="E306" s="64"/>
      <c r="F306" s="10"/>
      <c r="G306" s="2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0"/>
      <c r="B307" s="10"/>
      <c r="C307" s="10"/>
      <c r="D307" s="64"/>
      <c r="E307" s="64"/>
      <c r="F307" s="10"/>
      <c r="G307" s="2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0"/>
      <c r="B308" s="10"/>
      <c r="C308" s="10"/>
      <c r="D308" s="64"/>
      <c r="E308" s="64"/>
      <c r="F308" s="10"/>
      <c r="G308" s="2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0"/>
      <c r="B309" s="10"/>
      <c r="C309" s="10"/>
      <c r="D309" s="64"/>
      <c r="E309" s="64"/>
      <c r="F309" s="10"/>
      <c r="G309" s="2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0"/>
      <c r="B310" s="10"/>
      <c r="C310" s="10"/>
      <c r="D310" s="64"/>
      <c r="E310" s="64"/>
      <c r="F310" s="10"/>
      <c r="G310" s="2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0"/>
      <c r="B311" s="10"/>
      <c r="C311" s="10"/>
      <c r="D311" s="64"/>
      <c r="E311" s="64"/>
      <c r="F311" s="10"/>
      <c r="G311" s="2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0"/>
      <c r="B312" s="10"/>
      <c r="C312" s="10"/>
      <c r="D312" s="64"/>
      <c r="E312" s="64"/>
      <c r="F312" s="10"/>
      <c r="G312" s="2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0"/>
      <c r="B313" s="10"/>
      <c r="C313" s="10"/>
      <c r="D313" s="64"/>
      <c r="E313" s="64"/>
      <c r="F313" s="10"/>
      <c r="G313" s="2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0"/>
      <c r="B314" s="10"/>
      <c r="C314" s="10"/>
      <c r="D314" s="64"/>
      <c r="E314" s="64"/>
      <c r="F314" s="10"/>
      <c r="G314" s="2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0"/>
      <c r="B315" s="10"/>
      <c r="C315" s="10"/>
      <c r="D315" s="64"/>
      <c r="E315" s="64"/>
      <c r="F315" s="10"/>
      <c r="G315" s="2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0"/>
      <c r="B316" s="10"/>
      <c r="C316" s="10"/>
      <c r="D316" s="64"/>
      <c r="E316" s="64"/>
      <c r="F316" s="10"/>
      <c r="G316" s="2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0"/>
      <c r="B317" s="10"/>
      <c r="C317" s="10"/>
      <c r="D317" s="64"/>
      <c r="E317" s="64"/>
      <c r="F317" s="10"/>
      <c r="G317" s="2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0"/>
      <c r="B318" s="10"/>
      <c r="C318" s="10"/>
      <c r="D318" s="64"/>
      <c r="E318" s="64"/>
      <c r="F318" s="10"/>
      <c r="G318" s="2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0"/>
      <c r="B319" s="10"/>
      <c r="C319" s="10"/>
      <c r="D319" s="64"/>
      <c r="E319" s="64"/>
      <c r="F319" s="10"/>
      <c r="G319" s="2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0"/>
      <c r="B320" s="10"/>
      <c r="C320" s="10"/>
      <c r="D320" s="64"/>
      <c r="E320" s="64"/>
      <c r="F320" s="10"/>
      <c r="G320" s="2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0"/>
      <c r="B321" s="10"/>
      <c r="C321" s="10"/>
      <c r="D321" s="64"/>
      <c r="E321" s="64"/>
      <c r="F321" s="10"/>
      <c r="G321" s="2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0"/>
      <c r="B322" s="10"/>
      <c r="C322" s="10"/>
      <c r="D322" s="64"/>
      <c r="E322" s="64"/>
      <c r="F322" s="10"/>
      <c r="G322" s="2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0"/>
      <c r="B323" s="10"/>
      <c r="C323" s="10"/>
      <c r="D323" s="64"/>
      <c r="E323" s="64"/>
      <c r="F323" s="10"/>
      <c r="G323" s="2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0"/>
      <c r="B324" s="10"/>
      <c r="C324" s="10"/>
      <c r="D324" s="64"/>
      <c r="E324" s="64"/>
      <c r="F324" s="10"/>
      <c r="G324" s="2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0"/>
      <c r="B325" s="10"/>
      <c r="C325" s="10"/>
      <c r="D325" s="64"/>
      <c r="E325" s="64"/>
      <c r="F325" s="10"/>
      <c r="G325" s="2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0"/>
      <c r="B326" s="10"/>
      <c r="C326" s="10"/>
      <c r="D326" s="64"/>
      <c r="E326" s="64"/>
      <c r="F326" s="10"/>
      <c r="G326" s="2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0"/>
      <c r="B327" s="10"/>
      <c r="C327" s="10"/>
      <c r="D327" s="64"/>
      <c r="E327" s="64"/>
      <c r="F327" s="10"/>
      <c r="G327" s="2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0"/>
      <c r="B328" s="10"/>
      <c r="C328" s="10"/>
      <c r="D328" s="64"/>
      <c r="E328" s="64"/>
      <c r="F328" s="10"/>
      <c r="G328" s="2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0"/>
      <c r="B329" s="10"/>
      <c r="C329" s="10"/>
      <c r="D329" s="64"/>
      <c r="E329" s="64"/>
      <c r="F329" s="10"/>
      <c r="G329" s="28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0"/>
      <c r="B330" s="10"/>
      <c r="C330" s="10"/>
      <c r="D330" s="64"/>
      <c r="E330" s="64"/>
      <c r="F330" s="10"/>
      <c r="G330" s="28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0"/>
      <c r="B331" s="10"/>
      <c r="C331" s="10"/>
      <c r="D331" s="64"/>
      <c r="E331" s="64"/>
      <c r="F331" s="10"/>
      <c r="G331" s="2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0"/>
      <c r="B332" s="10"/>
      <c r="C332" s="10"/>
      <c r="D332" s="64"/>
      <c r="E332" s="64"/>
      <c r="F332" s="10"/>
      <c r="G332" s="28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0"/>
      <c r="B333" s="10"/>
      <c r="C333" s="10"/>
      <c r="D333" s="64"/>
      <c r="E333" s="64"/>
      <c r="F333" s="10"/>
      <c r="G333" s="2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0"/>
      <c r="B334" s="10"/>
      <c r="C334" s="10"/>
      <c r="D334" s="64"/>
      <c r="E334" s="64"/>
      <c r="F334" s="10"/>
      <c r="G334" s="2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0"/>
      <c r="B335" s="10"/>
      <c r="C335" s="10"/>
      <c r="D335" s="64"/>
      <c r="E335" s="64"/>
      <c r="F335" s="10"/>
      <c r="G335" s="2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0"/>
      <c r="B336" s="10"/>
      <c r="C336" s="10"/>
      <c r="D336" s="64"/>
      <c r="E336" s="64"/>
      <c r="F336" s="10"/>
      <c r="G336" s="28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0"/>
      <c r="B337" s="10"/>
      <c r="C337" s="10"/>
      <c r="D337" s="64"/>
      <c r="E337" s="64"/>
      <c r="F337" s="10"/>
      <c r="G337" s="28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0"/>
      <c r="B338" s="10"/>
      <c r="C338" s="10"/>
      <c r="D338" s="64"/>
      <c r="E338" s="64"/>
      <c r="F338" s="10"/>
      <c r="G338" s="28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0"/>
      <c r="B339" s="10"/>
      <c r="C339" s="10"/>
      <c r="D339" s="64"/>
      <c r="E339" s="64"/>
      <c r="F339" s="10"/>
      <c r="G339" s="2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0"/>
      <c r="B340" s="10"/>
      <c r="C340" s="10"/>
      <c r="D340" s="64"/>
      <c r="E340" s="64"/>
      <c r="F340" s="10"/>
      <c r="G340" s="2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0"/>
      <c r="B341" s="10"/>
      <c r="C341" s="10"/>
      <c r="D341" s="64"/>
      <c r="E341" s="64"/>
      <c r="F341" s="10"/>
      <c r="G341" s="28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0"/>
      <c r="B342" s="10"/>
      <c r="C342" s="10"/>
      <c r="D342" s="64"/>
      <c r="E342" s="64"/>
      <c r="F342" s="10"/>
      <c r="G342" s="2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0"/>
      <c r="B343" s="10"/>
      <c r="C343" s="10"/>
      <c r="D343" s="64"/>
      <c r="E343" s="64"/>
      <c r="F343" s="10"/>
      <c r="G343" s="2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0"/>
      <c r="B344" s="10"/>
      <c r="C344" s="10"/>
      <c r="D344" s="64"/>
      <c r="E344" s="64"/>
      <c r="F344" s="10"/>
      <c r="G344" s="28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0"/>
      <c r="B345" s="10"/>
      <c r="C345" s="10"/>
      <c r="D345" s="64"/>
      <c r="E345" s="64"/>
      <c r="F345" s="10"/>
      <c r="G345" s="2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0"/>
      <c r="B346" s="10"/>
      <c r="C346" s="10"/>
      <c r="D346" s="64"/>
      <c r="E346" s="64"/>
      <c r="F346" s="10"/>
      <c r="G346" s="28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0"/>
      <c r="B347" s="10"/>
      <c r="C347" s="10"/>
      <c r="D347" s="64"/>
      <c r="E347" s="64"/>
      <c r="F347" s="10"/>
      <c r="G347" s="2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0"/>
      <c r="B348" s="10"/>
      <c r="C348" s="10"/>
      <c r="D348" s="64"/>
      <c r="E348" s="64"/>
      <c r="F348" s="10"/>
      <c r="G348" s="28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0"/>
      <c r="B349" s="10"/>
      <c r="C349" s="10"/>
      <c r="D349" s="64"/>
      <c r="E349" s="64"/>
      <c r="F349" s="10"/>
      <c r="G349" s="2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0"/>
      <c r="B350" s="10"/>
      <c r="C350" s="10"/>
      <c r="D350" s="64"/>
      <c r="E350" s="64"/>
      <c r="F350" s="10"/>
      <c r="G350" s="28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0"/>
      <c r="B351" s="10"/>
      <c r="C351" s="10"/>
      <c r="D351" s="64"/>
      <c r="E351" s="64"/>
      <c r="F351" s="10"/>
      <c r="G351" s="2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0"/>
      <c r="B352" s="10"/>
      <c r="C352" s="10"/>
      <c r="D352" s="64"/>
      <c r="E352" s="64"/>
      <c r="F352" s="10"/>
      <c r="G352" s="28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0"/>
      <c r="B353" s="10"/>
      <c r="C353" s="10"/>
      <c r="D353" s="64"/>
      <c r="E353" s="64"/>
      <c r="F353" s="10"/>
      <c r="G353" s="2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0"/>
      <c r="B354" s="10"/>
      <c r="C354" s="10"/>
      <c r="D354" s="64"/>
      <c r="E354" s="64"/>
      <c r="F354" s="10"/>
      <c r="G354" s="28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0"/>
      <c r="B355" s="10"/>
      <c r="C355" s="10"/>
      <c r="D355" s="64"/>
      <c r="E355" s="64"/>
      <c r="F355" s="10"/>
      <c r="G355" s="2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0"/>
      <c r="B356" s="10"/>
      <c r="C356" s="10"/>
      <c r="D356" s="64"/>
      <c r="E356" s="64"/>
      <c r="F356" s="10"/>
      <c r="G356" s="28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0"/>
      <c r="B357" s="10"/>
      <c r="C357" s="10"/>
      <c r="D357" s="64"/>
      <c r="E357" s="64"/>
      <c r="F357" s="10"/>
      <c r="G357" s="2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0"/>
      <c r="B358" s="10"/>
      <c r="C358" s="10"/>
      <c r="D358" s="64"/>
      <c r="E358" s="64"/>
      <c r="F358" s="10"/>
      <c r="G358" s="28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0"/>
      <c r="B359" s="10"/>
      <c r="C359" s="10"/>
      <c r="D359" s="64"/>
      <c r="E359" s="64"/>
      <c r="F359" s="10"/>
      <c r="G359" s="2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0"/>
      <c r="B360" s="10"/>
      <c r="C360" s="10"/>
      <c r="D360" s="64"/>
      <c r="E360" s="64"/>
      <c r="F360" s="10"/>
      <c r="G360" s="28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0"/>
      <c r="B361" s="10"/>
      <c r="C361" s="10"/>
      <c r="D361" s="64"/>
      <c r="E361" s="64"/>
      <c r="F361" s="10"/>
      <c r="G361" s="28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0"/>
      <c r="B362" s="10"/>
      <c r="C362" s="10"/>
      <c r="D362" s="64"/>
      <c r="E362" s="64"/>
      <c r="F362" s="10"/>
      <c r="G362" s="28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0"/>
      <c r="B363" s="10"/>
      <c r="C363" s="10"/>
      <c r="D363" s="64"/>
      <c r="E363" s="64"/>
      <c r="F363" s="10"/>
      <c r="G363" s="28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0"/>
      <c r="B364" s="10"/>
      <c r="C364" s="10"/>
      <c r="D364" s="64"/>
      <c r="E364" s="64"/>
      <c r="F364" s="10"/>
      <c r="G364" s="28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0"/>
      <c r="B365" s="10"/>
      <c r="C365" s="10"/>
      <c r="D365" s="64"/>
      <c r="E365" s="64"/>
      <c r="F365" s="10"/>
      <c r="G365" s="28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0"/>
      <c r="B366" s="10"/>
      <c r="C366" s="10"/>
      <c r="D366" s="64"/>
      <c r="E366" s="64"/>
      <c r="F366" s="10"/>
      <c r="G366" s="28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0"/>
      <c r="B367" s="10"/>
      <c r="C367" s="10"/>
      <c r="D367" s="64"/>
      <c r="E367" s="64"/>
      <c r="F367" s="10"/>
      <c r="G367" s="28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0"/>
      <c r="B368" s="10"/>
      <c r="C368" s="10"/>
      <c r="D368" s="64"/>
      <c r="E368" s="64"/>
      <c r="F368" s="10"/>
      <c r="G368" s="28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0"/>
      <c r="B369" s="10"/>
      <c r="C369" s="10"/>
      <c r="D369" s="64"/>
      <c r="E369" s="64"/>
      <c r="F369" s="10"/>
      <c r="G369" s="28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0"/>
      <c r="B370" s="10"/>
      <c r="C370" s="10"/>
      <c r="D370" s="64"/>
      <c r="E370" s="64"/>
      <c r="F370" s="10"/>
      <c r="G370" s="28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0"/>
      <c r="B371" s="10"/>
      <c r="C371" s="10"/>
      <c r="D371" s="64"/>
      <c r="E371" s="64"/>
      <c r="F371" s="10"/>
      <c r="G371" s="28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0"/>
      <c r="B372" s="10"/>
      <c r="C372" s="10"/>
      <c r="D372" s="64"/>
      <c r="E372" s="64"/>
      <c r="F372" s="10"/>
      <c r="G372" s="28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0"/>
      <c r="B373" s="10"/>
      <c r="C373" s="10"/>
      <c r="D373" s="64"/>
      <c r="E373" s="64"/>
      <c r="F373" s="10"/>
      <c r="G373" s="28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0"/>
      <c r="B374" s="10"/>
      <c r="C374" s="10"/>
      <c r="D374" s="64"/>
      <c r="E374" s="64"/>
      <c r="F374" s="10"/>
      <c r="G374" s="28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0"/>
      <c r="B375" s="10"/>
      <c r="C375" s="10"/>
      <c r="D375" s="64"/>
      <c r="E375" s="64"/>
      <c r="F375" s="10"/>
      <c r="G375" s="28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0"/>
      <c r="B376" s="10"/>
      <c r="C376" s="10"/>
      <c r="D376" s="64"/>
      <c r="E376" s="64"/>
      <c r="F376" s="10"/>
      <c r="G376" s="28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0"/>
      <c r="B377" s="10"/>
      <c r="C377" s="10"/>
      <c r="D377" s="64"/>
      <c r="E377" s="64"/>
      <c r="F377" s="10"/>
      <c r="G377" s="28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0"/>
      <c r="B378" s="10"/>
      <c r="C378" s="10"/>
      <c r="D378" s="64"/>
      <c r="E378" s="64"/>
      <c r="F378" s="10"/>
      <c r="G378" s="28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0"/>
      <c r="B379" s="10"/>
      <c r="C379" s="10"/>
      <c r="D379" s="64"/>
      <c r="E379" s="64"/>
      <c r="F379" s="10"/>
      <c r="G379" s="28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0"/>
      <c r="B380" s="10"/>
      <c r="C380" s="10"/>
      <c r="D380" s="64"/>
      <c r="E380" s="64"/>
      <c r="F380" s="10"/>
      <c r="G380" s="28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0"/>
      <c r="B381" s="10"/>
      <c r="C381" s="10"/>
      <c r="D381" s="64"/>
      <c r="E381" s="64"/>
      <c r="F381" s="10"/>
      <c r="G381" s="28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0"/>
      <c r="B382" s="10"/>
      <c r="C382" s="10"/>
      <c r="D382" s="64"/>
      <c r="E382" s="64"/>
      <c r="F382" s="10"/>
      <c r="G382" s="28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0"/>
      <c r="B383" s="10"/>
      <c r="C383" s="10"/>
      <c r="D383" s="64"/>
      <c r="E383" s="64"/>
      <c r="F383" s="10"/>
      <c r="G383" s="28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0"/>
      <c r="B384" s="10"/>
      <c r="C384" s="10"/>
      <c r="D384" s="64"/>
      <c r="E384" s="64"/>
      <c r="F384" s="10"/>
      <c r="G384" s="28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0"/>
      <c r="B385" s="10"/>
      <c r="C385" s="10"/>
      <c r="D385" s="64"/>
      <c r="E385" s="64"/>
      <c r="F385" s="10"/>
      <c r="G385" s="28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0"/>
      <c r="B386" s="10"/>
      <c r="C386" s="10"/>
      <c r="D386" s="64"/>
      <c r="E386" s="64"/>
      <c r="F386" s="10"/>
      <c r="G386" s="28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0"/>
      <c r="B387" s="10"/>
      <c r="C387" s="10"/>
      <c r="D387" s="64"/>
      <c r="E387" s="64"/>
      <c r="F387" s="10"/>
      <c r="G387" s="28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0"/>
      <c r="B388" s="10"/>
      <c r="C388" s="10"/>
      <c r="D388" s="64"/>
      <c r="E388" s="64"/>
      <c r="F388" s="10"/>
      <c r="G388" s="28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0"/>
      <c r="B389" s="10"/>
      <c r="C389" s="10"/>
      <c r="D389" s="64"/>
      <c r="E389" s="64"/>
      <c r="F389" s="10"/>
      <c r="G389" s="28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0"/>
      <c r="B390" s="10"/>
      <c r="C390" s="10"/>
      <c r="D390" s="64"/>
      <c r="E390" s="64"/>
      <c r="F390" s="10"/>
      <c r="G390" s="28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0"/>
      <c r="B391" s="10"/>
      <c r="C391" s="10"/>
      <c r="D391" s="64"/>
      <c r="E391" s="64"/>
      <c r="F391" s="10"/>
      <c r="G391" s="28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0"/>
      <c r="B392" s="10"/>
      <c r="C392" s="10"/>
      <c r="D392" s="64"/>
      <c r="E392" s="64"/>
      <c r="F392" s="10"/>
      <c r="G392" s="28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0"/>
      <c r="B393" s="10"/>
      <c r="C393" s="10"/>
      <c r="D393" s="64"/>
      <c r="E393" s="64"/>
      <c r="F393" s="10"/>
      <c r="G393" s="28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0"/>
      <c r="B394" s="10"/>
      <c r="C394" s="10"/>
      <c r="D394" s="64"/>
      <c r="E394" s="64"/>
      <c r="F394" s="10"/>
      <c r="G394" s="28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0"/>
      <c r="B395" s="10"/>
      <c r="C395" s="10"/>
      <c r="D395" s="64"/>
      <c r="E395" s="64"/>
      <c r="F395" s="10"/>
      <c r="G395" s="28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0"/>
      <c r="B396" s="10"/>
      <c r="C396" s="10"/>
      <c r="D396" s="64"/>
      <c r="E396" s="64"/>
      <c r="F396" s="10"/>
      <c r="G396" s="28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0"/>
      <c r="B397" s="10"/>
      <c r="C397" s="10"/>
      <c r="D397" s="64"/>
      <c r="E397" s="64"/>
      <c r="F397" s="10"/>
      <c r="G397" s="28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0"/>
      <c r="B398" s="10"/>
      <c r="C398" s="10"/>
      <c r="D398" s="64"/>
      <c r="E398" s="64"/>
      <c r="F398" s="10"/>
      <c r="G398" s="28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0"/>
      <c r="B399" s="10"/>
      <c r="C399" s="10"/>
      <c r="D399" s="64"/>
      <c r="E399" s="64"/>
      <c r="F399" s="10"/>
      <c r="G399" s="28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0"/>
      <c r="B400" s="10"/>
      <c r="C400" s="10"/>
      <c r="D400" s="64"/>
      <c r="E400" s="64"/>
      <c r="F400" s="10"/>
      <c r="G400" s="28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0"/>
      <c r="B401" s="10"/>
      <c r="C401" s="10"/>
      <c r="D401" s="64"/>
      <c r="E401" s="64"/>
      <c r="F401" s="10"/>
      <c r="G401" s="28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0"/>
      <c r="B402" s="10"/>
      <c r="C402" s="10"/>
      <c r="D402" s="64"/>
      <c r="E402" s="64"/>
      <c r="F402" s="10"/>
      <c r="G402" s="28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0"/>
      <c r="B403" s="10"/>
      <c r="C403" s="10"/>
      <c r="D403" s="64"/>
      <c r="E403" s="64"/>
      <c r="F403" s="10"/>
      <c r="G403" s="28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0"/>
      <c r="B404" s="10"/>
      <c r="C404" s="10"/>
      <c r="D404" s="64"/>
      <c r="E404" s="64"/>
      <c r="F404" s="10"/>
      <c r="G404" s="28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0"/>
      <c r="B405" s="10"/>
      <c r="C405" s="10"/>
      <c r="D405" s="64"/>
      <c r="E405" s="64"/>
      <c r="F405" s="10"/>
      <c r="G405" s="28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0"/>
      <c r="B406" s="10"/>
      <c r="C406" s="10"/>
      <c r="D406" s="64"/>
      <c r="E406" s="64"/>
      <c r="F406" s="10"/>
      <c r="G406" s="28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0"/>
      <c r="B407" s="10"/>
      <c r="C407" s="10"/>
      <c r="D407" s="64"/>
      <c r="E407" s="64"/>
      <c r="F407" s="10"/>
      <c r="G407" s="28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0"/>
      <c r="B408" s="10"/>
      <c r="C408" s="10"/>
      <c r="D408" s="64"/>
      <c r="E408" s="64"/>
      <c r="F408" s="10"/>
      <c r="G408" s="28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0"/>
      <c r="B409" s="10"/>
      <c r="C409" s="10"/>
      <c r="D409" s="64"/>
      <c r="E409" s="64"/>
      <c r="F409" s="10"/>
      <c r="G409" s="28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0"/>
      <c r="B410" s="10"/>
      <c r="C410" s="10"/>
      <c r="D410" s="64"/>
      <c r="E410" s="64"/>
      <c r="F410" s="10"/>
      <c r="G410" s="28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0"/>
      <c r="B411" s="10"/>
      <c r="C411" s="10"/>
      <c r="D411" s="64"/>
      <c r="E411" s="64"/>
      <c r="F411" s="10"/>
      <c r="G411" s="28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0"/>
      <c r="B412" s="10"/>
      <c r="C412" s="10"/>
      <c r="D412" s="64"/>
      <c r="E412" s="64"/>
      <c r="F412" s="10"/>
      <c r="G412" s="28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0"/>
      <c r="B413" s="10"/>
      <c r="C413" s="10"/>
      <c r="D413" s="64"/>
      <c r="E413" s="64"/>
      <c r="F413" s="10"/>
      <c r="G413" s="28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0"/>
      <c r="B414" s="10"/>
      <c r="C414" s="10"/>
      <c r="D414" s="64"/>
      <c r="E414" s="64"/>
      <c r="F414" s="10"/>
      <c r="G414" s="28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0"/>
      <c r="B415" s="10"/>
      <c r="C415" s="10"/>
      <c r="D415" s="64"/>
      <c r="E415" s="64"/>
      <c r="F415" s="10"/>
      <c r="G415" s="28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0"/>
      <c r="B416" s="10"/>
      <c r="C416" s="10"/>
      <c r="D416" s="64"/>
      <c r="E416" s="64"/>
      <c r="F416" s="10"/>
      <c r="G416" s="28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0"/>
      <c r="B417" s="10"/>
      <c r="C417" s="10"/>
      <c r="D417" s="64"/>
      <c r="E417" s="64"/>
      <c r="F417" s="10"/>
      <c r="G417" s="28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0"/>
      <c r="B418" s="10"/>
      <c r="C418" s="10"/>
      <c r="D418" s="64"/>
      <c r="E418" s="64"/>
      <c r="F418" s="10"/>
      <c r="G418" s="28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0"/>
      <c r="B419" s="10"/>
      <c r="C419" s="10"/>
      <c r="D419" s="64"/>
      <c r="E419" s="64"/>
      <c r="F419" s="10"/>
      <c r="G419" s="28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0"/>
      <c r="B420" s="10"/>
      <c r="C420" s="10"/>
      <c r="D420" s="64"/>
      <c r="E420" s="64"/>
      <c r="F420" s="10"/>
      <c r="G420" s="28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0"/>
      <c r="B421" s="10"/>
      <c r="C421" s="10"/>
      <c r="D421" s="64"/>
      <c r="E421" s="64"/>
      <c r="F421" s="10"/>
      <c r="G421" s="28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0"/>
      <c r="B422" s="10"/>
      <c r="C422" s="10"/>
      <c r="D422" s="64"/>
      <c r="E422" s="64"/>
      <c r="F422" s="10"/>
      <c r="G422" s="28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0"/>
      <c r="B423" s="10"/>
      <c r="C423" s="10"/>
      <c r="D423" s="64"/>
      <c r="E423" s="64"/>
      <c r="F423" s="10"/>
      <c r="G423" s="28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0"/>
      <c r="B424" s="10"/>
      <c r="C424" s="10"/>
      <c r="D424" s="64"/>
      <c r="E424" s="64"/>
      <c r="F424" s="10"/>
      <c r="G424" s="28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0"/>
      <c r="B425" s="10"/>
      <c r="C425" s="10"/>
      <c r="D425" s="64"/>
      <c r="E425" s="64"/>
      <c r="F425" s="10"/>
      <c r="G425" s="28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0"/>
      <c r="B426" s="10"/>
      <c r="C426" s="10"/>
      <c r="D426" s="64"/>
      <c r="E426" s="64"/>
      <c r="F426" s="10"/>
      <c r="G426" s="28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0"/>
      <c r="B427" s="10"/>
      <c r="C427" s="10"/>
      <c r="D427" s="64"/>
      <c r="E427" s="64"/>
      <c r="F427" s="10"/>
      <c r="G427" s="28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0"/>
      <c r="B428" s="10"/>
      <c r="C428" s="10"/>
      <c r="D428" s="64"/>
      <c r="E428" s="64"/>
      <c r="F428" s="10"/>
      <c r="G428" s="28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0"/>
      <c r="B429" s="10"/>
      <c r="C429" s="10"/>
      <c r="D429" s="64"/>
      <c r="E429" s="64"/>
      <c r="F429" s="10"/>
      <c r="G429" s="28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0"/>
      <c r="B430" s="10"/>
      <c r="C430" s="10"/>
      <c r="D430" s="64"/>
      <c r="E430" s="64"/>
      <c r="F430" s="10"/>
      <c r="G430" s="28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0"/>
      <c r="B431" s="10"/>
      <c r="C431" s="10"/>
      <c r="D431" s="64"/>
      <c r="E431" s="64"/>
      <c r="F431" s="10"/>
      <c r="G431" s="28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0"/>
      <c r="B432" s="10"/>
      <c r="C432" s="10"/>
      <c r="D432" s="64"/>
      <c r="E432" s="64"/>
      <c r="F432" s="10"/>
      <c r="G432" s="28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0"/>
      <c r="B433" s="10"/>
      <c r="C433" s="10"/>
      <c r="D433" s="64"/>
      <c r="E433" s="64"/>
      <c r="F433" s="10"/>
      <c r="G433" s="28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0"/>
      <c r="B434" s="10"/>
      <c r="C434" s="10"/>
      <c r="D434" s="64"/>
      <c r="E434" s="64"/>
      <c r="F434" s="10"/>
      <c r="G434" s="28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0"/>
      <c r="B435" s="10"/>
      <c r="C435" s="10"/>
      <c r="D435" s="64"/>
      <c r="E435" s="64"/>
      <c r="F435" s="10"/>
      <c r="G435" s="28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0"/>
      <c r="B436" s="10"/>
      <c r="C436" s="10"/>
      <c r="D436" s="64"/>
      <c r="E436" s="64"/>
      <c r="F436" s="10"/>
      <c r="G436" s="28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0"/>
      <c r="B437" s="10"/>
      <c r="C437" s="10"/>
      <c r="D437" s="64"/>
      <c r="E437" s="64"/>
      <c r="F437" s="10"/>
      <c r="G437" s="28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0"/>
      <c r="B438" s="10"/>
      <c r="C438" s="10"/>
      <c r="D438" s="64"/>
      <c r="E438" s="64"/>
      <c r="F438" s="10"/>
      <c r="G438" s="28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0"/>
      <c r="B439" s="10"/>
      <c r="C439" s="10"/>
      <c r="D439" s="64"/>
      <c r="E439" s="64"/>
      <c r="F439" s="10"/>
      <c r="G439" s="28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0"/>
      <c r="B440" s="10"/>
      <c r="C440" s="10"/>
      <c r="D440" s="64"/>
      <c r="E440" s="64"/>
      <c r="F440" s="10"/>
      <c r="G440" s="28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0"/>
      <c r="B441" s="10"/>
      <c r="C441" s="10"/>
      <c r="D441" s="64"/>
      <c r="E441" s="64"/>
      <c r="F441" s="10"/>
      <c r="G441" s="28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0"/>
      <c r="B442" s="10"/>
      <c r="C442" s="10"/>
      <c r="D442" s="64"/>
      <c r="E442" s="64"/>
      <c r="F442" s="10"/>
      <c r="G442" s="28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0"/>
      <c r="B443" s="10"/>
      <c r="C443" s="10"/>
      <c r="D443" s="64"/>
      <c r="E443" s="64"/>
      <c r="F443" s="10"/>
      <c r="G443" s="28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0"/>
      <c r="B444" s="10"/>
      <c r="C444" s="10"/>
      <c r="D444" s="64"/>
      <c r="E444" s="64"/>
      <c r="F444" s="10"/>
      <c r="G444" s="28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0"/>
      <c r="B445" s="10"/>
      <c r="C445" s="10"/>
      <c r="D445" s="64"/>
      <c r="E445" s="64"/>
      <c r="F445" s="10"/>
      <c r="G445" s="28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0"/>
      <c r="B446" s="10"/>
      <c r="C446" s="10"/>
      <c r="D446" s="64"/>
      <c r="E446" s="64"/>
      <c r="F446" s="10"/>
      <c r="G446" s="28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0"/>
      <c r="B447" s="10"/>
      <c r="C447" s="10"/>
      <c r="D447" s="64"/>
      <c r="E447" s="64"/>
      <c r="F447" s="10"/>
      <c r="G447" s="28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0"/>
      <c r="B448" s="10"/>
      <c r="C448" s="10"/>
      <c r="D448" s="64"/>
      <c r="E448" s="64"/>
      <c r="F448" s="10"/>
      <c r="G448" s="28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0"/>
      <c r="B449" s="10"/>
      <c r="C449" s="10"/>
      <c r="D449" s="64"/>
      <c r="E449" s="64"/>
      <c r="F449" s="10"/>
      <c r="G449" s="28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0"/>
      <c r="B450" s="10"/>
      <c r="C450" s="10"/>
      <c r="D450" s="64"/>
      <c r="E450" s="64"/>
      <c r="F450" s="10"/>
      <c r="G450" s="28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0"/>
      <c r="B451" s="10"/>
      <c r="C451" s="10"/>
      <c r="D451" s="64"/>
      <c r="E451" s="64"/>
      <c r="F451" s="10"/>
      <c r="G451" s="28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0"/>
      <c r="B452" s="10"/>
      <c r="C452" s="10"/>
      <c r="D452" s="64"/>
      <c r="E452" s="64"/>
      <c r="F452" s="10"/>
      <c r="G452" s="28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0"/>
      <c r="B453" s="10"/>
      <c r="C453" s="10"/>
      <c r="D453" s="64"/>
      <c r="E453" s="64"/>
      <c r="F453" s="10"/>
      <c r="G453" s="28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0"/>
      <c r="B454" s="10"/>
      <c r="C454" s="10"/>
      <c r="D454" s="64"/>
      <c r="E454" s="64"/>
      <c r="F454" s="10"/>
      <c r="G454" s="28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0"/>
      <c r="B455" s="10"/>
      <c r="C455" s="10"/>
      <c r="D455" s="64"/>
      <c r="E455" s="64"/>
      <c r="F455" s="10"/>
      <c r="G455" s="28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0"/>
      <c r="B456" s="10"/>
      <c r="C456" s="10"/>
      <c r="D456" s="64"/>
      <c r="E456" s="64"/>
      <c r="F456" s="10"/>
      <c r="G456" s="28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0"/>
      <c r="B457" s="10"/>
      <c r="C457" s="10"/>
      <c r="D457" s="64"/>
      <c r="E457" s="64"/>
      <c r="F457" s="10"/>
      <c r="G457" s="28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0"/>
      <c r="B458" s="10"/>
      <c r="C458" s="10"/>
      <c r="D458" s="64"/>
      <c r="E458" s="64"/>
      <c r="F458" s="10"/>
      <c r="G458" s="28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0"/>
      <c r="B459" s="10"/>
      <c r="C459" s="10"/>
      <c r="D459" s="64"/>
      <c r="E459" s="64"/>
      <c r="F459" s="10"/>
      <c r="G459" s="28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0"/>
      <c r="B460" s="10"/>
      <c r="C460" s="10"/>
      <c r="D460" s="64"/>
      <c r="E460" s="64"/>
      <c r="F460" s="10"/>
      <c r="G460" s="28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0"/>
      <c r="B461" s="10"/>
      <c r="C461" s="10"/>
      <c r="D461" s="64"/>
      <c r="E461" s="64"/>
      <c r="F461" s="10"/>
      <c r="G461" s="28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0"/>
      <c r="B462" s="10"/>
      <c r="C462" s="10"/>
      <c r="D462" s="64"/>
      <c r="E462" s="64"/>
      <c r="F462" s="10"/>
      <c r="G462" s="28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0"/>
      <c r="B463" s="10"/>
      <c r="C463" s="10"/>
      <c r="D463" s="64"/>
      <c r="E463" s="64"/>
      <c r="F463" s="10"/>
      <c r="G463" s="28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0"/>
      <c r="B464" s="10"/>
      <c r="C464" s="10"/>
      <c r="D464" s="64"/>
      <c r="E464" s="64"/>
      <c r="F464" s="10"/>
      <c r="G464" s="28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0"/>
      <c r="B465" s="10"/>
      <c r="C465" s="10"/>
      <c r="D465" s="64"/>
      <c r="E465" s="64"/>
      <c r="F465" s="10"/>
      <c r="G465" s="28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0"/>
      <c r="B466" s="10"/>
      <c r="C466" s="10"/>
      <c r="D466" s="64"/>
      <c r="E466" s="64"/>
      <c r="F466" s="10"/>
      <c r="G466" s="28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0"/>
      <c r="B467" s="10"/>
      <c r="C467" s="10"/>
      <c r="D467" s="64"/>
      <c r="E467" s="64"/>
      <c r="F467" s="10"/>
      <c r="G467" s="28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0"/>
      <c r="B468" s="10"/>
      <c r="C468" s="10"/>
      <c r="D468" s="64"/>
      <c r="E468" s="64"/>
      <c r="F468" s="10"/>
      <c r="G468" s="28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0"/>
      <c r="B469" s="10"/>
      <c r="C469" s="10"/>
      <c r="D469" s="64"/>
      <c r="E469" s="64"/>
      <c r="F469" s="10"/>
      <c r="G469" s="28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0"/>
      <c r="B470" s="10"/>
      <c r="C470" s="10"/>
      <c r="D470" s="64"/>
      <c r="E470" s="64"/>
      <c r="F470" s="10"/>
      <c r="G470" s="28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0"/>
      <c r="B471" s="10"/>
      <c r="C471" s="10"/>
      <c r="D471" s="64"/>
      <c r="E471" s="64"/>
      <c r="F471" s="10"/>
      <c r="G471" s="28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0"/>
      <c r="B472" s="10"/>
      <c r="C472" s="10"/>
      <c r="D472" s="64"/>
      <c r="E472" s="64"/>
      <c r="F472" s="10"/>
      <c r="G472" s="28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0"/>
      <c r="B473" s="10"/>
      <c r="C473" s="10"/>
      <c r="D473" s="64"/>
      <c r="E473" s="64"/>
      <c r="F473" s="10"/>
      <c r="G473" s="28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0"/>
      <c r="B474" s="10"/>
      <c r="C474" s="10"/>
      <c r="D474" s="64"/>
      <c r="E474" s="64"/>
      <c r="F474" s="10"/>
      <c r="G474" s="28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0"/>
      <c r="B475" s="10"/>
      <c r="C475" s="10"/>
      <c r="D475" s="64"/>
      <c r="E475" s="64"/>
      <c r="F475" s="10"/>
      <c r="G475" s="28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0"/>
      <c r="B476" s="10"/>
      <c r="C476" s="10"/>
      <c r="D476" s="64"/>
      <c r="E476" s="64"/>
      <c r="F476" s="10"/>
      <c r="G476" s="28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0"/>
      <c r="B477" s="10"/>
      <c r="C477" s="10"/>
      <c r="D477" s="64"/>
      <c r="E477" s="64"/>
      <c r="F477" s="10"/>
      <c r="G477" s="28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0"/>
      <c r="B478" s="10"/>
      <c r="C478" s="10"/>
      <c r="D478" s="64"/>
      <c r="E478" s="64"/>
      <c r="F478" s="10"/>
      <c r="G478" s="28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0"/>
      <c r="B479" s="10"/>
      <c r="C479" s="10"/>
      <c r="D479" s="64"/>
      <c r="E479" s="64"/>
      <c r="F479" s="10"/>
      <c r="G479" s="28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0"/>
      <c r="B480" s="10"/>
      <c r="C480" s="10"/>
      <c r="D480" s="64"/>
      <c r="E480" s="64"/>
      <c r="F480" s="10"/>
      <c r="G480" s="28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0"/>
      <c r="B481" s="10"/>
      <c r="C481" s="10"/>
      <c r="D481" s="64"/>
      <c r="E481" s="64"/>
      <c r="F481" s="10"/>
      <c r="G481" s="28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0"/>
      <c r="B482" s="10"/>
      <c r="C482" s="10"/>
      <c r="D482" s="64"/>
      <c r="E482" s="64"/>
      <c r="F482" s="10"/>
      <c r="G482" s="28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0"/>
      <c r="B483" s="10"/>
      <c r="C483" s="10"/>
      <c r="D483" s="64"/>
      <c r="E483" s="64"/>
      <c r="F483" s="10"/>
      <c r="G483" s="28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0"/>
      <c r="B484" s="10"/>
      <c r="C484" s="10"/>
      <c r="D484" s="64"/>
      <c r="E484" s="64"/>
      <c r="F484" s="10"/>
      <c r="G484" s="28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0"/>
      <c r="B485" s="10"/>
      <c r="C485" s="10"/>
      <c r="D485" s="64"/>
      <c r="E485" s="64"/>
      <c r="F485" s="10"/>
      <c r="G485" s="28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0"/>
      <c r="B486" s="10"/>
      <c r="C486" s="10"/>
      <c r="D486" s="64"/>
      <c r="E486" s="64"/>
      <c r="F486" s="10"/>
      <c r="G486" s="28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0"/>
      <c r="B487" s="10"/>
      <c r="C487" s="10"/>
      <c r="D487" s="64"/>
      <c r="E487" s="64"/>
      <c r="F487" s="10"/>
      <c r="G487" s="28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0"/>
      <c r="B488" s="10"/>
      <c r="C488" s="10"/>
      <c r="D488" s="64"/>
      <c r="E488" s="64"/>
      <c r="F488" s="10"/>
      <c r="G488" s="28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0"/>
      <c r="B489" s="10"/>
      <c r="C489" s="10"/>
      <c r="D489" s="64"/>
      <c r="E489" s="64"/>
      <c r="F489" s="10"/>
      <c r="G489" s="28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0"/>
      <c r="B490" s="10"/>
      <c r="C490" s="10"/>
      <c r="D490" s="64"/>
      <c r="E490" s="64"/>
      <c r="F490" s="10"/>
      <c r="G490" s="28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0"/>
      <c r="B491" s="10"/>
      <c r="C491" s="10"/>
      <c r="D491" s="64"/>
      <c r="E491" s="64"/>
      <c r="F491" s="10"/>
      <c r="G491" s="28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0"/>
      <c r="B492" s="10"/>
      <c r="C492" s="10"/>
      <c r="D492" s="64"/>
      <c r="E492" s="64"/>
      <c r="F492" s="10"/>
      <c r="G492" s="28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0"/>
      <c r="B493" s="10"/>
      <c r="C493" s="10"/>
      <c r="D493" s="64"/>
      <c r="E493" s="64"/>
      <c r="F493" s="10"/>
      <c r="G493" s="28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0"/>
      <c r="B494" s="10"/>
      <c r="C494" s="10"/>
      <c r="D494" s="64"/>
      <c r="E494" s="64"/>
      <c r="F494" s="10"/>
      <c r="G494" s="28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0"/>
      <c r="B495" s="10"/>
      <c r="C495" s="10"/>
      <c r="D495" s="64"/>
      <c r="E495" s="64"/>
      <c r="F495" s="10"/>
      <c r="G495" s="28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0"/>
      <c r="B496" s="10"/>
      <c r="C496" s="10"/>
      <c r="D496" s="64"/>
      <c r="E496" s="64"/>
      <c r="F496" s="10"/>
      <c r="G496" s="28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0"/>
      <c r="B497" s="10"/>
      <c r="C497" s="10"/>
      <c r="D497" s="64"/>
      <c r="E497" s="64"/>
      <c r="F497" s="10"/>
      <c r="G497" s="28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0"/>
      <c r="B498" s="10"/>
      <c r="C498" s="10"/>
      <c r="D498" s="64"/>
      <c r="E498" s="64"/>
      <c r="F498" s="10"/>
      <c r="G498" s="28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0"/>
      <c r="B499" s="10"/>
      <c r="C499" s="10"/>
      <c r="D499" s="64"/>
      <c r="E499" s="64"/>
      <c r="F499" s="10"/>
      <c r="G499" s="28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0"/>
      <c r="B500" s="10"/>
      <c r="C500" s="10"/>
      <c r="D500" s="64"/>
      <c r="E500" s="64"/>
      <c r="F500" s="10"/>
      <c r="G500" s="28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0"/>
      <c r="B501" s="10"/>
      <c r="C501" s="10"/>
      <c r="D501" s="64"/>
      <c r="E501" s="64"/>
      <c r="F501" s="10"/>
      <c r="G501" s="28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0"/>
      <c r="B502" s="10"/>
      <c r="C502" s="10"/>
      <c r="D502" s="64"/>
      <c r="E502" s="64"/>
      <c r="F502" s="10"/>
      <c r="G502" s="28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0"/>
      <c r="B503" s="10"/>
      <c r="C503" s="10"/>
      <c r="D503" s="64"/>
      <c r="E503" s="64"/>
      <c r="F503" s="10"/>
      <c r="G503" s="28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0"/>
      <c r="B504" s="10"/>
      <c r="C504" s="10"/>
      <c r="D504" s="64"/>
      <c r="E504" s="64"/>
      <c r="F504" s="10"/>
      <c r="G504" s="28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0"/>
      <c r="B505" s="10"/>
      <c r="C505" s="10"/>
      <c r="D505" s="64"/>
      <c r="E505" s="64"/>
      <c r="F505" s="10"/>
      <c r="G505" s="28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0"/>
      <c r="B506" s="10"/>
      <c r="C506" s="10"/>
      <c r="D506" s="64"/>
      <c r="E506" s="64"/>
      <c r="F506" s="10"/>
      <c r="G506" s="28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0"/>
      <c r="B507" s="10"/>
      <c r="C507" s="10"/>
      <c r="D507" s="64"/>
      <c r="E507" s="64"/>
      <c r="F507" s="10"/>
      <c r="G507" s="28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0"/>
      <c r="B508" s="10"/>
      <c r="C508" s="10"/>
      <c r="D508" s="64"/>
      <c r="E508" s="64"/>
      <c r="F508" s="10"/>
      <c r="G508" s="28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0"/>
      <c r="B509" s="10"/>
      <c r="C509" s="10"/>
      <c r="D509" s="64"/>
      <c r="E509" s="64"/>
      <c r="F509" s="10"/>
      <c r="G509" s="28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0"/>
      <c r="B510" s="10"/>
      <c r="C510" s="10"/>
      <c r="D510" s="64"/>
      <c r="E510" s="64"/>
      <c r="F510" s="10"/>
      <c r="G510" s="28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0"/>
      <c r="B511" s="10"/>
      <c r="C511" s="10"/>
      <c r="D511" s="64"/>
      <c r="E511" s="64"/>
      <c r="F511" s="10"/>
      <c r="G511" s="28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0"/>
      <c r="B512" s="10"/>
      <c r="C512" s="10"/>
      <c r="D512" s="64"/>
      <c r="E512" s="64"/>
      <c r="F512" s="10"/>
      <c r="G512" s="28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0"/>
      <c r="B513" s="10"/>
      <c r="C513" s="10"/>
      <c r="D513" s="64"/>
      <c r="E513" s="64"/>
      <c r="F513" s="10"/>
      <c r="G513" s="28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0"/>
      <c r="B514" s="10"/>
      <c r="C514" s="10"/>
      <c r="D514" s="64"/>
      <c r="E514" s="64"/>
      <c r="F514" s="10"/>
      <c r="G514" s="28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0"/>
      <c r="B515" s="10"/>
      <c r="C515" s="10"/>
      <c r="D515" s="64"/>
      <c r="E515" s="64"/>
      <c r="F515" s="10"/>
      <c r="G515" s="28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0"/>
      <c r="B516" s="10"/>
      <c r="C516" s="10"/>
      <c r="D516" s="64"/>
      <c r="E516" s="64"/>
      <c r="F516" s="10"/>
      <c r="G516" s="28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0"/>
      <c r="B517" s="10"/>
      <c r="C517" s="10"/>
      <c r="D517" s="64"/>
      <c r="E517" s="64"/>
      <c r="F517" s="10"/>
      <c r="G517" s="28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0"/>
      <c r="B518" s="10"/>
      <c r="C518" s="10"/>
      <c r="D518" s="64"/>
      <c r="E518" s="64"/>
      <c r="F518" s="10"/>
      <c r="G518" s="28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0"/>
      <c r="B519" s="10"/>
      <c r="C519" s="10"/>
      <c r="D519" s="64"/>
      <c r="E519" s="64"/>
      <c r="F519" s="10"/>
      <c r="G519" s="28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0"/>
      <c r="B520" s="10"/>
      <c r="C520" s="10"/>
      <c r="D520" s="64"/>
      <c r="E520" s="64"/>
      <c r="F520" s="10"/>
      <c r="G520" s="28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0"/>
      <c r="B521" s="10"/>
      <c r="C521" s="10"/>
      <c r="D521" s="64"/>
      <c r="E521" s="64"/>
      <c r="F521" s="10"/>
      <c r="G521" s="28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0"/>
      <c r="B522" s="10"/>
      <c r="C522" s="10"/>
      <c r="D522" s="64"/>
      <c r="E522" s="64"/>
      <c r="F522" s="10"/>
      <c r="G522" s="28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0"/>
      <c r="B523" s="10"/>
      <c r="C523" s="10"/>
      <c r="D523" s="64"/>
      <c r="E523" s="64"/>
      <c r="F523" s="10"/>
      <c r="G523" s="28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0"/>
      <c r="B524" s="10"/>
      <c r="C524" s="10"/>
      <c r="D524" s="64"/>
      <c r="E524" s="64"/>
      <c r="F524" s="10"/>
      <c r="G524" s="28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0"/>
      <c r="B525" s="10"/>
      <c r="C525" s="10"/>
      <c r="D525" s="64"/>
      <c r="E525" s="64"/>
      <c r="F525" s="10"/>
      <c r="G525" s="28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0"/>
      <c r="B526" s="10"/>
      <c r="C526" s="10"/>
      <c r="D526" s="64"/>
      <c r="E526" s="64"/>
      <c r="F526" s="10"/>
      <c r="G526" s="28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0"/>
      <c r="B527" s="10"/>
      <c r="C527" s="10"/>
      <c r="D527" s="64"/>
      <c r="E527" s="64"/>
      <c r="F527" s="10"/>
      <c r="G527" s="28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0"/>
      <c r="B528" s="10"/>
      <c r="C528" s="10"/>
      <c r="D528" s="64"/>
      <c r="E528" s="64"/>
      <c r="F528" s="10"/>
      <c r="G528" s="28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0"/>
      <c r="B529" s="10"/>
      <c r="C529" s="10"/>
      <c r="D529" s="64"/>
      <c r="E529" s="64"/>
      <c r="F529" s="10"/>
      <c r="G529" s="28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0"/>
      <c r="B530" s="10"/>
      <c r="C530" s="10"/>
      <c r="D530" s="64"/>
      <c r="E530" s="64"/>
      <c r="F530" s="10"/>
      <c r="G530" s="28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0"/>
      <c r="B531" s="10"/>
      <c r="C531" s="10"/>
      <c r="D531" s="64"/>
      <c r="E531" s="64"/>
      <c r="F531" s="10"/>
      <c r="G531" s="28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0"/>
      <c r="B532" s="10"/>
      <c r="C532" s="10"/>
      <c r="D532" s="64"/>
      <c r="E532" s="64"/>
      <c r="F532" s="10"/>
      <c r="G532" s="28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0"/>
      <c r="B533" s="10"/>
      <c r="C533" s="10"/>
      <c r="D533" s="64"/>
      <c r="E533" s="64"/>
      <c r="F533" s="10"/>
      <c r="G533" s="28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0"/>
      <c r="B534" s="10"/>
      <c r="C534" s="10"/>
      <c r="D534" s="64"/>
      <c r="E534" s="64"/>
      <c r="F534" s="10"/>
      <c r="G534" s="28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0"/>
      <c r="B535" s="10"/>
      <c r="C535" s="10"/>
      <c r="D535" s="64"/>
      <c r="E535" s="64"/>
      <c r="F535" s="10"/>
      <c r="G535" s="28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0"/>
      <c r="B536" s="10"/>
      <c r="C536" s="10"/>
      <c r="D536" s="64"/>
      <c r="E536" s="64"/>
      <c r="F536" s="10"/>
      <c r="G536" s="28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0"/>
      <c r="B537" s="10"/>
      <c r="C537" s="10"/>
      <c r="D537" s="64"/>
      <c r="E537" s="64"/>
      <c r="F537" s="10"/>
      <c r="G537" s="28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0"/>
      <c r="B538" s="10"/>
      <c r="C538" s="10"/>
      <c r="D538" s="64"/>
      <c r="E538" s="64"/>
      <c r="F538" s="10"/>
      <c r="G538" s="28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0"/>
      <c r="B539" s="10"/>
      <c r="C539" s="10"/>
      <c r="D539" s="64"/>
      <c r="E539" s="64"/>
      <c r="F539" s="10"/>
      <c r="G539" s="28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0"/>
      <c r="B540" s="10"/>
      <c r="C540" s="10"/>
      <c r="D540" s="64"/>
      <c r="E540" s="64"/>
      <c r="F540" s="10"/>
      <c r="G540" s="28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0"/>
      <c r="B541" s="10"/>
      <c r="C541" s="10"/>
      <c r="D541" s="64"/>
      <c r="E541" s="64"/>
      <c r="F541" s="10"/>
      <c r="G541" s="28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0"/>
      <c r="B542" s="10"/>
      <c r="C542" s="10"/>
      <c r="D542" s="64"/>
      <c r="E542" s="64"/>
      <c r="F542" s="10"/>
      <c r="G542" s="28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0"/>
      <c r="B543" s="10"/>
      <c r="C543" s="10"/>
      <c r="D543" s="64"/>
      <c r="E543" s="64"/>
      <c r="F543" s="10"/>
      <c r="G543" s="28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0"/>
      <c r="B544" s="10"/>
      <c r="C544" s="10"/>
      <c r="D544" s="64"/>
      <c r="E544" s="64"/>
      <c r="F544" s="10"/>
      <c r="G544" s="28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0"/>
      <c r="B545" s="10"/>
      <c r="C545" s="10"/>
      <c r="D545" s="64"/>
      <c r="E545" s="64"/>
      <c r="F545" s="10"/>
      <c r="G545" s="28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0"/>
      <c r="B546" s="10"/>
      <c r="C546" s="10"/>
      <c r="D546" s="64"/>
      <c r="E546" s="64"/>
      <c r="F546" s="10"/>
      <c r="G546" s="28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0"/>
      <c r="B547" s="10"/>
      <c r="C547" s="10"/>
      <c r="D547" s="64"/>
      <c r="E547" s="64"/>
      <c r="F547" s="10"/>
      <c r="G547" s="28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0"/>
      <c r="B548" s="10"/>
      <c r="C548" s="10"/>
      <c r="D548" s="64"/>
      <c r="E548" s="64"/>
      <c r="F548" s="10"/>
      <c r="G548" s="28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0"/>
      <c r="B549" s="10"/>
      <c r="C549" s="10"/>
      <c r="D549" s="64"/>
      <c r="E549" s="64"/>
      <c r="F549" s="10"/>
      <c r="G549" s="28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0"/>
      <c r="B550" s="10"/>
      <c r="C550" s="10"/>
      <c r="D550" s="64"/>
      <c r="E550" s="64"/>
      <c r="F550" s="10"/>
      <c r="G550" s="28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0"/>
      <c r="B551" s="10"/>
      <c r="C551" s="10"/>
      <c r="D551" s="64"/>
      <c r="E551" s="64"/>
      <c r="F551" s="10"/>
      <c r="G551" s="28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0"/>
      <c r="B552" s="10"/>
      <c r="C552" s="10"/>
      <c r="D552" s="64"/>
      <c r="E552" s="64"/>
      <c r="F552" s="10"/>
      <c r="G552" s="28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0"/>
      <c r="B553" s="10"/>
      <c r="C553" s="10"/>
      <c r="D553" s="64"/>
      <c r="E553" s="64"/>
      <c r="F553" s="10"/>
      <c r="G553" s="28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0"/>
      <c r="B554" s="10"/>
      <c r="C554" s="10"/>
      <c r="D554" s="64"/>
      <c r="E554" s="64"/>
      <c r="F554" s="10"/>
      <c r="G554" s="28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0"/>
      <c r="B555" s="10"/>
      <c r="C555" s="10"/>
      <c r="D555" s="64"/>
      <c r="E555" s="64"/>
      <c r="F555" s="10"/>
      <c r="G555" s="28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0"/>
      <c r="B556" s="10"/>
      <c r="C556" s="10"/>
      <c r="D556" s="64"/>
      <c r="E556" s="64"/>
      <c r="F556" s="10"/>
      <c r="G556" s="28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0"/>
      <c r="B557" s="10"/>
      <c r="C557" s="10"/>
      <c r="D557" s="64"/>
      <c r="E557" s="64"/>
      <c r="F557" s="10"/>
      <c r="G557" s="28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0"/>
      <c r="B558" s="10"/>
      <c r="C558" s="10"/>
      <c r="D558" s="64"/>
      <c r="E558" s="64"/>
      <c r="F558" s="10"/>
      <c r="G558" s="28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0"/>
      <c r="B559" s="10"/>
      <c r="C559" s="10"/>
      <c r="D559" s="64"/>
      <c r="E559" s="64"/>
      <c r="F559" s="10"/>
      <c r="G559" s="28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0"/>
      <c r="B560" s="10"/>
      <c r="C560" s="10"/>
      <c r="D560" s="64"/>
      <c r="E560" s="64"/>
      <c r="F560" s="10"/>
      <c r="G560" s="28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0"/>
      <c r="B561" s="10"/>
      <c r="C561" s="10"/>
      <c r="D561" s="64"/>
      <c r="E561" s="64"/>
      <c r="F561" s="10"/>
      <c r="G561" s="28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0"/>
      <c r="B562" s="10"/>
      <c r="C562" s="10"/>
      <c r="D562" s="64"/>
      <c r="E562" s="64"/>
      <c r="F562" s="10"/>
      <c r="G562" s="28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0"/>
      <c r="B563" s="10"/>
      <c r="C563" s="10"/>
      <c r="D563" s="64"/>
      <c r="E563" s="64"/>
      <c r="F563" s="10"/>
      <c r="G563" s="28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0"/>
      <c r="B564" s="10"/>
      <c r="C564" s="10"/>
      <c r="D564" s="64"/>
      <c r="E564" s="64"/>
      <c r="F564" s="10"/>
      <c r="G564" s="28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0"/>
      <c r="B565" s="10"/>
      <c r="C565" s="10"/>
      <c r="D565" s="64"/>
      <c r="E565" s="64"/>
      <c r="F565" s="10"/>
      <c r="G565" s="28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0"/>
      <c r="B566" s="10"/>
      <c r="C566" s="10"/>
      <c r="D566" s="64"/>
      <c r="E566" s="64"/>
      <c r="F566" s="10"/>
      <c r="G566" s="28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0"/>
      <c r="B567" s="10"/>
      <c r="C567" s="10"/>
      <c r="D567" s="64"/>
      <c r="E567" s="64"/>
      <c r="F567" s="10"/>
      <c r="G567" s="28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0"/>
      <c r="B568" s="10"/>
      <c r="C568" s="10"/>
      <c r="D568" s="64"/>
      <c r="E568" s="64"/>
      <c r="F568" s="10"/>
      <c r="G568" s="28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0"/>
      <c r="B569" s="10"/>
      <c r="C569" s="10"/>
      <c r="D569" s="64"/>
      <c r="E569" s="64"/>
      <c r="F569" s="10"/>
      <c r="G569" s="28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0"/>
      <c r="B570" s="10"/>
      <c r="C570" s="10"/>
      <c r="D570" s="64"/>
      <c r="E570" s="64"/>
      <c r="F570" s="10"/>
      <c r="G570" s="28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0"/>
      <c r="B571" s="10"/>
      <c r="C571" s="10"/>
      <c r="D571" s="64"/>
      <c r="E571" s="64"/>
      <c r="F571" s="10"/>
      <c r="G571" s="28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0"/>
      <c r="B572" s="10"/>
      <c r="C572" s="10"/>
      <c r="D572" s="64"/>
      <c r="E572" s="64"/>
      <c r="F572" s="10"/>
      <c r="G572" s="28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0"/>
      <c r="B573" s="10"/>
      <c r="C573" s="10"/>
      <c r="D573" s="64"/>
      <c r="E573" s="64"/>
      <c r="F573" s="10"/>
      <c r="G573" s="28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0"/>
      <c r="B574" s="10"/>
      <c r="C574" s="10"/>
      <c r="D574" s="64"/>
      <c r="E574" s="64"/>
      <c r="F574" s="10"/>
      <c r="G574" s="28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0"/>
      <c r="B575" s="10"/>
      <c r="C575" s="10"/>
      <c r="D575" s="64"/>
      <c r="E575" s="64"/>
      <c r="F575" s="10"/>
      <c r="G575" s="28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0"/>
      <c r="B576" s="10"/>
      <c r="C576" s="10"/>
      <c r="D576" s="64"/>
      <c r="E576" s="64"/>
      <c r="F576" s="10"/>
      <c r="G576" s="28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0"/>
      <c r="B577" s="10"/>
      <c r="C577" s="10"/>
      <c r="D577" s="64"/>
      <c r="E577" s="64"/>
      <c r="F577" s="10"/>
      <c r="G577" s="28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0"/>
      <c r="B578" s="10"/>
      <c r="C578" s="10"/>
      <c r="D578" s="64"/>
      <c r="E578" s="64"/>
      <c r="F578" s="10"/>
      <c r="G578" s="28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0"/>
      <c r="B579" s="10"/>
      <c r="C579" s="10"/>
      <c r="D579" s="64"/>
      <c r="E579" s="64"/>
      <c r="F579" s="10"/>
      <c r="G579" s="28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0"/>
      <c r="B580" s="10"/>
      <c r="C580" s="10"/>
      <c r="D580" s="64"/>
      <c r="E580" s="64"/>
      <c r="F580" s="10"/>
      <c r="G580" s="28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0"/>
      <c r="B581" s="10"/>
      <c r="C581" s="10"/>
      <c r="D581" s="64"/>
      <c r="E581" s="64"/>
      <c r="F581" s="10"/>
      <c r="G581" s="28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0"/>
      <c r="B582" s="10"/>
      <c r="C582" s="10"/>
      <c r="D582" s="64"/>
      <c r="E582" s="64"/>
      <c r="F582" s="10"/>
      <c r="G582" s="28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0"/>
      <c r="B583" s="10"/>
      <c r="C583" s="10"/>
      <c r="D583" s="64"/>
      <c r="E583" s="64"/>
      <c r="F583" s="10"/>
      <c r="G583" s="28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0"/>
      <c r="B584" s="10"/>
      <c r="C584" s="10"/>
      <c r="D584" s="64"/>
      <c r="E584" s="64"/>
      <c r="F584" s="10"/>
      <c r="G584" s="28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0"/>
      <c r="B585" s="10"/>
      <c r="C585" s="10"/>
      <c r="D585" s="64"/>
      <c r="E585" s="64"/>
      <c r="F585" s="10"/>
      <c r="G585" s="28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0"/>
      <c r="B586" s="10"/>
      <c r="C586" s="10"/>
      <c r="D586" s="64"/>
      <c r="E586" s="64"/>
      <c r="F586" s="10"/>
      <c r="G586" s="28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0"/>
      <c r="B587" s="10"/>
      <c r="C587" s="10"/>
      <c r="D587" s="64"/>
      <c r="E587" s="64"/>
      <c r="F587" s="10"/>
      <c r="G587" s="28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0"/>
      <c r="B588" s="10"/>
      <c r="C588" s="10"/>
      <c r="D588" s="64"/>
      <c r="E588" s="64"/>
      <c r="F588" s="10"/>
      <c r="G588" s="28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0"/>
      <c r="B589" s="10"/>
      <c r="C589" s="10"/>
      <c r="D589" s="64"/>
      <c r="E589" s="64"/>
      <c r="F589" s="10"/>
      <c r="G589" s="28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0"/>
      <c r="B590" s="10"/>
      <c r="C590" s="10"/>
      <c r="D590" s="64"/>
      <c r="E590" s="64"/>
      <c r="F590" s="10"/>
      <c r="G590" s="28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0"/>
      <c r="B591" s="10"/>
      <c r="C591" s="10"/>
      <c r="D591" s="64"/>
      <c r="E591" s="64"/>
      <c r="F591" s="10"/>
      <c r="G591" s="28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0"/>
      <c r="B592" s="10"/>
      <c r="C592" s="10"/>
      <c r="D592" s="64"/>
      <c r="E592" s="64"/>
      <c r="F592" s="10"/>
      <c r="G592" s="28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0"/>
      <c r="B593" s="10"/>
      <c r="C593" s="10"/>
      <c r="D593" s="64"/>
      <c r="E593" s="64"/>
      <c r="F593" s="10"/>
      <c r="G593" s="28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0"/>
      <c r="B594" s="10"/>
      <c r="C594" s="10"/>
      <c r="D594" s="64"/>
      <c r="E594" s="64"/>
      <c r="F594" s="10"/>
      <c r="G594" s="28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0"/>
      <c r="B595" s="10"/>
      <c r="C595" s="10"/>
      <c r="D595" s="64"/>
      <c r="E595" s="64"/>
      <c r="F595" s="10"/>
      <c r="G595" s="28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0"/>
      <c r="B596" s="10"/>
      <c r="C596" s="10"/>
      <c r="D596" s="64"/>
      <c r="E596" s="64"/>
      <c r="F596" s="10"/>
      <c r="G596" s="28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0"/>
      <c r="B597" s="10"/>
      <c r="C597" s="10"/>
      <c r="D597" s="64"/>
      <c r="E597" s="64"/>
      <c r="F597" s="10"/>
      <c r="G597" s="28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0"/>
      <c r="B598" s="10"/>
      <c r="C598" s="10"/>
      <c r="D598" s="64"/>
      <c r="E598" s="64"/>
      <c r="F598" s="10"/>
      <c r="G598" s="28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0"/>
      <c r="B599" s="10"/>
      <c r="C599" s="10"/>
      <c r="D599" s="64"/>
      <c r="E599" s="64"/>
      <c r="F599" s="10"/>
      <c r="G599" s="28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0"/>
      <c r="B600" s="10"/>
      <c r="C600" s="10"/>
      <c r="D600" s="64"/>
      <c r="E600" s="64"/>
      <c r="F600" s="10"/>
      <c r="G600" s="28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0"/>
      <c r="B601" s="10"/>
      <c r="C601" s="10"/>
      <c r="D601" s="64"/>
      <c r="E601" s="64"/>
      <c r="F601" s="10"/>
      <c r="G601" s="28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0"/>
      <c r="B602" s="10"/>
      <c r="C602" s="10"/>
      <c r="D602" s="64"/>
      <c r="E602" s="64"/>
      <c r="F602" s="10"/>
      <c r="G602" s="28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0"/>
      <c r="B603" s="10"/>
      <c r="C603" s="10"/>
      <c r="D603" s="64"/>
      <c r="E603" s="64"/>
      <c r="F603" s="10"/>
      <c r="G603" s="28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0"/>
      <c r="B604" s="10"/>
      <c r="C604" s="10"/>
      <c r="D604" s="64"/>
      <c r="E604" s="64"/>
      <c r="F604" s="10"/>
      <c r="G604" s="28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0"/>
      <c r="B605" s="10"/>
      <c r="C605" s="10"/>
      <c r="D605" s="64"/>
      <c r="E605" s="64"/>
      <c r="F605" s="10"/>
      <c r="G605" s="28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0"/>
      <c r="B606" s="10"/>
      <c r="C606" s="10"/>
      <c r="D606" s="64"/>
      <c r="E606" s="64"/>
      <c r="F606" s="10"/>
      <c r="G606" s="28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0"/>
      <c r="B607" s="10"/>
      <c r="C607" s="10"/>
      <c r="D607" s="64"/>
      <c r="E607" s="64"/>
      <c r="F607" s="10"/>
      <c r="G607" s="28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0"/>
      <c r="B608" s="10"/>
      <c r="C608" s="10"/>
      <c r="D608" s="64"/>
      <c r="E608" s="64"/>
      <c r="F608" s="10"/>
      <c r="G608" s="28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0"/>
      <c r="B609" s="10"/>
      <c r="C609" s="10"/>
      <c r="D609" s="64"/>
      <c r="E609" s="64"/>
      <c r="F609" s="10"/>
      <c r="G609" s="28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0"/>
      <c r="B610" s="10"/>
      <c r="C610" s="10"/>
      <c r="D610" s="64"/>
      <c r="E610" s="64"/>
      <c r="F610" s="10"/>
      <c r="G610" s="28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0"/>
      <c r="B611" s="10"/>
      <c r="C611" s="10"/>
      <c r="D611" s="64"/>
      <c r="E611" s="64"/>
      <c r="F611" s="10"/>
      <c r="G611" s="28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0"/>
      <c r="B612" s="10"/>
      <c r="C612" s="10"/>
      <c r="D612" s="64"/>
      <c r="E612" s="64"/>
      <c r="F612" s="10"/>
      <c r="G612" s="28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0"/>
      <c r="B613" s="10"/>
      <c r="C613" s="10"/>
      <c r="D613" s="64"/>
      <c r="E613" s="64"/>
      <c r="F613" s="10"/>
      <c r="G613" s="28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0"/>
      <c r="B614" s="10"/>
      <c r="C614" s="10"/>
      <c r="D614" s="64"/>
      <c r="E614" s="64"/>
      <c r="F614" s="10"/>
      <c r="G614" s="28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0"/>
      <c r="B615" s="10"/>
      <c r="C615" s="10"/>
      <c r="D615" s="64"/>
      <c r="E615" s="64"/>
      <c r="F615" s="10"/>
      <c r="G615" s="28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0"/>
      <c r="B616" s="10"/>
      <c r="C616" s="10"/>
      <c r="D616" s="64"/>
      <c r="E616" s="64"/>
      <c r="F616" s="10"/>
      <c r="G616" s="28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0"/>
      <c r="B617" s="10"/>
      <c r="C617" s="10"/>
      <c r="D617" s="64"/>
      <c r="E617" s="64"/>
      <c r="F617" s="10"/>
      <c r="G617" s="28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0"/>
      <c r="B618" s="10"/>
      <c r="C618" s="10"/>
      <c r="D618" s="64"/>
      <c r="E618" s="64"/>
      <c r="F618" s="10"/>
      <c r="G618" s="28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0"/>
      <c r="B619" s="10"/>
      <c r="C619" s="10"/>
      <c r="D619" s="64"/>
      <c r="E619" s="64"/>
      <c r="F619" s="10"/>
      <c r="G619" s="28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0"/>
      <c r="B620" s="10"/>
      <c r="C620" s="10"/>
      <c r="D620" s="64"/>
      <c r="E620" s="64"/>
      <c r="F620" s="10"/>
      <c r="G620" s="28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0"/>
      <c r="B621" s="10"/>
      <c r="C621" s="10"/>
      <c r="D621" s="64"/>
      <c r="E621" s="64"/>
      <c r="F621" s="10"/>
      <c r="G621" s="28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0"/>
      <c r="B622" s="10"/>
      <c r="C622" s="10"/>
      <c r="D622" s="64"/>
      <c r="E622" s="64"/>
      <c r="F622" s="10"/>
      <c r="G622" s="28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0"/>
      <c r="B623" s="10"/>
      <c r="C623" s="10"/>
      <c r="D623" s="64"/>
      <c r="E623" s="64"/>
      <c r="F623" s="10"/>
      <c r="G623" s="28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0"/>
      <c r="B624" s="10"/>
      <c r="C624" s="10"/>
      <c r="D624" s="64"/>
      <c r="E624" s="64"/>
      <c r="F624" s="10"/>
      <c r="G624" s="28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0"/>
      <c r="B625" s="10"/>
      <c r="C625" s="10"/>
      <c r="D625" s="64"/>
      <c r="E625" s="64"/>
      <c r="F625" s="10"/>
      <c r="G625" s="28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0"/>
      <c r="B626" s="10"/>
      <c r="C626" s="10"/>
      <c r="D626" s="64"/>
      <c r="E626" s="64"/>
      <c r="F626" s="10"/>
      <c r="G626" s="28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0"/>
      <c r="B627" s="10"/>
      <c r="C627" s="10"/>
      <c r="D627" s="64"/>
      <c r="E627" s="64"/>
      <c r="F627" s="10"/>
      <c r="G627" s="28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0"/>
      <c r="B628" s="10"/>
      <c r="C628" s="10"/>
      <c r="D628" s="64"/>
      <c r="E628" s="64"/>
      <c r="F628" s="10"/>
      <c r="G628" s="28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0"/>
      <c r="B629" s="10"/>
      <c r="C629" s="10"/>
      <c r="D629" s="64"/>
      <c r="E629" s="64"/>
      <c r="F629" s="10"/>
      <c r="G629" s="28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0"/>
      <c r="B630" s="10"/>
      <c r="C630" s="10"/>
      <c r="D630" s="64"/>
      <c r="E630" s="64"/>
      <c r="F630" s="10"/>
      <c r="G630" s="28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0"/>
      <c r="B631" s="10"/>
      <c r="C631" s="10"/>
      <c r="D631" s="64"/>
      <c r="E631" s="64"/>
      <c r="F631" s="10"/>
      <c r="G631" s="28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0"/>
      <c r="B632" s="10"/>
      <c r="C632" s="10"/>
      <c r="D632" s="64"/>
      <c r="E632" s="64"/>
      <c r="F632" s="10"/>
      <c r="G632" s="28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0"/>
      <c r="B633" s="10"/>
      <c r="C633" s="10"/>
      <c r="D633" s="64"/>
      <c r="E633" s="64"/>
      <c r="F633" s="10"/>
      <c r="G633" s="28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0"/>
      <c r="B634" s="10"/>
      <c r="C634" s="10"/>
      <c r="D634" s="64"/>
      <c r="E634" s="64"/>
      <c r="F634" s="10"/>
      <c r="G634" s="28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0"/>
      <c r="B635" s="10"/>
      <c r="C635" s="10"/>
      <c r="D635" s="64"/>
      <c r="E635" s="64"/>
      <c r="F635" s="10"/>
      <c r="G635" s="28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0"/>
      <c r="B636" s="10"/>
      <c r="C636" s="10"/>
      <c r="D636" s="64"/>
      <c r="E636" s="64"/>
      <c r="F636" s="10"/>
      <c r="G636" s="28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0"/>
      <c r="B637" s="10"/>
      <c r="C637" s="10"/>
      <c r="D637" s="64"/>
      <c r="E637" s="64"/>
      <c r="F637" s="10"/>
      <c r="G637" s="28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0"/>
      <c r="B638" s="10"/>
      <c r="C638" s="10"/>
      <c r="D638" s="64"/>
      <c r="E638" s="64"/>
      <c r="F638" s="10"/>
      <c r="G638" s="28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0"/>
      <c r="B639" s="10"/>
      <c r="C639" s="10"/>
      <c r="D639" s="64"/>
      <c r="E639" s="64"/>
      <c r="F639" s="10"/>
      <c r="G639" s="28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0"/>
      <c r="B640" s="10"/>
      <c r="C640" s="10"/>
      <c r="D640" s="64"/>
      <c r="E640" s="64"/>
      <c r="F640" s="10"/>
      <c r="G640" s="28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0"/>
      <c r="B641" s="10"/>
      <c r="C641" s="10"/>
      <c r="D641" s="64"/>
      <c r="E641" s="64"/>
      <c r="F641" s="10"/>
      <c r="G641" s="28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0"/>
      <c r="B642" s="10"/>
      <c r="C642" s="10"/>
      <c r="D642" s="64"/>
      <c r="E642" s="64"/>
      <c r="F642" s="10"/>
      <c r="G642" s="28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0"/>
      <c r="B643" s="10"/>
      <c r="C643" s="10"/>
      <c r="D643" s="64"/>
      <c r="E643" s="64"/>
      <c r="F643" s="10"/>
      <c r="G643" s="28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0"/>
      <c r="B644" s="10"/>
      <c r="C644" s="10"/>
      <c r="D644" s="64"/>
      <c r="E644" s="64"/>
      <c r="F644" s="10"/>
      <c r="G644" s="28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0"/>
      <c r="B645" s="10"/>
      <c r="C645" s="10"/>
      <c r="D645" s="64"/>
      <c r="E645" s="64"/>
      <c r="F645" s="10"/>
      <c r="G645" s="28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0"/>
      <c r="B646" s="10"/>
      <c r="C646" s="10"/>
      <c r="D646" s="64"/>
      <c r="E646" s="64"/>
      <c r="F646" s="10"/>
      <c r="G646" s="28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0"/>
      <c r="B647" s="10"/>
      <c r="C647" s="10"/>
      <c r="D647" s="64"/>
      <c r="E647" s="64"/>
      <c r="F647" s="10"/>
      <c r="G647" s="28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0"/>
      <c r="B648" s="10"/>
      <c r="C648" s="10"/>
      <c r="D648" s="64"/>
      <c r="E648" s="64"/>
      <c r="F648" s="10"/>
      <c r="G648" s="28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0"/>
      <c r="B649" s="10"/>
      <c r="C649" s="10"/>
      <c r="D649" s="64"/>
      <c r="E649" s="64"/>
      <c r="F649" s="10"/>
      <c r="G649" s="28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0"/>
      <c r="B650" s="10"/>
      <c r="C650" s="10"/>
      <c r="D650" s="64"/>
      <c r="E650" s="64"/>
      <c r="F650" s="10"/>
      <c r="G650" s="28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0"/>
      <c r="B651" s="10"/>
      <c r="C651" s="10"/>
      <c r="D651" s="64"/>
      <c r="E651" s="64"/>
      <c r="F651" s="10"/>
      <c r="G651" s="28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0"/>
      <c r="B652" s="10"/>
      <c r="C652" s="10"/>
      <c r="D652" s="64"/>
      <c r="E652" s="64"/>
      <c r="F652" s="10"/>
      <c r="G652" s="28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0"/>
      <c r="B653" s="10"/>
      <c r="C653" s="10"/>
      <c r="D653" s="64"/>
      <c r="E653" s="64"/>
      <c r="F653" s="10"/>
      <c r="G653" s="28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0"/>
      <c r="B654" s="10"/>
      <c r="C654" s="10"/>
      <c r="D654" s="64"/>
      <c r="E654" s="64"/>
      <c r="F654" s="10"/>
      <c r="G654" s="28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0"/>
      <c r="B655" s="10"/>
      <c r="C655" s="10"/>
      <c r="D655" s="64"/>
      <c r="E655" s="64"/>
      <c r="F655" s="10"/>
      <c r="G655" s="28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0"/>
      <c r="B656" s="10"/>
      <c r="C656" s="10"/>
      <c r="D656" s="64"/>
      <c r="E656" s="64"/>
      <c r="F656" s="10"/>
      <c r="G656" s="28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0"/>
      <c r="B657" s="10"/>
      <c r="C657" s="10"/>
      <c r="D657" s="64"/>
      <c r="E657" s="64"/>
      <c r="F657" s="10"/>
      <c r="G657" s="28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0"/>
      <c r="B658" s="10"/>
      <c r="C658" s="10"/>
      <c r="D658" s="64"/>
      <c r="E658" s="64"/>
      <c r="F658" s="10"/>
      <c r="G658" s="28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0"/>
      <c r="B659" s="10"/>
      <c r="C659" s="10"/>
      <c r="D659" s="64"/>
      <c r="E659" s="64"/>
      <c r="F659" s="10"/>
      <c r="G659" s="28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0"/>
      <c r="B660" s="10"/>
      <c r="C660" s="10"/>
      <c r="D660" s="64"/>
      <c r="E660" s="64"/>
      <c r="F660" s="10"/>
      <c r="G660" s="28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0"/>
      <c r="B661" s="10"/>
      <c r="C661" s="10"/>
      <c r="D661" s="64"/>
      <c r="E661" s="64"/>
      <c r="F661" s="10"/>
      <c r="G661" s="28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0"/>
      <c r="B662" s="10"/>
      <c r="C662" s="10"/>
      <c r="D662" s="64"/>
      <c r="E662" s="64"/>
      <c r="F662" s="10"/>
      <c r="G662" s="28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0"/>
      <c r="B663" s="10"/>
      <c r="C663" s="10"/>
      <c r="D663" s="64"/>
      <c r="E663" s="64"/>
      <c r="F663" s="10"/>
      <c r="G663" s="28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0"/>
      <c r="B664" s="10"/>
      <c r="C664" s="10"/>
      <c r="D664" s="64"/>
      <c r="E664" s="64"/>
      <c r="F664" s="10"/>
      <c r="G664" s="28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0"/>
      <c r="B665" s="10"/>
      <c r="C665" s="10"/>
      <c r="D665" s="64"/>
      <c r="E665" s="64"/>
      <c r="F665" s="10"/>
      <c r="G665" s="28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0"/>
      <c r="B666" s="10"/>
      <c r="C666" s="10"/>
      <c r="D666" s="64"/>
      <c r="E666" s="64"/>
      <c r="F666" s="10"/>
      <c r="G666" s="28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0"/>
      <c r="B667" s="10"/>
      <c r="C667" s="10"/>
      <c r="D667" s="64"/>
      <c r="E667" s="64"/>
      <c r="F667" s="10"/>
      <c r="G667" s="28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0"/>
      <c r="B668" s="10"/>
      <c r="C668" s="10"/>
      <c r="D668" s="64"/>
      <c r="E668" s="64"/>
      <c r="F668" s="10"/>
      <c r="G668" s="28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0"/>
      <c r="B669" s="10"/>
      <c r="C669" s="10"/>
      <c r="D669" s="64"/>
      <c r="E669" s="64"/>
      <c r="F669" s="10"/>
      <c r="G669" s="28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0"/>
      <c r="B670" s="10"/>
      <c r="C670" s="10"/>
      <c r="D670" s="64"/>
      <c r="E670" s="64"/>
      <c r="F670" s="10"/>
      <c r="G670" s="28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0"/>
      <c r="B671" s="10"/>
      <c r="C671" s="10"/>
      <c r="D671" s="64"/>
      <c r="E671" s="64"/>
      <c r="F671" s="10"/>
      <c r="G671" s="28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0"/>
      <c r="B672" s="10"/>
      <c r="C672" s="10"/>
      <c r="D672" s="64"/>
      <c r="E672" s="64"/>
      <c r="F672" s="10"/>
      <c r="G672" s="28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0"/>
      <c r="B673" s="10"/>
      <c r="C673" s="10"/>
      <c r="D673" s="64"/>
      <c r="E673" s="64"/>
      <c r="F673" s="10"/>
      <c r="G673" s="28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0"/>
      <c r="B674" s="10"/>
      <c r="C674" s="10"/>
      <c r="D674" s="64"/>
      <c r="E674" s="64"/>
      <c r="F674" s="10"/>
      <c r="G674" s="28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0"/>
      <c r="B675" s="10"/>
      <c r="C675" s="10"/>
      <c r="D675" s="64"/>
      <c r="E675" s="64"/>
      <c r="F675" s="10"/>
      <c r="G675" s="28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0"/>
      <c r="B676" s="10"/>
      <c r="C676" s="10"/>
      <c r="D676" s="64"/>
      <c r="E676" s="64"/>
      <c r="F676" s="10"/>
      <c r="G676" s="28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0"/>
      <c r="B677" s="10"/>
      <c r="C677" s="10"/>
      <c r="D677" s="64"/>
      <c r="E677" s="64"/>
      <c r="F677" s="10"/>
      <c r="G677" s="28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0"/>
      <c r="B678" s="10"/>
      <c r="C678" s="10"/>
      <c r="D678" s="64"/>
      <c r="E678" s="64"/>
      <c r="F678" s="10"/>
      <c r="G678" s="28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0"/>
      <c r="B679" s="10"/>
      <c r="C679" s="10"/>
      <c r="D679" s="64"/>
      <c r="E679" s="64"/>
      <c r="F679" s="10"/>
      <c r="G679" s="28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0"/>
      <c r="B680" s="10"/>
      <c r="C680" s="10"/>
      <c r="D680" s="64"/>
      <c r="E680" s="64"/>
      <c r="F680" s="10"/>
      <c r="G680" s="28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0"/>
      <c r="B681" s="10"/>
      <c r="C681" s="10"/>
      <c r="D681" s="64"/>
      <c r="E681" s="64"/>
      <c r="F681" s="10"/>
      <c r="G681" s="28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0"/>
      <c r="B682" s="10"/>
      <c r="C682" s="10"/>
      <c r="D682" s="64"/>
      <c r="E682" s="64"/>
      <c r="F682" s="10"/>
      <c r="G682" s="28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0"/>
      <c r="B683" s="10"/>
      <c r="C683" s="10"/>
      <c r="D683" s="64"/>
      <c r="E683" s="64"/>
      <c r="F683" s="10"/>
      <c r="G683" s="28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0"/>
      <c r="B684" s="10"/>
      <c r="C684" s="10"/>
      <c r="D684" s="64"/>
      <c r="E684" s="64"/>
      <c r="F684" s="10"/>
      <c r="G684" s="28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0"/>
      <c r="B685" s="10"/>
      <c r="C685" s="10"/>
      <c r="D685" s="64"/>
      <c r="E685" s="64"/>
      <c r="F685" s="10"/>
      <c r="G685" s="28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0"/>
      <c r="B686" s="10"/>
      <c r="C686" s="10"/>
      <c r="D686" s="64"/>
      <c r="E686" s="64"/>
      <c r="F686" s="10"/>
      <c r="G686" s="28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0"/>
      <c r="B687" s="10"/>
      <c r="C687" s="10"/>
      <c r="D687" s="64"/>
      <c r="E687" s="64"/>
      <c r="F687" s="10"/>
      <c r="G687" s="28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0"/>
      <c r="B688" s="10"/>
      <c r="C688" s="10"/>
      <c r="D688" s="64"/>
      <c r="E688" s="64"/>
      <c r="F688" s="10"/>
      <c r="G688" s="28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0"/>
      <c r="B689" s="10"/>
      <c r="C689" s="10"/>
      <c r="D689" s="64"/>
      <c r="E689" s="64"/>
      <c r="F689" s="10"/>
      <c r="G689" s="28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0"/>
      <c r="B690" s="10"/>
      <c r="C690" s="10"/>
      <c r="D690" s="64"/>
      <c r="E690" s="64"/>
      <c r="F690" s="10"/>
      <c r="G690" s="28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0"/>
      <c r="B691" s="10"/>
      <c r="C691" s="10"/>
      <c r="D691" s="64"/>
      <c r="E691" s="64"/>
      <c r="F691" s="10"/>
      <c r="G691" s="28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0"/>
      <c r="B692" s="10"/>
      <c r="C692" s="10"/>
      <c r="D692" s="64"/>
      <c r="E692" s="64"/>
      <c r="F692" s="10"/>
      <c r="G692" s="28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0"/>
      <c r="B693" s="10"/>
      <c r="C693" s="10"/>
      <c r="D693" s="64"/>
      <c r="E693" s="64"/>
      <c r="F693" s="10"/>
      <c r="G693" s="28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0"/>
      <c r="B694" s="10"/>
      <c r="C694" s="10"/>
      <c r="D694" s="64"/>
      <c r="E694" s="64"/>
      <c r="F694" s="10"/>
      <c r="G694" s="28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0"/>
      <c r="B695" s="10"/>
      <c r="C695" s="10"/>
      <c r="D695" s="64"/>
      <c r="E695" s="64"/>
      <c r="F695" s="10"/>
      <c r="G695" s="28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0"/>
      <c r="B696" s="10"/>
      <c r="C696" s="10"/>
      <c r="D696" s="64"/>
      <c r="E696" s="64"/>
      <c r="F696" s="10"/>
      <c r="G696" s="28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0"/>
      <c r="B697" s="10"/>
      <c r="C697" s="10"/>
      <c r="D697" s="64"/>
      <c r="E697" s="64"/>
      <c r="F697" s="10"/>
      <c r="G697" s="28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0"/>
      <c r="B698" s="10"/>
      <c r="C698" s="10"/>
      <c r="D698" s="64"/>
      <c r="E698" s="64"/>
      <c r="F698" s="10"/>
      <c r="G698" s="28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0"/>
      <c r="B699" s="10"/>
      <c r="C699" s="10"/>
      <c r="D699" s="64"/>
      <c r="E699" s="64"/>
      <c r="F699" s="10"/>
      <c r="G699" s="28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0"/>
      <c r="B700" s="10"/>
      <c r="C700" s="10"/>
      <c r="D700" s="64"/>
      <c r="E700" s="64"/>
      <c r="F700" s="10"/>
      <c r="G700" s="28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0"/>
      <c r="B701" s="10"/>
      <c r="C701" s="10"/>
      <c r="D701" s="64"/>
      <c r="E701" s="64"/>
      <c r="F701" s="10"/>
      <c r="G701" s="28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0"/>
      <c r="B702" s="10"/>
      <c r="C702" s="10"/>
      <c r="D702" s="64"/>
      <c r="E702" s="64"/>
      <c r="F702" s="10"/>
      <c r="G702" s="28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0"/>
      <c r="B703" s="10"/>
      <c r="C703" s="10"/>
      <c r="D703" s="64"/>
      <c r="E703" s="64"/>
      <c r="F703" s="10"/>
      <c r="G703" s="28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0"/>
      <c r="B704" s="10"/>
      <c r="C704" s="10"/>
      <c r="D704" s="64"/>
      <c r="E704" s="64"/>
      <c r="F704" s="10"/>
      <c r="G704" s="28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0"/>
      <c r="B705" s="10"/>
      <c r="C705" s="10"/>
      <c r="D705" s="64"/>
      <c r="E705" s="64"/>
      <c r="F705" s="10"/>
      <c r="G705" s="28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0"/>
      <c r="B706" s="10"/>
      <c r="C706" s="10"/>
      <c r="D706" s="64"/>
      <c r="E706" s="64"/>
      <c r="F706" s="10"/>
      <c r="G706" s="28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0"/>
      <c r="B707" s="10"/>
      <c r="C707" s="10"/>
      <c r="D707" s="64"/>
      <c r="E707" s="64"/>
      <c r="F707" s="10"/>
      <c r="G707" s="28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0"/>
      <c r="B708" s="10"/>
      <c r="C708" s="10"/>
      <c r="D708" s="64"/>
      <c r="E708" s="64"/>
      <c r="F708" s="10"/>
      <c r="G708" s="28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0"/>
      <c r="B709" s="10"/>
      <c r="C709" s="10"/>
      <c r="D709" s="64"/>
      <c r="E709" s="64"/>
      <c r="F709" s="10"/>
      <c r="G709" s="28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0"/>
      <c r="B710" s="10"/>
      <c r="C710" s="10"/>
      <c r="D710" s="64"/>
      <c r="E710" s="64"/>
      <c r="F710" s="10"/>
      <c r="G710" s="28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0"/>
      <c r="B711" s="10"/>
      <c r="C711" s="10"/>
      <c r="D711" s="64"/>
      <c r="E711" s="64"/>
      <c r="F711" s="10"/>
      <c r="G711" s="28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0"/>
      <c r="B712" s="10"/>
      <c r="C712" s="10"/>
      <c r="D712" s="64"/>
      <c r="E712" s="64"/>
      <c r="F712" s="10"/>
      <c r="G712" s="28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0"/>
      <c r="B713" s="10"/>
      <c r="C713" s="10"/>
      <c r="D713" s="64"/>
      <c r="E713" s="64"/>
      <c r="F713" s="10"/>
      <c r="G713" s="28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0"/>
      <c r="B714" s="10"/>
      <c r="C714" s="10"/>
      <c r="D714" s="64"/>
      <c r="E714" s="64"/>
      <c r="F714" s="10"/>
      <c r="G714" s="28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0"/>
      <c r="B715" s="10"/>
      <c r="C715" s="10"/>
      <c r="D715" s="64"/>
      <c r="E715" s="64"/>
      <c r="F715" s="10"/>
      <c r="G715" s="28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0"/>
      <c r="B716" s="10"/>
      <c r="C716" s="10"/>
      <c r="D716" s="64"/>
      <c r="E716" s="64"/>
      <c r="F716" s="10"/>
      <c r="G716" s="28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0"/>
      <c r="B717" s="10"/>
      <c r="C717" s="10"/>
      <c r="D717" s="64"/>
      <c r="E717" s="64"/>
      <c r="F717" s="10"/>
      <c r="G717" s="28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0"/>
      <c r="B718" s="10"/>
      <c r="C718" s="10"/>
      <c r="D718" s="64"/>
      <c r="E718" s="64"/>
      <c r="F718" s="10"/>
      <c r="G718" s="28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0"/>
      <c r="B719" s="10"/>
      <c r="C719" s="10"/>
      <c r="D719" s="64"/>
      <c r="E719" s="64"/>
      <c r="F719" s="10"/>
      <c r="G719" s="28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0"/>
      <c r="B720" s="10"/>
      <c r="C720" s="10"/>
      <c r="D720" s="64"/>
      <c r="E720" s="64"/>
      <c r="F720" s="10"/>
      <c r="G720" s="28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0"/>
      <c r="B721" s="10"/>
      <c r="C721" s="10"/>
      <c r="D721" s="64"/>
      <c r="E721" s="64"/>
      <c r="F721" s="10"/>
      <c r="G721" s="28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0"/>
      <c r="B722" s="10"/>
      <c r="C722" s="10"/>
      <c r="D722" s="64"/>
      <c r="E722" s="64"/>
      <c r="F722" s="10"/>
      <c r="G722" s="28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0"/>
      <c r="B723" s="10"/>
      <c r="C723" s="10"/>
      <c r="D723" s="64"/>
      <c r="E723" s="64"/>
      <c r="F723" s="10"/>
      <c r="G723" s="28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0"/>
      <c r="B724" s="10"/>
      <c r="C724" s="10"/>
      <c r="D724" s="64"/>
      <c r="E724" s="64"/>
      <c r="F724" s="10"/>
      <c r="G724" s="28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0"/>
      <c r="B725" s="10"/>
      <c r="C725" s="10"/>
      <c r="D725" s="64"/>
      <c r="E725" s="64"/>
      <c r="F725" s="10"/>
      <c r="G725" s="28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0"/>
      <c r="B726" s="10"/>
      <c r="C726" s="10"/>
      <c r="D726" s="64"/>
      <c r="E726" s="64"/>
      <c r="F726" s="10"/>
      <c r="G726" s="28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0"/>
      <c r="B727" s="10"/>
      <c r="C727" s="10"/>
      <c r="D727" s="64"/>
      <c r="E727" s="64"/>
      <c r="F727" s="10"/>
      <c r="G727" s="28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0"/>
      <c r="B728" s="10"/>
      <c r="C728" s="10"/>
      <c r="D728" s="64"/>
      <c r="E728" s="64"/>
      <c r="F728" s="10"/>
      <c r="G728" s="28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0"/>
      <c r="B729" s="10"/>
      <c r="C729" s="10"/>
      <c r="D729" s="64"/>
      <c r="E729" s="64"/>
      <c r="F729" s="10"/>
      <c r="G729" s="28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0"/>
      <c r="B730" s="10"/>
      <c r="C730" s="10"/>
      <c r="D730" s="64"/>
      <c r="E730" s="64"/>
      <c r="F730" s="10"/>
      <c r="G730" s="28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0"/>
      <c r="B731" s="10"/>
      <c r="C731" s="10"/>
      <c r="D731" s="64"/>
      <c r="E731" s="64"/>
      <c r="F731" s="10"/>
      <c r="G731" s="28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0"/>
      <c r="B732" s="10"/>
      <c r="C732" s="10"/>
      <c r="D732" s="64"/>
      <c r="E732" s="64"/>
      <c r="F732" s="10"/>
      <c r="G732" s="28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0"/>
      <c r="B733" s="10"/>
      <c r="C733" s="10"/>
      <c r="D733" s="64"/>
      <c r="E733" s="64"/>
      <c r="F733" s="10"/>
      <c r="G733" s="28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0"/>
      <c r="B734" s="10"/>
      <c r="C734" s="10"/>
      <c r="D734" s="64"/>
      <c r="E734" s="64"/>
      <c r="F734" s="10"/>
      <c r="G734" s="28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0"/>
      <c r="B735" s="10"/>
      <c r="C735" s="10"/>
      <c r="D735" s="64"/>
      <c r="E735" s="64"/>
      <c r="F735" s="10"/>
      <c r="G735" s="28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0"/>
      <c r="B736" s="10"/>
      <c r="C736" s="10"/>
      <c r="D736" s="64"/>
      <c r="E736" s="64"/>
      <c r="F736" s="10"/>
      <c r="G736" s="28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0"/>
      <c r="B737" s="10"/>
      <c r="C737" s="10"/>
      <c r="D737" s="64"/>
      <c r="E737" s="64"/>
      <c r="F737" s="10"/>
      <c r="G737" s="28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0"/>
      <c r="B738" s="10"/>
      <c r="C738" s="10"/>
      <c r="D738" s="64"/>
      <c r="E738" s="64"/>
      <c r="F738" s="10"/>
      <c r="G738" s="28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0"/>
      <c r="B739" s="10"/>
      <c r="C739" s="10"/>
      <c r="D739" s="64"/>
      <c r="E739" s="64"/>
      <c r="F739" s="10"/>
      <c r="G739" s="28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0"/>
      <c r="B740" s="10"/>
      <c r="C740" s="10"/>
      <c r="D740" s="64"/>
      <c r="E740" s="64"/>
      <c r="F740" s="10"/>
      <c r="G740" s="28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0"/>
      <c r="B741" s="10"/>
      <c r="C741" s="10"/>
      <c r="D741" s="64"/>
      <c r="E741" s="64"/>
      <c r="F741" s="10"/>
      <c r="G741" s="28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0"/>
      <c r="B742" s="10"/>
      <c r="C742" s="10"/>
      <c r="D742" s="64"/>
      <c r="E742" s="64"/>
      <c r="F742" s="10"/>
      <c r="G742" s="28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0"/>
      <c r="B743" s="10"/>
      <c r="C743" s="10"/>
      <c r="D743" s="64"/>
      <c r="E743" s="64"/>
      <c r="F743" s="10"/>
      <c r="G743" s="28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0"/>
      <c r="B744" s="10"/>
      <c r="C744" s="10"/>
      <c r="D744" s="64"/>
      <c r="E744" s="64"/>
      <c r="F744" s="10"/>
      <c r="G744" s="28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0"/>
      <c r="B745" s="10"/>
      <c r="C745" s="10"/>
      <c r="D745" s="64"/>
      <c r="E745" s="64"/>
      <c r="F745" s="10"/>
      <c r="G745" s="28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0"/>
      <c r="B746" s="10"/>
      <c r="C746" s="10"/>
      <c r="D746" s="64"/>
      <c r="E746" s="64"/>
      <c r="F746" s="10"/>
      <c r="G746" s="28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0"/>
      <c r="B747" s="10"/>
      <c r="C747" s="10"/>
      <c r="D747" s="64"/>
      <c r="E747" s="64"/>
      <c r="F747" s="10"/>
      <c r="G747" s="28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0"/>
      <c r="B748" s="10"/>
      <c r="C748" s="10"/>
      <c r="D748" s="64"/>
      <c r="E748" s="64"/>
      <c r="F748" s="10"/>
      <c r="G748" s="28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0"/>
      <c r="B749" s="10"/>
      <c r="C749" s="10"/>
      <c r="D749" s="64"/>
      <c r="E749" s="64"/>
      <c r="F749" s="10"/>
      <c r="G749" s="28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0"/>
      <c r="B750" s="10"/>
      <c r="C750" s="10"/>
      <c r="D750" s="64"/>
      <c r="E750" s="64"/>
      <c r="F750" s="10"/>
      <c r="G750" s="28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0"/>
      <c r="B751" s="10"/>
      <c r="C751" s="10"/>
      <c r="D751" s="64"/>
      <c r="E751" s="64"/>
      <c r="F751" s="10"/>
      <c r="G751" s="28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0"/>
      <c r="B752" s="10"/>
      <c r="C752" s="10"/>
      <c r="D752" s="64"/>
      <c r="E752" s="64"/>
      <c r="F752" s="10"/>
      <c r="G752" s="28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0"/>
      <c r="B753" s="10"/>
      <c r="C753" s="10"/>
      <c r="D753" s="64"/>
      <c r="E753" s="64"/>
      <c r="F753" s="10"/>
      <c r="G753" s="28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0"/>
      <c r="B754" s="10"/>
      <c r="C754" s="10"/>
      <c r="D754" s="64"/>
      <c r="E754" s="64"/>
      <c r="F754" s="10"/>
      <c r="G754" s="28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0"/>
      <c r="B755" s="10"/>
      <c r="C755" s="10"/>
      <c r="D755" s="64"/>
      <c r="E755" s="64"/>
      <c r="F755" s="10"/>
      <c r="G755" s="28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0"/>
      <c r="B756" s="10"/>
      <c r="C756" s="10"/>
      <c r="D756" s="64"/>
      <c r="E756" s="64"/>
      <c r="F756" s="10"/>
      <c r="G756" s="28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0"/>
      <c r="B757" s="10"/>
      <c r="C757" s="10"/>
      <c r="D757" s="64"/>
      <c r="E757" s="64"/>
      <c r="F757" s="10"/>
      <c r="G757" s="28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0"/>
      <c r="B758" s="10"/>
      <c r="C758" s="10"/>
      <c r="D758" s="64"/>
      <c r="E758" s="64"/>
      <c r="F758" s="10"/>
      <c r="G758" s="28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0"/>
      <c r="B759" s="10"/>
      <c r="C759" s="10"/>
      <c r="D759" s="64"/>
      <c r="E759" s="64"/>
      <c r="F759" s="10"/>
      <c r="G759" s="28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0"/>
      <c r="B760" s="10"/>
      <c r="C760" s="10"/>
      <c r="D760" s="64"/>
      <c r="E760" s="64"/>
      <c r="F760" s="10"/>
      <c r="G760" s="28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0"/>
      <c r="B761" s="10"/>
      <c r="C761" s="10"/>
      <c r="D761" s="64"/>
      <c r="E761" s="64"/>
      <c r="F761" s="10"/>
      <c r="G761" s="28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0"/>
      <c r="B762" s="10"/>
      <c r="C762" s="10"/>
      <c r="D762" s="64"/>
      <c r="E762" s="64"/>
      <c r="F762" s="10"/>
      <c r="G762" s="28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0"/>
      <c r="B763" s="10"/>
      <c r="C763" s="10"/>
      <c r="D763" s="64"/>
      <c r="E763" s="64"/>
      <c r="F763" s="10"/>
      <c r="G763" s="28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0"/>
      <c r="B764" s="10"/>
      <c r="C764" s="10"/>
      <c r="D764" s="64"/>
      <c r="E764" s="64"/>
      <c r="F764" s="10"/>
      <c r="G764" s="28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0"/>
      <c r="B765" s="10"/>
      <c r="C765" s="10"/>
      <c r="D765" s="64"/>
      <c r="E765" s="64"/>
      <c r="F765" s="10"/>
      <c r="G765" s="28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0"/>
      <c r="B766" s="10"/>
      <c r="C766" s="10"/>
      <c r="D766" s="64"/>
      <c r="E766" s="64"/>
      <c r="F766" s="10"/>
      <c r="G766" s="28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0"/>
      <c r="B767" s="10"/>
      <c r="C767" s="10"/>
      <c r="D767" s="64"/>
      <c r="E767" s="64"/>
      <c r="F767" s="10"/>
      <c r="G767" s="28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0"/>
      <c r="B768" s="10"/>
      <c r="C768" s="10"/>
      <c r="D768" s="64"/>
      <c r="E768" s="64"/>
      <c r="F768" s="10"/>
      <c r="G768" s="28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0"/>
      <c r="B769" s="10"/>
      <c r="C769" s="10"/>
      <c r="D769" s="64"/>
      <c r="E769" s="64"/>
      <c r="F769" s="10"/>
      <c r="G769" s="28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0"/>
      <c r="B770" s="10"/>
      <c r="C770" s="10"/>
      <c r="D770" s="64"/>
      <c r="E770" s="64"/>
      <c r="F770" s="10"/>
      <c r="G770" s="28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0"/>
      <c r="B771" s="10"/>
      <c r="C771" s="10"/>
      <c r="D771" s="64"/>
      <c r="E771" s="64"/>
      <c r="F771" s="10"/>
      <c r="G771" s="28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0"/>
      <c r="B772" s="10"/>
      <c r="C772" s="10"/>
      <c r="D772" s="64"/>
      <c r="E772" s="64"/>
      <c r="F772" s="10"/>
      <c r="G772" s="28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0"/>
      <c r="B773" s="10"/>
      <c r="C773" s="10"/>
      <c r="D773" s="64"/>
      <c r="E773" s="64"/>
      <c r="F773" s="10"/>
      <c r="G773" s="28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0"/>
      <c r="B774" s="10"/>
      <c r="C774" s="10"/>
      <c r="D774" s="64"/>
      <c r="E774" s="64"/>
      <c r="F774" s="10"/>
      <c r="G774" s="28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0"/>
      <c r="B775" s="10"/>
      <c r="C775" s="10"/>
      <c r="D775" s="64"/>
      <c r="E775" s="64"/>
      <c r="F775" s="10"/>
      <c r="G775" s="28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0"/>
      <c r="B776" s="10"/>
      <c r="C776" s="10"/>
      <c r="D776" s="64"/>
      <c r="E776" s="64"/>
      <c r="F776" s="10"/>
      <c r="G776" s="28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0"/>
      <c r="B777" s="10"/>
      <c r="C777" s="10"/>
      <c r="D777" s="64"/>
      <c r="E777" s="64"/>
      <c r="F777" s="10"/>
      <c r="G777" s="28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0"/>
      <c r="B778" s="10"/>
      <c r="C778" s="10"/>
      <c r="D778" s="64"/>
      <c r="E778" s="64"/>
      <c r="F778" s="10"/>
      <c r="G778" s="28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0"/>
      <c r="B779" s="10"/>
      <c r="C779" s="10"/>
      <c r="D779" s="64"/>
      <c r="E779" s="64"/>
      <c r="F779" s="10"/>
      <c r="G779" s="28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0"/>
      <c r="B780" s="10"/>
      <c r="C780" s="10"/>
      <c r="D780" s="64"/>
      <c r="E780" s="64"/>
      <c r="F780" s="10"/>
      <c r="G780" s="28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0"/>
      <c r="B781" s="10"/>
      <c r="C781" s="10"/>
      <c r="D781" s="64"/>
      <c r="E781" s="64"/>
      <c r="F781" s="10"/>
      <c r="G781" s="28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0"/>
      <c r="B782" s="10"/>
      <c r="C782" s="10"/>
      <c r="D782" s="64"/>
      <c r="E782" s="64"/>
      <c r="F782" s="10"/>
      <c r="G782" s="28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0"/>
      <c r="B783" s="10"/>
      <c r="C783" s="10"/>
      <c r="D783" s="64"/>
      <c r="E783" s="64"/>
      <c r="F783" s="10"/>
      <c r="G783" s="28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0"/>
      <c r="B784" s="10"/>
      <c r="C784" s="10"/>
      <c r="D784" s="64"/>
      <c r="E784" s="64"/>
      <c r="F784" s="10"/>
      <c r="G784" s="28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0"/>
      <c r="B785" s="10"/>
      <c r="C785" s="10"/>
      <c r="D785" s="64"/>
      <c r="E785" s="64"/>
      <c r="F785" s="10"/>
      <c r="G785" s="28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0"/>
      <c r="B786" s="10"/>
      <c r="C786" s="10"/>
      <c r="D786" s="64"/>
      <c r="E786" s="64"/>
      <c r="F786" s="10"/>
      <c r="G786" s="28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0"/>
      <c r="B787" s="10"/>
      <c r="C787" s="10"/>
      <c r="D787" s="64"/>
      <c r="E787" s="64"/>
      <c r="F787" s="10"/>
      <c r="G787" s="28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0"/>
      <c r="B788" s="10"/>
      <c r="C788" s="10"/>
      <c r="D788" s="64"/>
      <c r="E788" s="64"/>
      <c r="F788" s="10"/>
      <c r="G788" s="28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0"/>
      <c r="B789" s="10"/>
      <c r="C789" s="10"/>
      <c r="D789" s="64"/>
      <c r="E789" s="64"/>
      <c r="F789" s="10"/>
      <c r="G789" s="28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0"/>
      <c r="B790" s="10"/>
      <c r="C790" s="10"/>
      <c r="D790" s="64"/>
      <c r="E790" s="64"/>
      <c r="F790" s="10"/>
      <c r="G790" s="28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0"/>
      <c r="B791" s="10"/>
      <c r="C791" s="10"/>
      <c r="D791" s="64"/>
      <c r="E791" s="64"/>
      <c r="F791" s="10"/>
      <c r="G791" s="28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0"/>
      <c r="B792" s="10"/>
      <c r="C792" s="10"/>
      <c r="D792" s="64"/>
      <c r="E792" s="64"/>
      <c r="F792" s="10"/>
      <c r="G792" s="28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0"/>
      <c r="B793" s="10"/>
      <c r="C793" s="10"/>
      <c r="D793" s="64"/>
      <c r="E793" s="64"/>
      <c r="F793" s="10"/>
      <c r="G793" s="28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0"/>
      <c r="B794" s="10"/>
      <c r="C794" s="10"/>
      <c r="D794" s="64"/>
      <c r="E794" s="64"/>
      <c r="F794" s="10"/>
      <c r="G794" s="28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0"/>
      <c r="B795" s="10"/>
      <c r="C795" s="10"/>
      <c r="D795" s="64"/>
      <c r="E795" s="64"/>
      <c r="F795" s="10"/>
      <c r="G795" s="28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0"/>
      <c r="B796" s="10"/>
      <c r="C796" s="10"/>
      <c r="D796" s="64"/>
      <c r="E796" s="64"/>
      <c r="F796" s="10"/>
      <c r="G796" s="28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0"/>
      <c r="B797" s="10"/>
      <c r="C797" s="10"/>
      <c r="D797" s="64"/>
      <c r="E797" s="64"/>
      <c r="F797" s="10"/>
      <c r="G797" s="28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0"/>
      <c r="B798" s="10"/>
      <c r="C798" s="10"/>
      <c r="D798" s="64"/>
      <c r="E798" s="64"/>
      <c r="F798" s="10"/>
      <c r="G798" s="28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0"/>
      <c r="B799" s="10"/>
      <c r="C799" s="10"/>
      <c r="D799" s="64"/>
      <c r="E799" s="64"/>
      <c r="F799" s="10"/>
      <c r="G799" s="28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0"/>
      <c r="B800" s="10"/>
      <c r="C800" s="10"/>
      <c r="D800" s="64"/>
      <c r="E800" s="64"/>
      <c r="F800" s="10"/>
      <c r="G800" s="28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0"/>
      <c r="B801" s="10"/>
      <c r="C801" s="10"/>
      <c r="D801" s="64"/>
      <c r="E801" s="64"/>
      <c r="F801" s="10"/>
      <c r="G801" s="28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0"/>
      <c r="B802" s="10"/>
      <c r="C802" s="10"/>
      <c r="D802" s="64"/>
      <c r="E802" s="64"/>
      <c r="F802" s="10"/>
      <c r="G802" s="28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0"/>
      <c r="B803" s="10"/>
      <c r="C803" s="10"/>
      <c r="D803" s="64"/>
      <c r="E803" s="64"/>
      <c r="F803" s="10"/>
      <c r="G803" s="28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0"/>
      <c r="B804" s="10"/>
      <c r="C804" s="10"/>
      <c r="D804" s="64"/>
      <c r="E804" s="64"/>
      <c r="F804" s="10"/>
      <c r="G804" s="28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0"/>
      <c r="B805" s="10"/>
      <c r="C805" s="10"/>
      <c r="D805" s="64"/>
      <c r="E805" s="64"/>
      <c r="F805" s="10"/>
      <c r="G805" s="28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0"/>
      <c r="B806" s="10"/>
      <c r="C806" s="10"/>
      <c r="D806" s="64"/>
      <c r="E806" s="64"/>
      <c r="F806" s="10"/>
      <c r="G806" s="28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0"/>
      <c r="B807" s="10"/>
      <c r="C807" s="10"/>
      <c r="D807" s="64"/>
      <c r="E807" s="64"/>
      <c r="F807" s="10"/>
      <c r="G807" s="28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0"/>
      <c r="B808" s="10"/>
      <c r="C808" s="10"/>
      <c r="D808" s="64"/>
      <c r="E808" s="64"/>
      <c r="F808" s="10"/>
      <c r="G808" s="28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0"/>
      <c r="B809" s="10"/>
      <c r="C809" s="10"/>
      <c r="D809" s="64"/>
      <c r="E809" s="64"/>
      <c r="F809" s="10"/>
      <c r="G809" s="28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0"/>
      <c r="B810" s="10"/>
      <c r="C810" s="10"/>
      <c r="D810" s="64"/>
      <c r="E810" s="64"/>
      <c r="F810" s="10"/>
      <c r="G810" s="28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0"/>
      <c r="B811" s="10"/>
      <c r="C811" s="10"/>
      <c r="D811" s="64"/>
      <c r="E811" s="64"/>
      <c r="F811" s="10"/>
      <c r="G811" s="28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0"/>
      <c r="B812" s="10"/>
      <c r="C812" s="10"/>
      <c r="D812" s="64"/>
      <c r="E812" s="64"/>
      <c r="F812" s="10"/>
      <c r="G812" s="28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0"/>
      <c r="B813" s="10"/>
      <c r="C813" s="10"/>
      <c r="D813" s="64"/>
      <c r="E813" s="64"/>
      <c r="F813" s="10"/>
      <c r="G813" s="28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0"/>
      <c r="B814" s="10"/>
      <c r="C814" s="10"/>
      <c r="D814" s="64"/>
      <c r="E814" s="64"/>
      <c r="F814" s="10"/>
      <c r="G814" s="28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0"/>
      <c r="B815" s="10"/>
      <c r="C815" s="10"/>
      <c r="D815" s="64"/>
      <c r="E815" s="64"/>
      <c r="F815" s="10"/>
      <c r="G815" s="28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0"/>
      <c r="B816" s="10"/>
      <c r="C816" s="10"/>
      <c r="D816" s="64"/>
      <c r="E816" s="64"/>
      <c r="F816" s="10"/>
      <c r="G816" s="28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0"/>
      <c r="B817" s="10"/>
      <c r="C817" s="10"/>
      <c r="D817" s="64"/>
      <c r="E817" s="64"/>
      <c r="F817" s="10"/>
      <c r="G817" s="28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0"/>
      <c r="B818" s="10"/>
      <c r="C818" s="10"/>
      <c r="D818" s="64"/>
      <c r="E818" s="64"/>
      <c r="F818" s="10"/>
      <c r="G818" s="28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0"/>
      <c r="B819" s="10"/>
      <c r="C819" s="10"/>
      <c r="D819" s="64"/>
      <c r="E819" s="64"/>
      <c r="F819" s="10"/>
      <c r="G819" s="28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0"/>
      <c r="B820" s="10"/>
      <c r="C820" s="10"/>
      <c r="D820" s="64"/>
      <c r="E820" s="64"/>
      <c r="F820" s="10"/>
      <c r="G820" s="28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0"/>
      <c r="B821" s="10"/>
      <c r="C821" s="10"/>
      <c r="D821" s="64"/>
      <c r="E821" s="64"/>
      <c r="F821" s="10"/>
      <c r="G821" s="28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0"/>
      <c r="B822" s="10"/>
      <c r="C822" s="10"/>
      <c r="D822" s="64"/>
      <c r="E822" s="64"/>
      <c r="F822" s="10"/>
      <c r="G822" s="28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0"/>
      <c r="B823" s="10"/>
      <c r="C823" s="10"/>
      <c r="D823" s="64"/>
      <c r="E823" s="64"/>
      <c r="F823" s="10"/>
      <c r="G823" s="28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0"/>
      <c r="B824" s="10"/>
      <c r="C824" s="10"/>
      <c r="D824" s="64"/>
      <c r="E824" s="64"/>
      <c r="F824" s="10"/>
      <c r="G824" s="28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0"/>
      <c r="B825" s="10"/>
      <c r="C825" s="10"/>
      <c r="D825" s="64"/>
      <c r="E825" s="64"/>
      <c r="F825" s="10"/>
      <c r="G825" s="28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0"/>
      <c r="B826" s="10"/>
      <c r="C826" s="10"/>
      <c r="D826" s="64"/>
      <c r="E826" s="64"/>
      <c r="F826" s="10"/>
      <c r="G826" s="28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0"/>
      <c r="B827" s="10"/>
      <c r="C827" s="10"/>
      <c r="D827" s="64"/>
      <c r="E827" s="64"/>
      <c r="F827" s="10"/>
      <c r="G827" s="28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0"/>
      <c r="B828" s="10"/>
      <c r="C828" s="10"/>
      <c r="D828" s="64"/>
      <c r="E828" s="64"/>
      <c r="F828" s="10"/>
      <c r="G828" s="28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0"/>
      <c r="B829" s="10"/>
      <c r="C829" s="10"/>
      <c r="D829" s="64"/>
      <c r="E829" s="64"/>
      <c r="F829" s="10"/>
      <c r="G829" s="28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0"/>
      <c r="B830" s="10"/>
      <c r="C830" s="10"/>
      <c r="D830" s="64"/>
      <c r="E830" s="64"/>
      <c r="F830" s="10"/>
      <c r="G830" s="28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0"/>
      <c r="B831" s="10"/>
      <c r="C831" s="10"/>
      <c r="D831" s="64"/>
      <c r="E831" s="64"/>
      <c r="F831" s="10"/>
      <c r="G831" s="28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0"/>
      <c r="B832" s="10"/>
      <c r="C832" s="10"/>
      <c r="D832" s="64"/>
      <c r="E832" s="64"/>
      <c r="F832" s="10"/>
      <c r="G832" s="28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0"/>
      <c r="B833" s="10"/>
      <c r="C833" s="10"/>
      <c r="D833" s="64"/>
      <c r="E833" s="64"/>
      <c r="F833" s="10"/>
      <c r="G833" s="28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0"/>
      <c r="B834" s="10"/>
      <c r="C834" s="10"/>
      <c r="D834" s="64"/>
      <c r="E834" s="64"/>
      <c r="F834" s="10"/>
      <c r="G834" s="28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0"/>
      <c r="B835" s="10"/>
      <c r="C835" s="10"/>
      <c r="D835" s="64"/>
      <c r="E835" s="64"/>
      <c r="F835" s="10"/>
      <c r="G835" s="28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0"/>
      <c r="B836" s="10"/>
      <c r="C836" s="10"/>
      <c r="D836" s="64"/>
      <c r="E836" s="64"/>
      <c r="F836" s="10"/>
      <c r="G836" s="28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0"/>
      <c r="B837" s="10"/>
      <c r="C837" s="10"/>
      <c r="D837" s="64"/>
      <c r="E837" s="64"/>
      <c r="F837" s="10"/>
      <c r="G837" s="28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0"/>
      <c r="B838" s="10"/>
      <c r="C838" s="10"/>
      <c r="D838" s="64"/>
      <c r="E838" s="64"/>
      <c r="F838" s="10"/>
      <c r="G838" s="28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0"/>
      <c r="B839" s="10"/>
      <c r="C839" s="10"/>
      <c r="D839" s="64"/>
      <c r="E839" s="64"/>
      <c r="F839" s="10"/>
      <c r="G839" s="28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0"/>
      <c r="B840" s="10"/>
      <c r="C840" s="10"/>
      <c r="D840" s="64"/>
      <c r="E840" s="64"/>
      <c r="F840" s="10"/>
      <c r="G840" s="28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0"/>
      <c r="B841" s="10"/>
      <c r="C841" s="10"/>
      <c r="D841" s="64"/>
      <c r="E841" s="64"/>
      <c r="F841" s="10"/>
      <c r="G841" s="28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0"/>
      <c r="B842" s="10"/>
      <c r="C842" s="10"/>
      <c r="D842" s="64"/>
      <c r="E842" s="64"/>
      <c r="F842" s="10"/>
      <c r="G842" s="28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0"/>
      <c r="B843" s="10"/>
      <c r="C843" s="10"/>
      <c r="D843" s="64"/>
      <c r="E843" s="64"/>
      <c r="F843" s="10"/>
      <c r="G843" s="28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0"/>
      <c r="B844" s="10"/>
      <c r="C844" s="10"/>
      <c r="D844" s="64"/>
      <c r="E844" s="64"/>
      <c r="F844" s="10"/>
      <c r="G844" s="28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0"/>
      <c r="B845" s="10"/>
      <c r="C845" s="10"/>
      <c r="D845" s="64"/>
      <c r="E845" s="64"/>
      <c r="F845" s="10"/>
      <c r="G845" s="28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0"/>
      <c r="B846" s="10"/>
      <c r="C846" s="10"/>
      <c r="D846" s="64"/>
      <c r="E846" s="64"/>
      <c r="F846" s="10"/>
      <c r="G846" s="28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0"/>
      <c r="B847" s="10"/>
      <c r="C847" s="10"/>
      <c r="D847" s="64"/>
      <c r="E847" s="64"/>
      <c r="F847" s="10"/>
      <c r="G847" s="28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0"/>
      <c r="B848" s="10"/>
      <c r="C848" s="10"/>
      <c r="D848" s="64"/>
      <c r="E848" s="64"/>
      <c r="F848" s="10"/>
      <c r="G848" s="28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0"/>
      <c r="B849" s="10"/>
      <c r="C849" s="10"/>
      <c r="D849" s="64"/>
      <c r="E849" s="64"/>
      <c r="F849" s="10"/>
      <c r="G849" s="28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0"/>
      <c r="B850" s="10"/>
      <c r="C850" s="10"/>
      <c r="D850" s="64"/>
      <c r="E850" s="64"/>
      <c r="F850" s="10"/>
      <c r="G850" s="28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0"/>
      <c r="B851" s="10"/>
      <c r="C851" s="10"/>
      <c r="D851" s="64"/>
      <c r="E851" s="64"/>
      <c r="F851" s="10"/>
      <c r="G851" s="28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0"/>
      <c r="B852" s="10"/>
      <c r="C852" s="10"/>
      <c r="D852" s="64"/>
      <c r="E852" s="64"/>
      <c r="F852" s="10"/>
      <c r="G852" s="28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0"/>
      <c r="B853" s="10"/>
      <c r="C853" s="10"/>
      <c r="D853" s="64"/>
      <c r="E853" s="64"/>
      <c r="F853" s="10"/>
      <c r="G853" s="28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0"/>
      <c r="B854" s="10"/>
      <c r="C854" s="10"/>
      <c r="D854" s="64"/>
      <c r="E854" s="64"/>
      <c r="F854" s="10"/>
      <c r="G854" s="28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0"/>
      <c r="B855" s="10"/>
      <c r="C855" s="10"/>
      <c r="D855" s="64"/>
      <c r="E855" s="64"/>
      <c r="F855" s="10"/>
      <c r="G855" s="28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0"/>
      <c r="B856" s="10"/>
      <c r="C856" s="10"/>
      <c r="D856" s="64"/>
      <c r="E856" s="64"/>
      <c r="F856" s="10"/>
      <c r="G856" s="28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0"/>
      <c r="B857" s="10"/>
      <c r="C857" s="10"/>
      <c r="D857" s="64"/>
      <c r="E857" s="64"/>
      <c r="F857" s="10"/>
      <c r="G857" s="28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0"/>
      <c r="B858" s="10"/>
      <c r="C858" s="10"/>
      <c r="D858" s="64"/>
      <c r="E858" s="64"/>
      <c r="F858" s="10"/>
      <c r="G858" s="28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0"/>
      <c r="B859" s="10"/>
      <c r="C859" s="10"/>
      <c r="D859" s="64"/>
      <c r="E859" s="64"/>
      <c r="F859" s="10"/>
      <c r="G859" s="28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0"/>
      <c r="B860" s="10"/>
      <c r="C860" s="10"/>
      <c r="D860" s="64"/>
      <c r="E860" s="64"/>
      <c r="F860" s="10"/>
      <c r="G860" s="28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0"/>
      <c r="B861" s="10"/>
      <c r="C861" s="10"/>
      <c r="D861" s="64"/>
      <c r="E861" s="64"/>
      <c r="F861" s="10"/>
      <c r="G861" s="28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0"/>
      <c r="B862" s="10"/>
      <c r="C862" s="10"/>
      <c r="D862" s="64"/>
      <c r="E862" s="64"/>
      <c r="F862" s="10"/>
      <c r="G862" s="28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0"/>
      <c r="B863" s="10"/>
      <c r="C863" s="10"/>
      <c r="D863" s="64"/>
      <c r="E863" s="64"/>
      <c r="F863" s="10"/>
      <c r="G863" s="28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0"/>
      <c r="B864" s="10"/>
      <c r="C864" s="10"/>
      <c r="D864" s="64"/>
      <c r="E864" s="64"/>
      <c r="F864" s="10"/>
      <c r="G864" s="28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0"/>
      <c r="B865" s="10"/>
      <c r="C865" s="10"/>
      <c r="D865" s="64"/>
      <c r="E865" s="64"/>
      <c r="F865" s="10"/>
      <c r="G865" s="28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0"/>
      <c r="B866" s="10"/>
      <c r="C866" s="10"/>
      <c r="D866" s="64"/>
      <c r="E866" s="64"/>
      <c r="F866" s="10"/>
      <c r="G866" s="28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0"/>
      <c r="B867" s="10"/>
      <c r="C867" s="10"/>
      <c r="D867" s="64"/>
      <c r="E867" s="64"/>
      <c r="F867" s="10"/>
      <c r="G867" s="28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0"/>
      <c r="B868" s="10"/>
      <c r="C868" s="10"/>
      <c r="D868" s="64"/>
      <c r="E868" s="64"/>
      <c r="F868" s="10"/>
      <c r="G868" s="28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0"/>
      <c r="B869" s="10"/>
      <c r="C869" s="10"/>
      <c r="D869" s="64"/>
      <c r="E869" s="64"/>
      <c r="F869" s="10"/>
      <c r="G869" s="28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0"/>
      <c r="B870" s="10"/>
      <c r="C870" s="10"/>
      <c r="D870" s="64"/>
      <c r="E870" s="64"/>
      <c r="F870" s="10"/>
      <c r="G870" s="28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0"/>
      <c r="B871" s="10"/>
      <c r="C871" s="10"/>
      <c r="D871" s="64"/>
      <c r="E871" s="64"/>
      <c r="F871" s="10"/>
      <c r="G871" s="28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0"/>
      <c r="B872" s="10"/>
      <c r="C872" s="10"/>
      <c r="D872" s="64"/>
      <c r="E872" s="64"/>
      <c r="F872" s="10"/>
      <c r="G872" s="28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0"/>
      <c r="B873" s="10"/>
      <c r="C873" s="10"/>
      <c r="D873" s="64"/>
      <c r="E873" s="64"/>
      <c r="F873" s="10"/>
      <c r="G873" s="28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0"/>
      <c r="B874" s="10"/>
      <c r="C874" s="10"/>
      <c r="D874" s="64"/>
      <c r="E874" s="64"/>
      <c r="F874" s="10"/>
      <c r="G874" s="28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0"/>
      <c r="B875" s="10"/>
      <c r="C875" s="10"/>
      <c r="D875" s="64"/>
      <c r="E875" s="64"/>
      <c r="F875" s="10"/>
      <c r="G875" s="28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0"/>
      <c r="B876" s="10"/>
      <c r="C876" s="10"/>
      <c r="D876" s="64"/>
      <c r="E876" s="64"/>
      <c r="F876" s="10"/>
      <c r="G876" s="28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0"/>
      <c r="B877" s="10"/>
      <c r="C877" s="10"/>
      <c r="D877" s="64"/>
      <c r="E877" s="64"/>
      <c r="F877" s="10"/>
      <c r="G877" s="28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0"/>
      <c r="B878" s="10"/>
      <c r="C878" s="10"/>
      <c r="D878" s="64"/>
      <c r="E878" s="64"/>
      <c r="F878" s="10"/>
      <c r="G878" s="28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0"/>
      <c r="B879" s="10"/>
      <c r="C879" s="10"/>
      <c r="D879" s="64"/>
      <c r="E879" s="64"/>
      <c r="F879" s="10"/>
      <c r="G879" s="28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0"/>
      <c r="B880" s="10"/>
      <c r="C880" s="10"/>
      <c r="D880" s="64"/>
      <c r="E880" s="64"/>
      <c r="F880" s="10"/>
      <c r="G880" s="28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0"/>
      <c r="B881" s="10"/>
      <c r="C881" s="10"/>
      <c r="D881" s="64"/>
      <c r="E881" s="64"/>
      <c r="F881" s="10"/>
      <c r="G881" s="28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0"/>
      <c r="B882" s="10"/>
      <c r="C882" s="10"/>
      <c r="D882" s="64"/>
      <c r="E882" s="64"/>
      <c r="F882" s="10"/>
      <c r="G882" s="28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0"/>
      <c r="B883" s="10"/>
      <c r="C883" s="10"/>
      <c r="D883" s="64"/>
      <c r="E883" s="64"/>
      <c r="F883" s="10"/>
      <c r="G883" s="28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0"/>
      <c r="B884" s="10"/>
      <c r="C884" s="10"/>
      <c r="D884" s="64"/>
      <c r="E884" s="64"/>
      <c r="F884" s="10"/>
      <c r="G884" s="28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0"/>
      <c r="B885" s="10"/>
      <c r="C885" s="10"/>
      <c r="D885" s="64"/>
      <c r="E885" s="64"/>
      <c r="F885" s="10"/>
      <c r="G885" s="28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0"/>
      <c r="B886" s="10"/>
      <c r="C886" s="10"/>
      <c r="D886" s="64"/>
      <c r="E886" s="64"/>
      <c r="F886" s="10"/>
      <c r="G886" s="28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0"/>
      <c r="B887" s="10"/>
      <c r="C887" s="10"/>
      <c r="D887" s="64"/>
      <c r="E887" s="64"/>
      <c r="F887" s="10"/>
      <c r="G887" s="28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0"/>
      <c r="B888" s="10"/>
      <c r="C888" s="10"/>
      <c r="D888" s="64"/>
      <c r="E888" s="64"/>
      <c r="F888" s="10"/>
      <c r="G888" s="28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0"/>
      <c r="B889" s="10"/>
      <c r="C889" s="10"/>
      <c r="D889" s="64"/>
      <c r="E889" s="64"/>
      <c r="F889" s="10"/>
      <c r="G889" s="28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0"/>
      <c r="B890" s="10"/>
      <c r="C890" s="10"/>
      <c r="D890" s="64"/>
      <c r="E890" s="64"/>
      <c r="F890" s="10"/>
      <c r="G890" s="28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0"/>
      <c r="B891" s="10"/>
      <c r="C891" s="10"/>
      <c r="D891" s="64"/>
      <c r="E891" s="64"/>
      <c r="F891" s="10"/>
      <c r="G891" s="28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0"/>
      <c r="B892" s="10"/>
      <c r="C892" s="10"/>
      <c r="D892" s="64"/>
      <c r="E892" s="64"/>
      <c r="F892" s="10"/>
      <c r="G892" s="28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0"/>
      <c r="B893" s="10"/>
      <c r="C893" s="10"/>
      <c r="D893" s="64"/>
      <c r="E893" s="64"/>
      <c r="F893" s="10"/>
      <c r="G893" s="28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0"/>
      <c r="B894" s="10"/>
      <c r="C894" s="10"/>
      <c r="D894" s="64"/>
      <c r="E894" s="64"/>
      <c r="F894" s="10"/>
      <c r="G894" s="28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0"/>
      <c r="B895" s="10"/>
      <c r="C895" s="10"/>
      <c r="D895" s="64"/>
      <c r="E895" s="64"/>
      <c r="F895" s="10"/>
      <c r="G895" s="28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0"/>
      <c r="B896" s="10"/>
      <c r="C896" s="10"/>
      <c r="D896" s="64"/>
      <c r="E896" s="64"/>
      <c r="F896" s="10"/>
      <c r="G896" s="28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0"/>
      <c r="B897" s="10"/>
      <c r="C897" s="10"/>
      <c r="D897" s="64"/>
      <c r="E897" s="64"/>
      <c r="F897" s="10"/>
      <c r="G897" s="28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0"/>
      <c r="B898" s="10"/>
      <c r="C898" s="10"/>
      <c r="D898" s="64"/>
      <c r="E898" s="64"/>
      <c r="F898" s="10"/>
      <c r="G898" s="28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0"/>
      <c r="B899" s="10"/>
      <c r="C899" s="10"/>
      <c r="D899" s="64"/>
      <c r="E899" s="64"/>
      <c r="F899" s="10"/>
      <c r="G899" s="28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0"/>
      <c r="B900" s="10"/>
      <c r="C900" s="10"/>
      <c r="D900" s="64"/>
      <c r="E900" s="64"/>
      <c r="F900" s="10"/>
      <c r="G900" s="28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0"/>
      <c r="B901" s="10"/>
      <c r="C901" s="10"/>
      <c r="D901" s="64"/>
      <c r="E901" s="64"/>
      <c r="F901" s="10"/>
      <c r="G901" s="28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0"/>
      <c r="B902" s="10"/>
      <c r="C902" s="10"/>
      <c r="D902" s="64"/>
      <c r="E902" s="64"/>
      <c r="F902" s="10"/>
      <c r="G902" s="28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0"/>
      <c r="B903" s="10"/>
      <c r="C903" s="10"/>
      <c r="D903" s="64"/>
      <c r="E903" s="64"/>
      <c r="F903" s="10"/>
      <c r="G903" s="28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0"/>
      <c r="B904" s="10"/>
      <c r="C904" s="10"/>
      <c r="D904" s="64"/>
      <c r="E904" s="64"/>
      <c r="F904" s="10"/>
      <c r="G904" s="28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0"/>
      <c r="B905" s="10"/>
      <c r="C905" s="10"/>
      <c r="D905" s="64"/>
      <c r="E905" s="64"/>
      <c r="F905" s="10"/>
      <c r="G905" s="28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0"/>
      <c r="B906" s="10"/>
      <c r="C906" s="10"/>
      <c r="D906" s="64"/>
      <c r="E906" s="64"/>
      <c r="F906" s="10"/>
      <c r="G906" s="28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0"/>
      <c r="B907" s="10"/>
      <c r="C907" s="10"/>
      <c r="D907" s="64"/>
      <c r="E907" s="64"/>
      <c r="F907" s="10"/>
      <c r="G907" s="28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0"/>
      <c r="B908" s="10"/>
      <c r="C908" s="10"/>
      <c r="D908" s="64"/>
      <c r="E908" s="64"/>
      <c r="F908" s="10"/>
      <c r="G908" s="28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0"/>
      <c r="B909" s="10"/>
      <c r="C909" s="10"/>
      <c r="D909" s="64"/>
      <c r="E909" s="64"/>
      <c r="F909" s="10"/>
      <c r="G909" s="28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0"/>
      <c r="B910" s="10"/>
      <c r="C910" s="10"/>
      <c r="D910" s="64"/>
      <c r="E910" s="64"/>
      <c r="F910" s="10"/>
      <c r="G910" s="28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0"/>
      <c r="B911" s="10"/>
      <c r="C911" s="10"/>
      <c r="D911" s="64"/>
      <c r="E911" s="64"/>
      <c r="F911" s="10"/>
      <c r="G911" s="28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0"/>
      <c r="B912" s="10"/>
      <c r="C912" s="10"/>
      <c r="D912" s="64"/>
      <c r="E912" s="64"/>
      <c r="F912" s="10"/>
      <c r="G912" s="28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0"/>
      <c r="B913" s="10"/>
      <c r="C913" s="10"/>
      <c r="D913" s="64"/>
      <c r="E913" s="64"/>
      <c r="F913" s="10"/>
      <c r="G913" s="28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0"/>
      <c r="B914" s="10"/>
      <c r="C914" s="10"/>
      <c r="D914" s="64"/>
      <c r="E914" s="64"/>
      <c r="F914" s="10"/>
      <c r="G914" s="28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0"/>
      <c r="B915" s="10"/>
      <c r="C915" s="10"/>
      <c r="D915" s="64"/>
      <c r="E915" s="64"/>
      <c r="F915" s="10"/>
      <c r="G915" s="28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0"/>
      <c r="B916" s="10"/>
      <c r="C916" s="10"/>
      <c r="D916" s="64"/>
      <c r="E916" s="64"/>
      <c r="F916" s="10"/>
      <c r="G916" s="28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0"/>
      <c r="B917" s="10"/>
      <c r="C917" s="10"/>
      <c r="D917" s="64"/>
      <c r="E917" s="64"/>
      <c r="F917" s="10"/>
      <c r="G917" s="28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0"/>
      <c r="B918" s="10"/>
      <c r="C918" s="10"/>
      <c r="D918" s="64"/>
      <c r="E918" s="64"/>
      <c r="F918" s="10"/>
      <c r="G918" s="28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0"/>
      <c r="B919" s="10"/>
      <c r="C919" s="10"/>
      <c r="D919" s="64"/>
      <c r="E919" s="64"/>
      <c r="F919" s="10"/>
      <c r="G919" s="28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0"/>
      <c r="B920" s="10"/>
      <c r="C920" s="10"/>
      <c r="D920" s="64"/>
      <c r="E920" s="64"/>
      <c r="F920" s="10"/>
      <c r="G920" s="28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0"/>
      <c r="B921" s="10"/>
      <c r="C921" s="10"/>
      <c r="D921" s="64"/>
      <c r="E921" s="64"/>
      <c r="F921" s="10"/>
      <c r="G921" s="28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0"/>
      <c r="B922" s="10"/>
      <c r="C922" s="10"/>
      <c r="D922" s="64"/>
      <c r="E922" s="64"/>
      <c r="F922" s="10"/>
      <c r="G922" s="28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0"/>
      <c r="B923" s="10"/>
      <c r="C923" s="10"/>
      <c r="D923" s="64"/>
      <c r="E923" s="64"/>
      <c r="F923" s="10"/>
      <c r="G923" s="28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0"/>
      <c r="B924" s="10"/>
      <c r="C924" s="10"/>
      <c r="D924" s="64"/>
      <c r="E924" s="64"/>
      <c r="F924" s="10"/>
      <c r="G924" s="28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0"/>
      <c r="B925" s="10"/>
      <c r="C925" s="10"/>
      <c r="D925" s="64"/>
      <c r="E925" s="64"/>
      <c r="F925" s="10"/>
      <c r="G925" s="28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0"/>
      <c r="B926" s="10"/>
      <c r="C926" s="10"/>
      <c r="D926" s="64"/>
      <c r="E926" s="64"/>
      <c r="F926" s="10"/>
      <c r="G926" s="28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0"/>
      <c r="B927" s="10"/>
      <c r="C927" s="10"/>
      <c r="D927" s="64"/>
      <c r="E927" s="64"/>
      <c r="F927" s="10"/>
      <c r="G927" s="28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0"/>
      <c r="B928" s="10"/>
      <c r="C928" s="10"/>
      <c r="D928" s="64"/>
      <c r="E928" s="64"/>
      <c r="F928" s="10"/>
      <c r="G928" s="28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0"/>
      <c r="B929" s="10"/>
      <c r="C929" s="10"/>
      <c r="D929" s="64"/>
      <c r="E929" s="64"/>
      <c r="F929" s="10"/>
      <c r="G929" s="28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0"/>
      <c r="B930" s="10"/>
      <c r="C930" s="10"/>
      <c r="D930" s="64"/>
      <c r="E930" s="64"/>
      <c r="F930" s="10"/>
      <c r="G930" s="28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0"/>
      <c r="B931" s="10"/>
      <c r="C931" s="10"/>
      <c r="D931" s="64"/>
      <c r="E931" s="64"/>
      <c r="F931" s="10"/>
      <c r="G931" s="28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0"/>
      <c r="B932" s="10"/>
      <c r="C932" s="10"/>
      <c r="D932" s="64"/>
      <c r="E932" s="64"/>
      <c r="F932" s="10"/>
      <c r="G932" s="28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0"/>
      <c r="B933" s="10"/>
      <c r="C933" s="10"/>
      <c r="D933" s="64"/>
      <c r="E933" s="64"/>
      <c r="F933" s="10"/>
      <c r="G933" s="28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0"/>
      <c r="B934" s="10"/>
      <c r="C934" s="10"/>
      <c r="D934" s="64"/>
      <c r="E934" s="64"/>
      <c r="F934" s="10"/>
      <c r="G934" s="28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0"/>
      <c r="B935" s="10"/>
      <c r="C935" s="10"/>
      <c r="D935" s="64"/>
      <c r="E935" s="64"/>
      <c r="F935" s="10"/>
      <c r="G935" s="28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0"/>
      <c r="B936" s="10"/>
      <c r="C936" s="10"/>
      <c r="D936" s="64"/>
      <c r="E936" s="64"/>
      <c r="F936" s="10"/>
      <c r="G936" s="28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0"/>
      <c r="B937" s="10"/>
      <c r="C937" s="10"/>
      <c r="D937" s="64"/>
      <c r="E937" s="64"/>
      <c r="F937" s="10"/>
      <c r="G937" s="28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0"/>
      <c r="B938" s="10"/>
      <c r="C938" s="10"/>
      <c r="D938" s="64"/>
      <c r="E938" s="64"/>
      <c r="F938" s="10"/>
      <c r="G938" s="28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0"/>
      <c r="B939" s="10"/>
      <c r="C939" s="10"/>
      <c r="D939" s="64"/>
      <c r="E939" s="64"/>
      <c r="F939" s="10"/>
      <c r="G939" s="28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0"/>
      <c r="B940" s="10"/>
      <c r="C940" s="10"/>
      <c r="D940" s="64"/>
      <c r="E940" s="64"/>
      <c r="F940" s="10"/>
      <c r="G940" s="28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0"/>
      <c r="B941" s="10"/>
      <c r="C941" s="10"/>
      <c r="D941" s="64"/>
      <c r="E941" s="64"/>
      <c r="F941" s="10"/>
      <c r="G941" s="28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0"/>
      <c r="B942" s="10"/>
      <c r="C942" s="10"/>
      <c r="D942" s="64"/>
      <c r="E942" s="64"/>
      <c r="F942" s="10"/>
      <c r="G942" s="28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0"/>
      <c r="B943" s="10"/>
      <c r="C943" s="10"/>
      <c r="D943" s="64"/>
      <c r="E943" s="64"/>
      <c r="F943" s="10"/>
      <c r="G943" s="28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0"/>
      <c r="B944" s="10"/>
      <c r="C944" s="10"/>
      <c r="D944" s="64"/>
      <c r="E944" s="64"/>
      <c r="F944" s="10"/>
      <c r="G944" s="28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0"/>
      <c r="B945" s="10"/>
      <c r="C945" s="10"/>
      <c r="D945" s="64"/>
      <c r="E945" s="64"/>
      <c r="F945" s="10"/>
      <c r="G945" s="28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0"/>
      <c r="B946" s="10"/>
      <c r="C946" s="10"/>
      <c r="D946" s="64"/>
      <c r="E946" s="64"/>
      <c r="F946" s="10"/>
      <c r="G946" s="28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0"/>
      <c r="B947" s="10"/>
      <c r="C947" s="10"/>
      <c r="D947" s="64"/>
      <c r="E947" s="64"/>
      <c r="F947" s="10"/>
      <c r="G947" s="28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0"/>
      <c r="B948" s="10"/>
      <c r="C948" s="10"/>
      <c r="D948" s="64"/>
      <c r="E948" s="64"/>
      <c r="F948" s="10"/>
      <c r="G948" s="28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0"/>
      <c r="B949" s="10"/>
      <c r="C949" s="10"/>
      <c r="D949" s="64"/>
      <c r="E949" s="64"/>
      <c r="F949" s="10"/>
      <c r="G949" s="28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0"/>
      <c r="B950" s="10"/>
      <c r="C950" s="10"/>
      <c r="D950" s="64"/>
      <c r="E950" s="64"/>
      <c r="F950" s="10"/>
      <c r="G950" s="28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0"/>
      <c r="B951" s="10"/>
      <c r="C951" s="10"/>
      <c r="D951" s="64"/>
      <c r="E951" s="64"/>
      <c r="F951" s="10"/>
      <c r="G951" s="28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0"/>
      <c r="B952" s="10"/>
      <c r="C952" s="10"/>
      <c r="D952" s="64"/>
      <c r="E952" s="64"/>
      <c r="F952" s="10"/>
      <c r="G952" s="28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0"/>
      <c r="B953" s="10"/>
      <c r="C953" s="10"/>
      <c r="D953" s="64"/>
      <c r="E953" s="64"/>
      <c r="F953" s="10"/>
      <c r="G953" s="28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0"/>
      <c r="B954" s="10"/>
      <c r="C954" s="10"/>
      <c r="D954" s="64"/>
      <c r="E954" s="64"/>
      <c r="F954" s="10"/>
      <c r="G954" s="28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0"/>
      <c r="B955" s="10"/>
      <c r="C955" s="10"/>
      <c r="D955" s="64"/>
      <c r="E955" s="64"/>
      <c r="F955" s="10"/>
      <c r="G955" s="28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0"/>
      <c r="B956" s="10"/>
      <c r="C956" s="10"/>
      <c r="D956" s="64"/>
      <c r="E956" s="64"/>
      <c r="F956" s="10"/>
      <c r="G956" s="28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0"/>
      <c r="B957" s="10"/>
      <c r="C957" s="10"/>
      <c r="D957" s="64"/>
      <c r="E957" s="64"/>
      <c r="F957" s="10"/>
      <c r="G957" s="28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0"/>
      <c r="B958" s="10"/>
      <c r="C958" s="10"/>
      <c r="D958" s="64"/>
      <c r="E958" s="64"/>
      <c r="F958" s="10"/>
      <c r="G958" s="28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0"/>
      <c r="B959" s="10"/>
      <c r="C959" s="10"/>
      <c r="D959" s="64"/>
      <c r="E959" s="64"/>
      <c r="F959" s="10"/>
      <c r="G959" s="28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0"/>
      <c r="B960" s="10"/>
      <c r="C960" s="10"/>
      <c r="D960" s="64"/>
      <c r="E960" s="64"/>
      <c r="F960" s="10"/>
      <c r="G960" s="28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0"/>
      <c r="B961" s="10"/>
      <c r="C961" s="10"/>
      <c r="D961" s="64"/>
      <c r="E961" s="64"/>
      <c r="F961" s="10"/>
      <c r="G961" s="28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0"/>
      <c r="B962" s="10"/>
      <c r="C962" s="10"/>
      <c r="D962" s="64"/>
      <c r="E962" s="64"/>
      <c r="F962" s="10"/>
      <c r="G962" s="28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0"/>
      <c r="B963" s="10"/>
      <c r="C963" s="10"/>
      <c r="D963" s="64"/>
      <c r="E963" s="64"/>
      <c r="F963" s="10"/>
      <c r="G963" s="28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0"/>
      <c r="B964" s="10"/>
      <c r="C964" s="10"/>
      <c r="D964" s="64"/>
      <c r="E964" s="64"/>
      <c r="F964" s="10"/>
      <c r="G964" s="28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0"/>
      <c r="B965" s="10"/>
      <c r="C965" s="10"/>
      <c r="D965" s="64"/>
      <c r="E965" s="64"/>
      <c r="F965" s="10"/>
      <c r="G965" s="28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0"/>
      <c r="B966" s="10"/>
      <c r="C966" s="10"/>
      <c r="D966" s="64"/>
      <c r="E966" s="64"/>
      <c r="F966" s="10"/>
      <c r="G966" s="28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0"/>
      <c r="B967" s="10"/>
      <c r="C967" s="10"/>
      <c r="D967" s="64"/>
      <c r="E967" s="64"/>
      <c r="F967" s="10"/>
      <c r="G967" s="28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0"/>
      <c r="B968" s="10"/>
      <c r="C968" s="10"/>
      <c r="D968" s="64"/>
      <c r="E968" s="64"/>
      <c r="F968" s="10"/>
      <c r="G968" s="28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0"/>
      <c r="B969" s="10"/>
      <c r="C969" s="10"/>
      <c r="D969" s="64"/>
      <c r="E969" s="64"/>
      <c r="F969" s="10"/>
      <c r="G969" s="28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0"/>
      <c r="B970" s="10"/>
      <c r="C970" s="10"/>
      <c r="D970" s="64"/>
      <c r="E970" s="64"/>
      <c r="F970" s="10"/>
      <c r="G970" s="28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0"/>
      <c r="B971" s="10"/>
      <c r="C971" s="10"/>
      <c r="D971" s="64"/>
      <c r="E971" s="64"/>
      <c r="F971" s="10"/>
      <c r="G971" s="28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0" customHeight="1">
      <c r="A972" s="10"/>
      <c r="B972" s="10"/>
      <c r="C972" s="10"/>
      <c r="D972" s="64"/>
      <c r="E972" s="64"/>
      <c r="F972" s="10"/>
      <c r="G972" s="28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0" customHeight="1">
      <c r="A973" s="10"/>
      <c r="B973" s="10"/>
      <c r="C973" s="10"/>
      <c r="D973" s="64"/>
      <c r="E973" s="64"/>
      <c r="F973" s="10"/>
      <c r="G973" s="28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0" customHeight="1">
      <c r="A974" s="10"/>
      <c r="B974" s="10"/>
      <c r="C974" s="10"/>
      <c r="D974" s="64"/>
      <c r="E974" s="64"/>
      <c r="F974" s="10"/>
      <c r="G974" s="28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0" customHeight="1">
      <c r="A975" s="10"/>
      <c r="B975" s="10"/>
      <c r="C975" s="10"/>
      <c r="D975" s="64"/>
      <c r="E975" s="64"/>
      <c r="F975" s="10"/>
      <c r="G975" s="28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0" customHeight="1">
      <c r="A976" s="10"/>
      <c r="B976" s="10"/>
      <c r="C976" s="10"/>
      <c r="D976" s="64"/>
      <c r="E976" s="64"/>
      <c r="F976" s="10"/>
      <c r="G976" s="28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0" customHeight="1">
      <c r="A977" s="10"/>
      <c r="B977" s="10"/>
      <c r="C977" s="10"/>
      <c r="D977" s="64"/>
      <c r="E977" s="64"/>
      <c r="F977" s="10"/>
      <c r="G977" s="28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0" customHeight="1">
      <c r="A978" s="10"/>
      <c r="B978" s="10"/>
      <c r="C978" s="10"/>
      <c r="D978" s="64"/>
      <c r="E978" s="64"/>
      <c r="F978" s="10"/>
      <c r="G978" s="28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0" customHeight="1">
      <c r="A979" s="10"/>
      <c r="B979" s="10"/>
      <c r="C979" s="10"/>
      <c r="D979" s="64"/>
      <c r="E979" s="64"/>
      <c r="F979" s="10"/>
      <c r="G979" s="28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0" customHeight="1">
      <c r="A980" s="10"/>
      <c r="B980" s="10"/>
      <c r="C980" s="10"/>
      <c r="D980" s="64"/>
      <c r="E980" s="64"/>
      <c r="F980" s="10"/>
      <c r="G980" s="28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0" customHeight="1">
      <c r="A981" s="10"/>
      <c r="B981" s="10"/>
      <c r="C981" s="10"/>
      <c r="D981" s="64"/>
      <c r="E981" s="64"/>
      <c r="F981" s="10"/>
      <c r="G981" s="28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0" customHeight="1">
      <c r="A982" s="10"/>
      <c r="B982" s="10"/>
      <c r="C982" s="10"/>
      <c r="D982" s="64"/>
      <c r="E982" s="64"/>
      <c r="F982" s="10"/>
      <c r="G982" s="28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0" customHeight="1">
      <c r="A983" s="10"/>
      <c r="B983" s="10"/>
      <c r="C983" s="10"/>
      <c r="D983" s="64"/>
      <c r="E983" s="64"/>
      <c r="F983" s="10"/>
      <c r="G983" s="28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0" customHeight="1">
      <c r="A984" s="10"/>
      <c r="B984" s="10"/>
      <c r="C984" s="10"/>
      <c r="D984" s="64"/>
      <c r="E984" s="64"/>
      <c r="F984" s="10"/>
      <c r="G984" s="28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0" customHeight="1">
      <c r="A985" s="10"/>
      <c r="B985" s="10"/>
      <c r="C985" s="10"/>
      <c r="D985" s="64"/>
      <c r="E985" s="64"/>
      <c r="F985" s="10"/>
      <c r="G985" s="28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0" customHeight="1">
      <c r="A986" s="10"/>
      <c r="B986" s="10"/>
      <c r="C986" s="10"/>
      <c r="D986" s="64"/>
      <c r="E986" s="64"/>
      <c r="F986" s="10"/>
      <c r="G986" s="28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0" customHeight="1">
      <c r="A987" s="10"/>
      <c r="B987" s="10"/>
      <c r="C987" s="10"/>
      <c r="D987" s="64"/>
      <c r="E987" s="64"/>
      <c r="F987" s="10"/>
      <c r="G987" s="28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0" customHeight="1">
      <c r="A988" s="10"/>
      <c r="B988" s="10"/>
      <c r="C988" s="10"/>
      <c r="D988" s="64"/>
      <c r="E988" s="64"/>
      <c r="F988" s="10"/>
      <c r="G988" s="28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0" customHeight="1">
      <c r="A989" s="10"/>
      <c r="B989" s="10"/>
      <c r="C989" s="10"/>
      <c r="D989" s="64"/>
      <c r="E989" s="64"/>
      <c r="F989" s="10"/>
      <c r="G989" s="28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0" customHeight="1">
      <c r="A990" s="10"/>
      <c r="B990" s="10"/>
      <c r="C990" s="10"/>
      <c r="D990" s="64"/>
      <c r="E990" s="64"/>
      <c r="F990" s="10"/>
      <c r="G990" s="28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0" customHeight="1">
      <c r="A991" s="10"/>
      <c r="B991" s="10"/>
      <c r="C991" s="10"/>
      <c r="D991" s="64"/>
      <c r="E991" s="64"/>
      <c r="F991" s="10"/>
      <c r="G991" s="28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0" customHeight="1">
      <c r="A992" s="10"/>
      <c r="B992" s="10"/>
      <c r="C992" s="10"/>
      <c r="D992" s="64"/>
      <c r="E992" s="64"/>
      <c r="F992" s="10"/>
      <c r="G992" s="28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</sheetData>
  <autoFilter ref="$A$1:$H$19">
    <sortState ref="A1:H19">
      <sortCondition ref="E1:E19"/>
      <sortCondition ref="D1:D19"/>
      <sortCondition ref="A1:A19"/>
    </sortState>
  </autoFilter>
  <conditionalFormatting sqref="A2 B2:D4 E2:F2 G2:H4 A4">
    <cfRule type="expression" dxfId="0" priority="1">
      <formula>$H2="Missing"</formula>
    </cfRule>
  </conditionalFormatting>
  <conditionalFormatting sqref="A2 B2:D4 E2:F2 G2:H4 A4">
    <cfRule type="expression" dxfId="1" priority="2">
      <formula>$H2="Lent"</formula>
    </cfRule>
  </conditionalFormatting>
  <conditionalFormatting sqref="A3:H53 A55:A74">
    <cfRule type="expression" dxfId="0" priority="3">
      <formula>$H3="Missing"</formula>
    </cfRule>
  </conditionalFormatting>
  <conditionalFormatting sqref="A3:H53 A55:A74">
    <cfRule type="expression" dxfId="1" priority="4">
      <formula>$H3="Lent"</formula>
    </cfRule>
  </conditionalFormatting>
  <conditionalFormatting sqref="B9:G9">
    <cfRule type="expression" dxfId="0" priority="5">
      <formula>$H54="Missing"</formula>
    </cfRule>
  </conditionalFormatting>
  <conditionalFormatting sqref="B9:G9">
    <cfRule type="expression" dxfId="1" priority="6">
      <formula>$H54="Lent"</formula>
    </cfRule>
  </conditionalFormatting>
  <conditionalFormatting sqref="H9">
    <cfRule type="expression" dxfId="0" priority="7">
      <formula>$H9="Missing"</formula>
    </cfRule>
  </conditionalFormatting>
  <conditionalFormatting sqref="H9">
    <cfRule type="expression" dxfId="1" priority="8">
      <formula>$H9="Lent"</formula>
    </cfRule>
  </conditionalFormatting>
  <conditionalFormatting sqref="A54 B54:H74">
    <cfRule type="expression" dxfId="0" priority="9">
      <formula>$H53="Missing"</formula>
    </cfRule>
  </conditionalFormatting>
  <conditionalFormatting sqref="A54 B54:H74">
    <cfRule type="expression" dxfId="1" priority="10">
      <formula>$H53="Lent"</formula>
    </cfRule>
  </conditionalFormatting>
  <dataValidations>
    <dataValidation type="list" allowBlank="1" showErrorMessage="1" sqref="H2:H74">
      <formula1>'Sheet Dynamics'!$B$2:$D$2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2" width="3.0"/>
    <col customWidth="1" min="3" max="4" width="13.14"/>
    <col customWidth="1" min="5" max="5" width="10.14"/>
    <col customWidth="1" min="6" max="6" width="25.71"/>
    <col customWidth="1" min="7" max="7" width="3.0"/>
    <col customWidth="1" min="8" max="8" width="13.57"/>
    <col customWidth="1" min="9" max="9" width="10.14"/>
    <col customWidth="1" min="10" max="12" width="17.57"/>
    <col customWidth="1" min="13" max="14" width="12.14"/>
    <col customWidth="1" hidden="1" min="15" max="15" width="11.71"/>
    <col customWidth="1" min="16" max="16" width="7.57"/>
    <col customWidth="1" min="17" max="27" width="6.71"/>
  </cols>
  <sheetData>
    <row r="1" ht="12.0" customHeight="1">
      <c r="A1" s="30" t="s">
        <v>0</v>
      </c>
      <c r="B1" s="30" t="s">
        <v>1486</v>
      </c>
      <c r="C1" s="65" t="s">
        <v>1487</v>
      </c>
      <c r="D1" s="30" t="s">
        <v>1438</v>
      </c>
      <c r="E1" s="31" t="s">
        <v>1488</v>
      </c>
      <c r="F1" s="30" t="s">
        <v>1489</v>
      </c>
      <c r="G1" s="30" t="s">
        <v>1490</v>
      </c>
      <c r="H1" s="30" t="s">
        <v>1491</v>
      </c>
      <c r="I1" s="30" t="s">
        <v>1492</v>
      </c>
      <c r="J1" s="30" t="s">
        <v>1493</v>
      </c>
      <c r="K1" s="30" t="s">
        <v>1494</v>
      </c>
      <c r="L1" s="65" t="s">
        <v>1495</v>
      </c>
      <c r="M1" s="65" t="s">
        <v>1496</v>
      </c>
      <c r="N1" s="30" t="s">
        <v>8</v>
      </c>
      <c r="O1" s="31" t="s">
        <v>1497</v>
      </c>
      <c r="P1" s="32" t="s">
        <v>13</v>
      </c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ht="12.0" customHeight="1">
      <c r="A2" s="12" t="s">
        <v>1498</v>
      </c>
      <c r="B2" s="12">
        <v>1.0</v>
      </c>
      <c r="C2" s="12"/>
      <c r="D2" s="12" t="s">
        <v>1499</v>
      </c>
      <c r="E2" s="12" t="s">
        <v>1133</v>
      </c>
      <c r="F2" s="5"/>
      <c r="G2" s="5"/>
      <c r="H2" s="5"/>
      <c r="I2" s="12">
        <v>2022.0</v>
      </c>
      <c r="J2" s="12" t="s">
        <v>1500</v>
      </c>
      <c r="K2" s="12" t="s">
        <v>1500</v>
      </c>
      <c r="L2" s="12" t="s">
        <v>1501</v>
      </c>
      <c r="M2" s="7"/>
      <c r="N2" s="14" t="s">
        <v>1502</v>
      </c>
      <c r="O2" s="5"/>
      <c r="P2" s="49" t="s">
        <v>22</v>
      </c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ht="12.0" customHeight="1">
      <c r="A3" s="12" t="s">
        <v>1503</v>
      </c>
      <c r="B3" s="5"/>
      <c r="C3" s="12"/>
      <c r="D3" s="12" t="s">
        <v>1504</v>
      </c>
      <c r="E3" s="12" t="s">
        <v>1133</v>
      </c>
      <c r="F3" s="5"/>
      <c r="G3" s="5"/>
      <c r="H3" s="5"/>
      <c r="I3" s="12">
        <v>2012.0</v>
      </c>
      <c r="J3" s="12" t="s">
        <v>1505</v>
      </c>
      <c r="K3" s="12" t="s">
        <v>1506</v>
      </c>
      <c r="L3" s="12" t="s">
        <v>1507</v>
      </c>
      <c r="M3" s="14" t="s">
        <v>1508</v>
      </c>
      <c r="N3" s="14" t="s">
        <v>1509</v>
      </c>
      <c r="O3" s="5"/>
      <c r="P3" s="34" t="s">
        <v>22</v>
      </c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ht="12.0" customHeight="1">
      <c r="A4" s="12" t="s">
        <v>1510</v>
      </c>
      <c r="B4" s="12">
        <v>1.0</v>
      </c>
      <c r="C4" s="12"/>
      <c r="D4" s="12" t="s">
        <v>1511</v>
      </c>
      <c r="E4" s="12" t="s">
        <v>1133</v>
      </c>
      <c r="F4" s="5"/>
      <c r="G4" s="5"/>
      <c r="H4" s="5"/>
      <c r="I4" s="12">
        <v>2016.0</v>
      </c>
      <c r="J4" s="12" t="s">
        <v>1512</v>
      </c>
      <c r="K4" s="12" t="s">
        <v>1513</v>
      </c>
      <c r="L4" s="12" t="s">
        <v>1514</v>
      </c>
      <c r="M4" s="15" t="s">
        <v>1515</v>
      </c>
      <c r="N4" s="14" t="s">
        <v>1516</v>
      </c>
      <c r="O4" s="5"/>
      <c r="P4" s="34" t="s">
        <v>22</v>
      </c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ht="12.0" customHeight="1">
      <c r="A5" s="5" t="s">
        <v>1517</v>
      </c>
      <c r="B5" s="5">
        <v>1.0</v>
      </c>
      <c r="C5" s="5"/>
      <c r="D5" s="5" t="s">
        <v>1518</v>
      </c>
      <c r="E5" s="5" t="s">
        <v>1133</v>
      </c>
      <c r="F5" s="5"/>
      <c r="G5" s="5"/>
      <c r="H5" s="5"/>
      <c r="I5" s="5">
        <v>2015.0</v>
      </c>
      <c r="J5" s="5" t="s">
        <v>1519</v>
      </c>
      <c r="K5" s="5" t="s">
        <v>1519</v>
      </c>
      <c r="L5" s="12" t="s">
        <v>1520</v>
      </c>
      <c r="M5" s="15" t="s">
        <v>1521</v>
      </c>
      <c r="N5" s="7" t="s">
        <v>1522</v>
      </c>
      <c r="O5" s="5"/>
      <c r="P5" s="34" t="s">
        <v>22</v>
      </c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ht="12.0" customHeight="1">
      <c r="A6" s="12" t="s">
        <v>1523</v>
      </c>
      <c r="B6" s="12">
        <v>1.0</v>
      </c>
      <c r="C6" s="12"/>
      <c r="D6" s="12" t="s">
        <v>1524</v>
      </c>
      <c r="E6" s="12" t="s">
        <v>1133</v>
      </c>
      <c r="F6" s="5"/>
      <c r="G6" s="5"/>
      <c r="H6" s="5"/>
      <c r="I6" s="12">
        <v>2014.0</v>
      </c>
      <c r="J6" s="12" t="s">
        <v>1525</v>
      </c>
      <c r="K6" s="12" t="s">
        <v>1526</v>
      </c>
      <c r="L6" s="12" t="s">
        <v>1527</v>
      </c>
      <c r="M6" s="15" t="s">
        <v>1528</v>
      </c>
      <c r="N6" s="14" t="s">
        <v>1529</v>
      </c>
      <c r="O6" s="5"/>
      <c r="P6" s="49" t="s">
        <v>22</v>
      </c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ht="12.0" customHeight="1">
      <c r="A7" s="12" t="s">
        <v>1530</v>
      </c>
      <c r="B7" s="12"/>
      <c r="C7" s="12"/>
      <c r="D7" s="12" t="s">
        <v>1531</v>
      </c>
      <c r="E7" s="12" t="s">
        <v>1133</v>
      </c>
      <c r="F7" s="5"/>
      <c r="G7" s="5"/>
      <c r="H7" s="5"/>
      <c r="I7" s="12">
        <v>2009.0</v>
      </c>
      <c r="J7" s="12" t="s">
        <v>1532</v>
      </c>
      <c r="K7" s="12" t="s">
        <v>1533</v>
      </c>
      <c r="L7" s="12" t="s">
        <v>1534</v>
      </c>
      <c r="M7" s="15" t="s">
        <v>1535</v>
      </c>
      <c r="N7" s="14" t="s">
        <v>1536</v>
      </c>
      <c r="O7" s="5"/>
      <c r="P7" s="49" t="s">
        <v>22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ht="12.0" customHeight="1">
      <c r="A8" s="12" t="s">
        <v>1537</v>
      </c>
      <c r="B8" s="12">
        <v>1.0</v>
      </c>
      <c r="C8" s="12"/>
      <c r="D8" s="12" t="s">
        <v>1531</v>
      </c>
      <c r="E8" s="12" t="s">
        <v>1133</v>
      </c>
      <c r="F8" s="5"/>
      <c r="G8" s="5"/>
      <c r="H8" s="5"/>
      <c r="I8" s="12">
        <v>2011.0</v>
      </c>
      <c r="J8" s="12" t="s">
        <v>1538</v>
      </c>
      <c r="K8" s="12" t="s">
        <v>1539</v>
      </c>
      <c r="L8" s="12" t="s">
        <v>1540</v>
      </c>
      <c r="M8" s="15" t="s">
        <v>1541</v>
      </c>
      <c r="N8" s="14" t="s">
        <v>1542</v>
      </c>
      <c r="O8" s="5"/>
      <c r="P8" s="49" t="s">
        <v>22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ht="12.0" customHeight="1">
      <c r="A9" s="12" t="s">
        <v>1543</v>
      </c>
      <c r="B9" s="12">
        <v>1.0</v>
      </c>
      <c r="C9" s="12"/>
      <c r="D9" s="12" t="s">
        <v>1531</v>
      </c>
      <c r="E9" s="12" t="s">
        <v>1133</v>
      </c>
      <c r="F9" s="5"/>
      <c r="G9" s="5"/>
      <c r="H9" s="5"/>
      <c r="I9" s="12">
        <v>2012.0</v>
      </c>
      <c r="J9" s="12" t="s">
        <v>1544</v>
      </c>
      <c r="K9" s="12" t="s">
        <v>1545</v>
      </c>
      <c r="L9" s="12" t="s">
        <v>1546</v>
      </c>
      <c r="M9" s="15" t="s">
        <v>1547</v>
      </c>
      <c r="N9" s="14" t="s">
        <v>1548</v>
      </c>
      <c r="O9" s="5"/>
      <c r="P9" s="34" t="s">
        <v>22</v>
      </c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ht="12.0" customHeight="1">
      <c r="A10" s="12" t="s">
        <v>1549</v>
      </c>
      <c r="B10" s="5"/>
      <c r="C10" s="12"/>
      <c r="D10" s="12" t="s">
        <v>1531</v>
      </c>
      <c r="E10" s="5" t="s">
        <v>1133</v>
      </c>
      <c r="F10" s="5"/>
      <c r="G10" s="5"/>
      <c r="H10" s="5"/>
      <c r="I10" s="12">
        <v>1989.0</v>
      </c>
      <c r="J10" s="12" t="s">
        <v>1532</v>
      </c>
      <c r="K10" s="12" t="s">
        <v>1550</v>
      </c>
      <c r="L10" s="12" t="s">
        <v>957</v>
      </c>
      <c r="M10" s="17" t="s">
        <v>1551</v>
      </c>
      <c r="N10" s="14" t="s">
        <v>1552</v>
      </c>
      <c r="O10" s="5"/>
      <c r="P10" s="49" t="s">
        <v>368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ht="12.0" customHeight="1">
      <c r="A11" s="5" t="s">
        <v>1553</v>
      </c>
      <c r="B11" s="5"/>
      <c r="C11" s="5"/>
      <c r="D11" s="5" t="s">
        <v>1531</v>
      </c>
      <c r="E11" s="5" t="s">
        <v>1133</v>
      </c>
      <c r="F11" s="5"/>
      <c r="G11" s="5"/>
      <c r="H11" s="5"/>
      <c r="I11" s="5">
        <v>1996.0</v>
      </c>
      <c r="J11" s="5" t="s">
        <v>1554</v>
      </c>
      <c r="K11" s="5" t="s">
        <v>1555</v>
      </c>
      <c r="L11" s="12" t="s">
        <v>1556</v>
      </c>
      <c r="M11" s="15" t="s">
        <v>1557</v>
      </c>
      <c r="N11" s="7" t="s">
        <v>1558</v>
      </c>
      <c r="O11" s="5" t="s">
        <v>1559</v>
      </c>
      <c r="P11" s="34" t="s">
        <v>22</v>
      </c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ht="12.0" customHeight="1">
      <c r="A12" s="5" t="s">
        <v>1560</v>
      </c>
      <c r="B12" s="5">
        <v>1.0</v>
      </c>
      <c r="C12" s="5"/>
      <c r="D12" s="5" t="s">
        <v>1531</v>
      </c>
      <c r="E12" s="5" t="s">
        <v>1133</v>
      </c>
      <c r="F12" s="5"/>
      <c r="G12" s="5"/>
      <c r="H12" s="5"/>
      <c r="I12" s="5">
        <v>1986.0</v>
      </c>
      <c r="J12" s="5" t="s">
        <v>1561</v>
      </c>
      <c r="K12" s="5" t="s">
        <v>1561</v>
      </c>
      <c r="L12" s="12" t="s">
        <v>1562</v>
      </c>
      <c r="M12" s="15" t="s">
        <v>1563</v>
      </c>
      <c r="N12" s="7" t="s">
        <v>1564</v>
      </c>
      <c r="O12" s="5"/>
      <c r="P12" s="49" t="s">
        <v>368</v>
      </c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ht="12.0" customHeight="1">
      <c r="A13" s="12" t="s">
        <v>1565</v>
      </c>
      <c r="B13" s="12">
        <v>1.0</v>
      </c>
      <c r="C13" s="12"/>
      <c r="D13" s="12" t="s">
        <v>1531</v>
      </c>
      <c r="E13" s="12" t="s">
        <v>1133</v>
      </c>
      <c r="F13" s="5"/>
      <c r="G13" s="5"/>
      <c r="H13" s="5"/>
      <c r="I13" s="12">
        <v>2023.0</v>
      </c>
      <c r="J13" s="12" t="s">
        <v>1512</v>
      </c>
      <c r="K13" s="12" t="s">
        <v>1566</v>
      </c>
      <c r="L13" s="12" t="s">
        <v>1567</v>
      </c>
      <c r="M13" s="7"/>
      <c r="N13" s="14" t="s">
        <v>1568</v>
      </c>
      <c r="O13" s="5"/>
      <c r="P13" s="34" t="s">
        <v>22</v>
      </c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ht="12.0" customHeight="1">
      <c r="A14" s="5" t="s">
        <v>1569</v>
      </c>
      <c r="B14" s="5">
        <v>1.0</v>
      </c>
      <c r="C14" s="5"/>
      <c r="D14" s="5" t="s">
        <v>1531</v>
      </c>
      <c r="E14" s="5" t="s">
        <v>1133</v>
      </c>
      <c r="F14" s="5"/>
      <c r="G14" s="5"/>
      <c r="H14" s="5"/>
      <c r="I14" s="5">
        <v>2011.0</v>
      </c>
      <c r="J14" s="5" t="s">
        <v>1570</v>
      </c>
      <c r="K14" s="5" t="s">
        <v>1571</v>
      </c>
      <c r="L14" s="12" t="s">
        <v>1572</v>
      </c>
      <c r="M14" s="15" t="s">
        <v>1573</v>
      </c>
      <c r="N14" s="7" t="s">
        <v>1574</v>
      </c>
      <c r="O14" s="5"/>
      <c r="P14" s="34" t="s">
        <v>22</v>
      </c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ht="12.0" customHeight="1">
      <c r="A15" s="12" t="s">
        <v>1575</v>
      </c>
      <c r="B15" s="5"/>
      <c r="C15" s="5"/>
      <c r="D15" s="5" t="s">
        <v>1531</v>
      </c>
      <c r="E15" s="5" t="s">
        <v>1133</v>
      </c>
      <c r="F15" s="5"/>
      <c r="G15" s="5"/>
      <c r="H15" s="5"/>
      <c r="I15" s="12">
        <v>2008.0</v>
      </c>
      <c r="J15" s="12" t="s">
        <v>1576</v>
      </c>
      <c r="K15" s="12" t="s">
        <v>1576</v>
      </c>
      <c r="L15" s="12" t="s">
        <v>1577</v>
      </c>
      <c r="M15" s="15" t="s">
        <v>1578</v>
      </c>
      <c r="N15" s="14" t="s">
        <v>1579</v>
      </c>
      <c r="O15" s="5"/>
      <c r="P15" s="34" t="s">
        <v>22</v>
      </c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ht="12.0" customHeight="1">
      <c r="A16" s="12" t="s">
        <v>1580</v>
      </c>
      <c r="B16" s="5"/>
      <c r="C16" s="5"/>
      <c r="D16" s="5" t="s">
        <v>1531</v>
      </c>
      <c r="E16" s="5" t="s">
        <v>1133</v>
      </c>
      <c r="F16" s="5"/>
      <c r="G16" s="5"/>
      <c r="H16" s="5"/>
      <c r="I16" s="12">
        <v>2020.0</v>
      </c>
      <c r="J16" s="12" t="s">
        <v>1581</v>
      </c>
      <c r="K16" s="12" t="s">
        <v>1582</v>
      </c>
      <c r="L16" s="12" t="s">
        <v>1583</v>
      </c>
      <c r="M16" s="15" t="s">
        <v>1584</v>
      </c>
      <c r="N16" s="14" t="s">
        <v>1585</v>
      </c>
      <c r="O16" s="5"/>
      <c r="P16" s="34" t="s">
        <v>22</v>
      </c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 ht="12.0" customHeight="1">
      <c r="A17" s="12" t="s">
        <v>1586</v>
      </c>
      <c r="B17" s="5"/>
      <c r="C17" s="5"/>
      <c r="D17" s="5" t="s">
        <v>1531</v>
      </c>
      <c r="E17" s="5" t="s">
        <v>1133</v>
      </c>
      <c r="F17" s="5"/>
      <c r="G17" s="5"/>
      <c r="H17" s="5"/>
      <c r="I17" s="12">
        <v>2008.0</v>
      </c>
      <c r="J17" s="12" t="s">
        <v>1587</v>
      </c>
      <c r="K17" s="12" t="s">
        <v>1588</v>
      </c>
      <c r="L17" s="12" t="s">
        <v>1589</v>
      </c>
      <c r="M17" s="17" t="s">
        <v>1590</v>
      </c>
      <c r="N17" s="14" t="s">
        <v>1591</v>
      </c>
      <c r="O17" s="5"/>
      <c r="P17" s="34" t="s">
        <v>22</v>
      </c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 ht="12.0" customHeight="1">
      <c r="A18" s="5" t="s">
        <v>1592</v>
      </c>
      <c r="B18" s="5"/>
      <c r="C18" s="5"/>
      <c r="D18" s="5" t="s">
        <v>1531</v>
      </c>
      <c r="E18" s="5" t="s">
        <v>1133</v>
      </c>
      <c r="F18" s="5"/>
      <c r="G18" s="5"/>
      <c r="H18" s="5"/>
      <c r="I18" s="5">
        <v>2019.0</v>
      </c>
      <c r="J18" s="5" t="s">
        <v>1593</v>
      </c>
      <c r="K18" s="5" t="s">
        <v>1594</v>
      </c>
      <c r="L18" s="12" t="s">
        <v>1595</v>
      </c>
      <c r="M18" s="15" t="s">
        <v>1596</v>
      </c>
      <c r="N18" s="7" t="s">
        <v>1597</v>
      </c>
      <c r="O18" s="5" t="s">
        <v>1598</v>
      </c>
      <c r="P18" s="34" t="s">
        <v>368</v>
      </c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 ht="12.0" customHeight="1">
      <c r="A19" s="23" t="s">
        <v>1599</v>
      </c>
      <c r="B19" s="5"/>
      <c r="C19" s="23"/>
      <c r="D19" s="23" t="s">
        <v>1531</v>
      </c>
      <c r="E19" s="23" t="s">
        <v>1133</v>
      </c>
      <c r="F19" s="5"/>
      <c r="G19" s="5"/>
      <c r="H19" s="5"/>
      <c r="I19" s="5">
        <v>2020.0</v>
      </c>
      <c r="J19" s="23" t="s">
        <v>370</v>
      </c>
      <c r="K19" s="12" t="s">
        <v>1402</v>
      </c>
      <c r="L19" s="12" t="s">
        <v>1600</v>
      </c>
      <c r="M19" s="15" t="s">
        <v>1601</v>
      </c>
      <c r="N19" s="25" t="s">
        <v>1602</v>
      </c>
      <c r="O19" s="5"/>
      <c r="P19" s="34" t="s">
        <v>368</v>
      </c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 ht="12.0" customHeight="1">
      <c r="A20" s="12" t="s">
        <v>1603</v>
      </c>
      <c r="B20" s="5"/>
      <c r="C20" s="12"/>
      <c r="D20" s="12" t="s">
        <v>1531</v>
      </c>
      <c r="E20" s="12" t="s">
        <v>1133</v>
      </c>
      <c r="F20" s="5"/>
      <c r="G20" s="5"/>
      <c r="H20" s="5"/>
      <c r="I20" s="12">
        <v>2022.0</v>
      </c>
      <c r="J20" s="12" t="s">
        <v>1593</v>
      </c>
      <c r="K20" s="12" t="s">
        <v>1604</v>
      </c>
      <c r="L20" s="12" t="s">
        <v>1605</v>
      </c>
      <c r="M20" s="17" t="s">
        <v>1606</v>
      </c>
      <c r="N20" s="14" t="s">
        <v>1607</v>
      </c>
      <c r="O20" s="5"/>
      <c r="P20" s="34" t="s">
        <v>22</v>
      </c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 ht="12.0" customHeight="1">
      <c r="A21" s="12" t="s">
        <v>1608</v>
      </c>
      <c r="B21" s="5"/>
      <c r="C21" s="12"/>
      <c r="D21" s="12" t="s">
        <v>1531</v>
      </c>
      <c r="E21" s="12" t="s">
        <v>1133</v>
      </c>
      <c r="F21" s="12"/>
      <c r="G21" s="12"/>
      <c r="H21" s="12"/>
      <c r="I21" s="12">
        <v>2017.0</v>
      </c>
      <c r="J21" s="12" t="s">
        <v>1609</v>
      </c>
      <c r="K21" s="12" t="s">
        <v>1402</v>
      </c>
      <c r="L21" s="12" t="s">
        <v>1610</v>
      </c>
      <c r="M21" s="17" t="s">
        <v>1611</v>
      </c>
      <c r="N21" s="14" t="s">
        <v>1612</v>
      </c>
      <c r="O21" s="5"/>
      <c r="P21" s="49" t="s">
        <v>22</v>
      </c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 ht="12.0" customHeight="1">
      <c r="A22" s="5" t="s">
        <v>1613</v>
      </c>
      <c r="B22" s="5"/>
      <c r="C22" s="5"/>
      <c r="D22" s="5" t="s">
        <v>1531</v>
      </c>
      <c r="E22" s="5" t="s">
        <v>1133</v>
      </c>
      <c r="F22" s="5"/>
      <c r="G22" s="5"/>
      <c r="H22" s="5"/>
      <c r="I22" s="5">
        <v>1987.0</v>
      </c>
      <c r="J22" s="5" t="s">
        <v>1614</v>
      </c>
      <c r="K22" s="5" t="s">
        <v>1615</v>
      </c>
      <c r="L22" s="12" t="s">
        <v>1616</v>
      </c>
      <c r="M22" s="17" t="s">
        <v>1617</v>
      </c>
      <c r="N22" s="7" t="s">
        <v>1618</v>
      </c>
      <c r="O22" s="5"/>
      <c r="P22" s="34" t="s">
        <v>368</v>
      </c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ht="12.0" customHeight="1">
      <c r="A23" s="5" t="s">
        <v>1619</v>
      </c>
      <c r="B23" s="5"/>
      <c r="C23" s="5"/>
      <c r="D23" s="5" t="s">
        <v>1620</v>
      </c>
      <c r="E23" s="5" t="s">
        <v>1141</v>
      </c>
      <c r="F23" s="5" t="s">
        <v>289</v>
      </c>
      <c r="G23" s="5">
        <v>1.0</v>
      </c>
      <c r="H23" s="5" t="s">
        <v>1621</v>
      </c>
      <c r="I23" s="5">
        <v>2005.0</v>
      </c>
      <c r="J23" s="5" t="s">
        <v>1622</v>
      </c>
      <c r="K23" s="5" t="s">
        <v>1623</v>
      </c>
      <c r="L23" s="12" t="s">
        <v>957</v>
      </c>
      <c r="M23" s="14" t="s">
        <v>1624</v>
      </c>
      <c r="N23" s="7" t="s">
        <v>1625</v>
      </c>
      <c r="O23" s="5" t="s">
        <v>1626</v>
      </c>
      <c r="P23" s="34" t="s">
        <v>22</v>
      </c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ht="12.0" customHeight="1">
      <c r="A24" s="12" t="s">
        <v>1627</v>
      </c>
      <c r="B24" s="12"/>
      <c r="C24" s="12"/>
      <c r="D24" s="12" t="s">
        <v>1628</v>
      </c>
      <c r="E24" s="5" t="s">
        <v>1133</v>
      </c>
      <c r="F24" s="5"/>
      <c r="G24" s="5"/>
      <c r="H24" s="5"/>
      <c r="I24" s="12">
        <v>2018.0</v>
      </c>
      <c r="J24" s="12" t="s">
        <v>1629</v>
      </c>
      <c r="K24" s="12" t="s">
        <v>1629</v>
      </c>
      <c r="L24" s="12" t="s">
        <v>1630</v>
      </c>
      <c r="M24" s="68" t="s">
        <v>1631</v>
      </c>
      <c r="N24" s="14" t="s">
        <v>1632</v>
      </c>
      <c r="O24" s="5"/>
      <c r="P24" s="34" t="s">
        <v>22</v>
      </c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ht="12.0" customHeight="1">
      <c r="A25" s="5" t="s">
        <v>1633</v>
      </c>
      <c r="B25" s="5">
        <v>1.0</v>
      </c>
      <c r="C25" s="5"/>
      <c r="D25" s="5" t="s">
        <v>1634</v>
      </c>
      <c r="E25" s="5" t="s">
        <v>1141</v>
      </c>
      <c r="F25" s="5" t="s">
        <v>1635</v>
      </c>
      <c r="G25" s="5"/>
      <c r="H25" s="5" t="s">
        <v>1531</v>
      </c>
      <c r="I25" s="5"/>
      <c r="J25" s="5" t="s">
        <v>1636</v>
      </c>
      <c r="K25" s="5" t="s">
        <v>1637</v>
      </c>
      <c r="L25" s="12" t="s">
        <v>1638</v>
      </c>
      <c r="M25" s="7"/>
      <c r="N25" s="7"/>
      <c r="O25" s="5"/>
      <c r="P25" s="34" t="s">
        <v>22</v>
      </c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ht="12.0" customHeight="1">
      <c r="A26" s="12" t="s">
        <v>1639</v>
      </c>
      <c r="B26" s="12">
        <v>7.0</v>
      </c>
      <c r="C26" s="12"/>
      <c r="D26" s="12" t="s">
        <v>1634</v>
      </c>
      <c r="E26" s="12" t="s">
        <v>1141</v>
      </c>
      <c r="F26" s="12" t="s">
        <v>1640</v>
      </c>
      <c r="G26" s="12">
        <v>1.0</v>
      </c>
      <c r="H26" s="12" t="s">
        <v>1531</v>
      </c>
      <c r="I26" s="12">
        <v>2000.0</v>
      </c>
      <c r="J26" s="12" t="s">
        <v>1641</v>
      </c>
      <c r="K26" s="12" t="s">
        <v>1641</v>
      </c>
      <c r="L26" s="12" t="s">
        <v>1642</v>
      </c>
      <c r="M26" s="15" t="s">
        <v>1643</v>
      </c>
      <c r="N26" s="7"/>
      <c r="O26" s="5"/>
      <c r="P26" s="34" t="s">
        <v>22</v>
      </c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ht="12.0" customHeight="1">
      <c r="A27" s="12" t="s">
        <v>1639</v>
      </c>
      <c r="B27" s="12">
        <v>8.0</v>
      </c>
      <c r="C27" s="12"/>
      <c r="D27" s="12" t="s">
        <v>1634</v>
      </c>
      <c r="E27" s="12" t="s">
        <v>1141</v>
      </c>
      <c r="F27" s="12" t="s">
        <v>1644</v>
      </c>
      <c r="G27" s="12">
        <v>1.0</v>
      </c>
      <c r="H27" s="12" t="s">
        <v>1531</v>
      </c>
      <c r="I27" s="12">
        <v>2003.0</v>
      </c>
      <c r="J27" s="12" t="s">
        <v>1645</v>
      </c>
      <c r="K27" s="12" t="s">
        <v>1646</v>
      </c>
      <c r="L27" s="12" t="s">
        <v>957</v>
      </c>
      <c r="M27" s="15" t="s">
        <v>1647</v>
      </c>
      <c r="N27" s="7"/>
      <c r="O27" s="5"/>
      <c r="P27" s="34" t="s">
        <v>22</v>
      </c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ht="12.0" customHeight="1">
      <c r="A28" s="5" t="s">
        <v>1648</v>
      </c>
      <c r="B28" s="5">
        <v>2.0</v>
      </c>
      <c r="C28" s="5"/>
      <c r="D28" s="5" t="s">
        <v>1634</v>
      </c>
      <c r="E28" s="5" t="s">
        <v>1141</v>
      </c>
      <c r="F28" s="5" t="s">
        <v>1649</v>
      </c>
      <c r="G28" s="5">
        <v>1.0</v>
      </c>
      <c r="H28" s="5" t="s">
        <v>1650</v>
      </c>
      <c r="I28" s="5">
        <v>2003.0</v>
      </c>
      <c r="J28" s="5" t="s">
        <v>1554</v>
      </c>
      <c r="K28" s="5" t="s">
        <v>1555</v>
      </c>
      <c r="L28" s="12" t="s">
        <v>1651</v>
      </c>
      <c r="M28" s="7"/>
      <c r="N28" s="7"/>
      <c r="O28" s="5" t="s">
        <v>1652</v>
      </c>
      <c r="P28" s="34" t="s">
        <v>368</v>
      </c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 ht="12.0" customHeight="1">
      <c r="A29" s="5" t="s">
        <v>1648</v>
      </c>
      <c r="B29" s="5">
        <v>3.0</v>
      </c>
      <c r="C29" s="5"/>
      <c r="D29" s="5" t="s">
        <v>1634</v>
      </c>
      <c r="E29" s="5" t="s">
        <v>1141</v>
      </c>
      <c r="F29" s="12" t="s">
        <v>1653</v>
      </c>
      <c r="G29" s="5"/>
      <c r="H29" s="5" t="s">
        <v>1650</v>
      </c>
      <c r="I29" s="5">
        <v>2002.0</v>
      </c>
      <c r="J29" s="5" t="s">
        <v>1654</v>
      </c>
      <c r="K29" s="5" t="s">
        <v>1655</v>
      </c>
      <c r="L29" s="12" t="s">
        <v>1656</v>
      </c>
      <c r="M29" s="7"/>
      <c r="N29" s="7"/>
      <c r="O29" s="5" t="s">
        <v>1657</v>
      </c>
      <c r="P29" s="34" t="s">
        <v>368</v>
      </c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 ht="12.0" customHeight="1">
      <c r="A30" s="5" t="s">
        <v>1658</v>
      </c>
      <c r="B30" s="5">
        <v>2.0</v>
      </c>
      <c r="C30" s="5"/>
      <c r="D30" s="5" t="s">
        <v>1634</v>
      </c>
      <c r="E30" s="5" t="s">
        <v>1141</v>
      </c>
      <c r="F30" s="5" t="s">
        <v>1659</v>
      </c>
      <c r="G30" s="5">
        <v>1.0</v>
      </c>
      <c r="H30" s="5" t="s">
        <v>1531</v>
      </c>
      <c r="I30" s="5">
        <v>2001.0</v>
      </c>
      <c r="J30" s="5" t="s">
        <v>1645</v>
      </c>
      <c r="K30" s="5" t="s">
        <v>1660</v>
      </c>
      <c r="L30" s="12" t="s">
        <v>1661</v>
      </c>
      <c r="M30" s="15" t="s">
        <v>1662</v>
      </c>
      <c r="N30" s="7"/>
      <c r="O30" s="5" t="s">
        <v>1663</v>
      </c>
      <c r="P30" s="34" t="s">
        <v>22</v>
      </c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 ht="12.0" customHeight="1">
      <c r="A31" s="5" t="s">
        <v>1664</v>
      </c>
      <c r="B31" s="5">
        <v>1.0</v>
      </c>
      <c r="C31" s="5"/>
      <c r="D31" s="5" t="s">
        <v>1634</v>
      </c>
      <c r="E31" s="5" t="s">
        <v>1141</v>
      </c>
      <c r="F31" s="12" t="s">
        <v>1665</v>
      </c>
      <c r="G31" s="5"/>
      <c r="H31" s="5" t="s">
        <v>1531</v>
      </c>
      <c r="I31" s="5">
        <v>2003.0</v>
      </c>
      <c r="J31" s="12" t="s">
        <v>1666</v>
      </c>
      <c r="K31" s="12" t="s">
        <v>1667</v>
      </c>
      <c r="L31" s="12" t="s">
        <v>1665</v>
      </c>
      <c r="M31" s="7"/>
      <c r="N31" s="7"/>
      <c r="O31" s="5" t="s">
        <v>1668</v>
      </c>
      <c r="P31" s="34" t="s">
        <v>22</v>
      </c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 ht="12.0" customHeight="1">
      <c r="A32" s="5" t="s">
        <v>1669</v>
      </c>
      <c r="B32" s="5">
        <v>2.0</v>
      </c>
      <c r="C32" s="5"/>
      <c r="D32" s="5" t="s">
        <v>1634</v>
      </c>
      <c r="E32" s="5" t="s">
        <v>1141</v>
      </c>
      <c r="F32" s="5" t="s">
        <v>1670</v>
      </c>
      <c r="G32" s="5"/>
      <c r="H32" s="5" t="s">
        <v>1650</v>
      </c>
      <c r="I32" s="5">
        <v>2000.0</v>
      </c>
      <c r="J32" s="5" t="s">
        <v>1671</v>
      </c>
      <c r="K32" s="5" t="s">
        <v>1671</v>
      </c>
      <c r="L32" s="12" t="s">
        <v>1672</v>
      </c>
      <c r="M32" s="17" t="s">
        <v>1673</v>
      </c>
      <c r="N32" s="7"/>
      <c r="O32" s="5" t="s">
        <v>1674</v>
      </c>
      <c r="P32" s="34" t="s">
        <v>22</v>
      </c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 ht="12.0" customHeight="1">
      <c r="A33" s="12" t="s">
        <v>1675</v>
      </c>
      <c r="B33" s="12">
        <v>1.0</v>
      </c>
      <c r="C33" s="12"/>
      <c r="D33" s="12" t="s">
        <v>1634</v>
      </c>
      <c r="E33" s="12" t="s">
        <v>1141</v>
      </c>
      <c r="F33" s="12"/>
      <c r="G33" s="5"/>
      <c r="H33" s="12" t="s">
        <v>1650</v>
      </c>
      <c r="I33" s="5"/>
      <c r="J33" s="12" t="s">
        <v>1402</v>
      </c>
      <c r="K33" s="12" t="s">
        <v>1402</v>
      </c>
      <c r="L33" s="12" t="s">
        <v>1676</v>
      </c>
      <c r="M33" s="7"/>
      <c r="N33" s="7"/>
      <c r="O33" s="5"/>
      <c r="P33" s="49" t="s">
        <v>22</v>
      </c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ht="12.0" customHeight="1">
      <c r="A34" s="12" t="s">
        <v>1677</v>
      </c>
      <c r="B34" s="12">
        <v>5.0</v>
      </c>
      <c r="C34" s="5"/>
      <c r="D34" s="5" t="s">
        <v>1634</v>
      </c>
      <c r="E34" s="5" t="s">
        <v>1141</v>
      </c>
      <c r="F34" s="12" t="s">
        <v>1678</v>
      </c>
      <c r="G34" s="5"/>
      <c r="H34" s="5" t="s">
        <v>1531</v>
      </c>
      <c r="I34" s="12">
        <v>2003.0</v>
      </c>
      <c r="J34" s="12" t="s">
        <v>1679</v>
      </c>
      <c r="K34" s="12" t="s">
        <v>1680</v>
      </c>
      <c r="L34" s="12" t="s">
        <v>957</v>
      </c>
      <c r="M34" s="15" t="s">
        <v>1681</v>
      </c>
      <c r="N34" s="7"/>
      <c r="O34" s="5"/>
      <c r="P34" s="49" t="s">
        <v>22</v>
      </c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 ht="12.0" customHeight="1">
      <c r="A35" s="5" t="s">
        <v>1682</v>
      </c>
      <c r="B35" s="5">
        <v>7.0</v>
      </c>
      <c r="C35" s="5"/>
      <c r="D35" s="5" t="s">
        <v>1634</v>
      </c>
      <c r="E35" s="5" t="s">
        <v>1141</v>
      </c>
      <c r="F35" s="12" t="s">
        <v>1683</v>
      </c>
      <c r="G35" s="5"/>
      <c r="H35" s="5" t="s">
        <v>1531</v>
      </c>
      <c r="I35" s="5">
        <v>2000.0</v>
      </c>
      <c r="J35" s="12" t="s">
        <v>1684</v>
      </c>
      <c r="K35" s="5" t="s">
        <v>1685</v>
      </c>
      <c r="L35" s="12" t="s">
        <v>1683</v>
      </c>
      <c r="M35" s="7"/>
      <c r="N35" s="7"/>
      <c r="O35" s="5" t="s">
        <v>1686</v>
      </c>
      <c r="P35" s="34" t="s">
        <v>22</v>
      </c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 ht="12.0" customHeight="1">
      <c r="A36" s="12" t="s">
        <v>1687</v>
      </c>
      <c r="B36" s="12">
        <v>1.0</v>
      </c>
      <c r="C36" s="12"/>
      <c r="D36" s="12" t="s">
        <v>1634</v>
      </c>
      <c r="E36" s="12" t="s">
        <v>1141</v>
      </c>
      <c r="F36" s="12" t="s">
        <v>1688</v>
      </c>
      <c r="G36" s="5"/>
      <c r="H36" s="12" t="s">
        <v>1650</v>
      </c>
      <c r="I36" s="12">
        <v>2003.0</v>
      </c>
      <c r="J36" s="12" t="s">
        <v>1689</v>
      </c>
      <c r="K36" s="12" t="s">
        <v>1689</v>
      </c>
      <c r="L36" s="12" t="s">
        <v>1690</v>
      </c>
      <c r="M36" s="69"/>
      <c r="N36" s="7"/>
      <c r="O36" s="5"/>
      <c r="P36" s="49" t="s">
        <v>22</v>
      </c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 ht="12.0" customHeight="1">
      <c r="A37" s="5" t="s">
        <v>1691</v>
      </c>
      <c r="B37" s="5">
        <v>1.0</v>
      </c>
      <c r="C37" s="5"/>
      <c r="D37" s="5" t="s">
        <v>1634</v>
      </c>
      <c r="E37" s="5" t="s">
        <v>1141</v>
      </c>
      <c r="F37" s="12" t="s">
        <v>1692</v>
      </c>
      <c r="G37" s="5">
        <v>1.0</v>
      </c>
      <c r="H37" s="5" t="s">
        <v>1650</v>
      </c>
      <c r="I37" s="5">
        <v>2004.0</v>
      </c>
      <c r="J37" s="5" t="s">
        <v>1693</v>
      </c>
      <c r="K37" s="5" t="s">
        <v>1694</v>
      </c>
      <c r="L37" s="12" t="s">
        <v>1695</v>
      </c>
      <c r="M37" s="15" t="s">
        <v>1696</v>
      </c>
      <c r="N37" s="7"/>
      <c r="O37" s="5" t="s">
        <v>1697</v>
      </c>
      <c r="P37" s="34" t="s">
        <v>22</v>
      </c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 ht="12.0" customHeight="1">
      <c r="A38" s="5" t="s">
        <v>1698</v>
      </c>
      <c r="B38" s="5"/>
      <c r="C38" s="5"/>
      <c r="D38" s="5" t="s">
        <v>1634</v>
      </c>
      <c r="E38" s="5" t="s">
        <v>1141</v>
      </c>
      <c r="F38" s="5" t="s">
        <v>1699</v>
      </c>
      <c r="G38" s="5">
        <v>1.0</v>
      </c>
      <c r="H38" s="5" t="s">
        <v>1650</v>
      </c>
      <c r="I38" s="5">
        <v>2004.0</v>
      </c>
      <c r="J38" s="5" t="s">
        <v>1700</v>
      </c>
      <c r="K38" s="5" t="s">
        <v>1701</v>
      </c>
      <c r="L38" s="12" t="s">
        <v>1702</v>
      </c>
      <c r="M38" s="15" t="s">
        <v>1703</v>
      </c>
      <c r="N38" s="7"/>
      <c r="O38" s="5" t="s">
        <v>1704</v>
      </c>
      <c r="P38" s="34" t="s">
        <v>22</v>
      </c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 ht="12.0" customHeight="1">
      <c r="A39" s="5" t="s">
        <v>1705</v>
      </c>
      <c r="B39" s="5">
        <v>1.0</v>
      </c>
      <c r="C39" s="5"/>
      <c r="D39" s="5" t="s">
        <v>1634</v>
      </c>
      <c r="E39" s="5" t="s">
        <v>1141</v>
      </c>
      <c r="F39" s="5" t="s">
        <v>1706</v>
      </c>
      <c r="G39" s="5"/>
      <c r="H39" s="5" t="s">
        <v>1650</v>
      </c>
      <c r="I39" s="5">
        <v>1994.0</v>
      </c>
      <c r="J39" s="5" t="s">
        <v>1707</v>
      </c>
      <c r="K39" s="5" t="s">
        <v>1708</v>
      </c>
      <c r="L39" s="12" t="s">
        <v>1709</v>
      </c>
      <c r="M39" s="15" t="s">
        <v>1710</v>
      </c>
      <c r="N39" s="7"/>
      <c r="O39" s="5" t="s">
        <v>1711</v>
      </c>
      <c r="P39" s="34" t="s">
        <v>368</v>
      </c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 ht="12.0" customHeight="1">
      <c r="A40" s="5" t="s">
        <v>1712</v>
      </c>
      <c r="B40" s="5">
        <v>2.0</v>
      </c>
      <c r="C40" s="5"/>
      <c r="D40" s="5" t="s">
        <v>1634</v>
      </c>
      <c r="E40" s="5" t="s">
        <v>1141</v>
      </c>
      <c r="F40" s="5" t="s">
        <v>1713</v>
      </c>
      <c r="G40" s="5">
        <v>2.0</v>
      </c>
      <c r="H40" s="5" t="s">
        <v>1650</v>
      </c>
      <c r="I40" s="5">
        <v>2002.0</v>
      </c>
      <c r="J40" s="5" t="s">
        <v>1532</v>
      </c>
      <c r="K40" s="5" t="s">
        <v>1533</v>
      </c>
      <c r="L40" s="12" t="s">
        <v>1714</v>
      </c>
      <c r="M40" s="7"/>
      <c r="N40" s="7"/>
      <c r="O40" s="5" t="s">
        <v>1715</v>
      </c>
      <c r="P40" s="34" t="s">
        <v>22</v>
      </c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ht="12.0" customHeight="1">
      <c r="A41" s="5" t="s">
        <v>1716</v>
      </c>
      <c r="B41" s="5">
        <v>1.0</v>
      </c>
      <c r="C41" s="5"/>
      <c r="D41" s="5" t="s">
        <v>1634</v>
      </c>
      <c r="E41" s="5" t="s">
        <v>1141</v>
      </c>
      <c r="F41" s="5" t="s">
        <v>1717</v>
      </c>
      <c r="G41" s="5"/>
      <c r="H41" s="5" t="s">
        <v>1650</v>
      </c>
      <c r="I41" s="5">
        <v>1999.0</v>
      </c>
      <c r="J41" s="5" t="s">
        <v>1195</v>
      </c>
      <c r="K41" s="5" t="s">
        <v>1718</v>
      </c>
      <c r="L41" s="12" t="s">
        <v>1719</v>
      </c>
      <c r="M41" s="7"/>
      <c r="N41" s="7"/>
      <c r="O41" s="5"/>
      <c r="P41" s="34" t="s">
        <v>22</v>
      </c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 ht="12.0" customHeight="1">
      <c r="A42" s="12" t="s">
        <v>1720</v>
      </c>
      <c r="B42" s="12">
        <v>1.0</v>
      </c>
      <c r="C42" s="12"/>
      <c r="D42" s="12" t="s">
        <v>1634</v>
      </c>
      <c r="E42" s="12" t="s">
        <v>1141</v>
      </c>
      <c r="F42" s="12" t="s">
        <v>1721</v>
      </c>
      <c r="G42" s="12">
        <v>1.0</v>
      </c>
      <c r="H42" s="12" t="s">
        <v>1650</v>
      </c>
      <c r="I42" s="12">
        <v>2001.0</v>
      </c>
      <c r="J42" s="12" t="s">
        <v>1722</v>
      </c>
      <c r="K42" s="12" t="s">
        <v>1723</v>
      </c>
      <c r="L42" s="12" t="s">
        <v>1724</v>
      </c>
      <c r="M42" s="15" t="s">
        <v>1725</v>
      </c>
      <c r="N42" s="7"/>
      <c r="O42" s="5"/>
      <c r="P42" s="34" t="s">
        <v>22</v>
      </c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 ht="12.0" customHeight="1">
      <c r="A43" s="12" t="s">
        <v>1726</v>
      </c>
      <c r="B43" s="12">
        <v>6.0</v>
      </c>
      <c r="C43" s="12"/>
      <c r="D43" s="12" t="s">
        <v>1634</v>
      </c>
      <c r="E43" s="12" t="s">
        <v>1141</v>
      </c>
      <c r="F43" s="12" t="s">
        <v>1727</v>
      </c>
      <c r="G43" s="5"/>
      <c r="H43" s="5" t="s">
        <v>1531</v>
      </c>
      <c r="I43" s="5"/>
      <c r="J43" s="12" t="s">
        <v>1402</v>
      </c>
      <c r="K43" s="12" t="s">
        <v>1402</v>
      </c>
      <c r="L43" s="12" t="s">
        <v>1728</v>
      </c>
      <c r="M43" s="7"/>
      <c r="N43" s="7"/>
      <c r="O43" s="5"/>
      <c r="P43" s="49" t="s">
        <v>22</v>
      </c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 ht="12.0" customHeight="1">
      <c r="A44" s="12" t="s">
        <v>1726</v>
      </c>
      <c r="B44" s="12">
        <v>7.0</v>
      </c>
      <c r="C44" s="12"/>
      <c r="D44" s="12" t="s">
        <v>1634</v>
      </c>
      <c r="E44" s="12" t="s">
        <v>1141</v>
      </c>
      <c r="F44" s="12" t="s">
        <v>1729</v>
      </c>
      <c r="G44" s="5"/>
      <c r="H44" s="5" t="s">
        <v>1531</v>
      </c>
      <c r="I44" s="5"/>
      <c r="J44" s="12" t="s">
        <v>1402</v>
      </c>
      <c r="K44" s="12" t="s">
        <v>1402</v>
      </c>
      <c r="L44" s="12" t="s">
        <v>1730</v>
      </c>
      <c r="M44" s="7"/>
      <c r="N44" s="7"/>
      <c r="O44" s="5"/>
      <c r="P44" s="49" t="s">
        <v>22</v>
      </c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 ht="12.0" customHeight="1">
      <c r="A45" s="5" t="s">
        <v>1731</v>
      </c>
      <c r="B45" s="5">
        <v>1.0</v>
      </c>
      <c r="C45" s="5"/>
      <c r="D45" s="5" t="s">
        <v>1634</v>
      </c>
      <c r="E45" s="5" t="s">
        <v>1141</v>
      </c>
      <c r="F45" s="5" t="s">
        <v>1732</v>
      </c>
      <c r="G45" s="5"/>
      <c r="H45" s="5" t="s">
        <v>1531</v>
      </c>
      <c r="I45" s="5">
        <v>2002.0</v>
      </c>
      <c r="J45" s="5" t="s">
        <v>1554</v>
      </c>
      <c r="K45" s="5" t="s">
        <v>1733</v>
      </c>
      <c r="L45" s="12" t="s">
        <v>1734</v>
      </c>
      <c r="M45" s="7"/>
      <c r="N45" s="7"/>
      <c r="O45" s="5"/>
      <c r="P45" s="34" t="s">
        <v>22</v>
      </c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 ht="12.0" customHeight="1">
      <c r="A46" s="12" t="s">
        <v>1735</v>
      </c>
      <c r="B46" s="5"/>
      <c r="C46" s="12"/>
      <c r="D46" s="12" t="s">
        <v>1634</v>
      </c>
      <c r="E46" s="12" t="s">
        <v>1141</v>
      </c>
      <c r="F46" s="12" t="s">
        <v>1736</v>
      </c>
      <c r="G46" s="12">
        <v>1.0</v>
      </c>
      <c r="H46" s="12" t="s">
        <v>1531</v>
      </c>
      <c r="I46" s="12">
        <v>1999.0</v>
      </c>
      <c r="J46" s="12" t="s">
        <v>1737</v>
      </c>
      <c r="K46" s="12" t="s">
        <v>1708</v>
      </c>
      <c r="L46" s="12" t="s">
        <v>1738</v>
      </c>
      <c r="M46" s="7"/>
      <c r="N46" s="7"/>
      <c r="O46" s="5"/>
      <c r="P46" s="49" t="s">
        <v>22</v>
      </c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 ht="12.0" customHeight="1">
      <c r="A47" s="5" t="s">
        <v>1739</v>
      </c>
      <c r="B47" s="5">
        <v>2.0</v>
      </c>
      <c r="C47" s="5"/>
      <c r="D47" s="5" t="s">
        <v>1634</v>
      </c>
      <c r="E47" s="5" t="s">
        <v>1141</v>
      </c>
      <c r="F47" s="5" t="s">
        <v>1740</v>
      </c>
      <c r="G47" s="5"/>
      <c r="H47" s="5" t="s">
        <v>1650</v>
      </c>
      <c r="I47" s="5">
        <v>2003.0</v>
      </c>
      <c r="J47" s="5" t="s">
        <v>1741</v>
      </c>
      <c r="K47" s="5" t="s">
        <v>1742</v>
      </c>
      <c r="L47" s="12" t="s">
        <v>1743</v>
      </c>
      <c r="M47" s="15" t="s">
        <v>1744</v>
      </c>
      <c r="N47" s="7"/>
      <c r="O47" s="5" t="s">
        <v>1745</v>
      </c>
      <c r="P47" s="34" t="s">
        <v>22</v>
      </c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 ht="12.0" customHeight="1">
      <c r="A48" s="5" t="s">
        <v>1746</v>
      </c>
      <c r="B48" s="5">
        <v>3.0</v>
      </c>
      <c r="C48" s="5"/>
      <c r="D48" s="5" t="s">
        <v>1634</v>
      </c>
      <c r="E48" s="5" t="s">
        <v>1141</v>
      </c>
      <c r="F48" s="5" t="s">
        <v>1747</v>
      </c>
      <c r="G48" s="5"/>
      <c r="H48" s="5" t="s">
        <v>1650</v>
      </c>
      <c r="I48" s="5">
        <v>2002.0</v>
      </c>
      <c r="J48" s="5" t="s">
        <v>1748</v>
      </c>
      <c r="K48" s="5" t="s">
        <v>1749</v>
      </c>
      <c r="L48" s="12" t="s">
        <v>1750</v>
      </c>
      <c r="M48" s="7"/>
      <c r="N48" s="7"/>
      <c r="O48" s="5" t="s">
        <v>1751</v>
      </c>
      <c r="P48" s="34" t="s">
        <v>22</v>
      </c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 ht="12.0" customHeight="1">
      <c r="A49" s="12" t="s">
        <v>1752</v>
      </c>
      <c r="B49" s="5"/>
      <c r="C49" s="12"/>
      <c r="D49" s="12" t="s">
        <v>1634</v>
      </c>
      <c r="E49" s="5" t="s">
        <v>1133</v>
      </c>
      <c r="F49" s="5"/>
      <c r="G49" s="5"/>
      <c r="H49" s="5"/>
      <c r="I49" s="5"/>
      <c r="J49" s="12" t="s">
        <v>1753</v>
      </c>
      <c r="K49" s="12" t="s">
        <v>1754</v>
      </c>
      <c r="L49" s="12" t="s">
        <v>957</v>
      </c>
      <c r="M49" s="14" t="s">
        <v>1755</v>
      </c>
      <c r="N49" s="14" t="s">
        <v>1756</v>
      </c>
      <c r="O49" s="5"/>
      <c r="P49" s="34" t="s">
        <v>22</v>
      </c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 ht="12.0" customHeight="1">
      <c r="A50" s="5" t="s">
        <v>1757</v>
      </c>
      <c r="B50" s="5">
        <v>1.0</v>
      </c>
      <c r="C50" s="5"/>
      <c r="D50" s="5" t="s">
        <v>1634</v>
      </c>
      <c r="E50" s="5" t="s">
        <v>1141</v>
      </c>
      <c r="F50" s="5" t="s">
        <v>1758</v>
      </c>
      <c r="G50" s="5">
        <v>4.0</v>
      </c>
      <c r="H50" s="5" t="s">
        <v>1650</v>
      </c>
      <c r="I50" s="5">
        <v>2010.0</v>
      </c>
      <c r="J50" s="5" t="s">
        <v>1759</v>
      </c>
      <c r="K50" s="5" t="s">
        <v>1760</v>
      </c>
      <c r="L50" s="12" t="s">
        <v>1761</v>
      </c>
      <c r="M50" s="15" t="s">
        <v>1762</v>
      </c>
      <c r="N50" s="7"/>
      <c r="O50" s="5" t="s">
        <v>1763</v>
      </c>
      <c r="P50" s="34" t="s">
        <v>22</v>
      </c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 ht="12.0" customHeight="1">
      <c r="A51" s="5" t="s">
        <v>1764</v>
      </c>
      <c r="B51" s="5"/>
      <c r="C51" s="5"/>
      <c r="D51" s="5" t="s">
        <v>1634</v>
      </c>
      <c r="E51" s="5" t="s">
        <v>1141</v>
      </c>
      <c r="F51" s="5" t="s">
        <v>1765</v>
      </c>
      <c r="G51" s="5"/>
      <c r="H51" s="5" t="s">
        <v>1650</v>
      </c>
      <c r="I51" s="5">
        <v>2003.0</v>
      </c>
      <c r="J51" s="5" t="s">
        <v>1766</v>
      </c>
      <c r="K51" s="5" t="s">
        <v>1694</v>
      </c>
      <c r="L51" s="12" t="s">
        <v>1767</v>
      </c>
      <c r="M51" s="7"/>
      <c r="N51" s="7"/>
      <c r="O51" s="5" t="s">
        <v>1768</v>
      </c>
      <c r="P51" s="34" t="s">
        <v>22</v>
      </c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 ht="12.0" customHeight="1">
      <c r="A52" s="12" t="s">
        <v>1769</v>
      </c>
      <c r="B52" s="12">
        <v>2.0</v>
      </c>
      <c r="C52" s="12"/>
      <c r="D52" s="12" t="s">
        <v>1634</v>
      </c>
      <c r="E52" s="12" t="s">
        <v>1141</v>
      </c>
      <c r="F52" s="12" t="s">
        <v>1770</v>
      </c>
      <c r="G52" s="12">
        <v>2.0</v>
      </c>
      <c r="H52" s="12" t="s">
        <v>1650</v>
      </c>
      <c r="I52" s="12">
        <v>2001.0</v>
      </c>
      <c r="J52" s="12" t="s">
        <v>1771</v>
      </c>
      <c r="K52" s="12" t="s">
        <v>1772</v>
      </c>
      <c r="L52" s="12" t="s">
        <v>1773</v>
      </c>
      <c r="M52" s="15" t="s">
        <v>1774</v>
      </c>
      <c r="N52" s="7"/>
      <c r="O52" s="5"/>
      <c r="P52" s="49" t="s">
        <v>22</v>
      </c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 ht="12.0" customHeight="1">
      <c r="A53" s="12" t="s">
        <v>1769</v>
      </c>
      <c r="B53" s="12">
        <v>3.0</v>
      </c>
      <c r="C53" s="12"/>
      <c r="D53" s="12" t="s">
        <v>1634</v>
      </c>
      <c r="E53" s="12" t="s">
        <v>1141</v>
      </c>
      <c r="F53" s="12" t="s">
        <v>1770</v>
      </c>
      <c r="G53" s="12">
        <v>3.0</v>
      </c>
      <c r="H53" s="12" t="s">
        <v>1650</v>
      </c>
      <c r="I53" s="12">
        <v>2002.0</v>
      </c>
      <c r="J53" s="12" t="s">
        <v>1775</v>
      </c>
      <c r="K53" s="12" t="s">
        <v>1776</v>
      </c>
      <c r="L53" s="12" t="s">
        <v>1777</v>
      </c>
      <c r="M53" s="15" t="s">
        <v>1778</v>
      </c>
      <c r="N53" s="7"/>
      <c r="O53" s="5"/>
      <c r="P53" s="49" t="s">
        <v>22</v>
      </c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 ht="12.0" customHeight="1">
      <c r="A54" s="12" t="s">
        <v>1769</v>
      </c>
      <c r="B54" s="12">
        <v>4.0</v>
      </c>
      <c r="C54" s="12"/>
      <c r="D54" s="12" t="s">
        <v>1634</v>
      </c>
      <c r="E54" s="12" t="s">
        <v>1141</v>
      </c>
      <c r="F54" s="12" t="s">
        <v>1770</v>
      </c>
      <c r="G54" s="12">
        <v>4.0</v>
      </c>
      <c r="H54" s="12" t="s">
        <v>1650</v>
      </c>
      <c r="I54" s="12">
        <v>2003.0</v>
      </c>
      <c r="J54" s="12" t="s">
        <v>1771</v>
      </c>
      <c r="K54" s="12" t="s">
        <v>1772</v>
      </c>
      <c r="L54" s="12" t="s">
        <v>1779</v>
      </c>
      <c r="M54" s="15" t="s">
        <v>1780</v>
      </c>
      <c r="N54" s="7"/>
      <c r="O54" s="5"/>
      <c r="P54" s="34" t="s">
        <v>22</v>
      </c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ht="12.0" customHeight="1">
      <c r="A55" s="5" t="s">
        <v>1781</v>
      </c>
      <c r="B55" s="5">
        <v>1.0</v>
      </c>
      <c r="C55" s="5"/>
      <c r="D55" s="5" t="s">
        <v>1634</v>
      </c>
      <c r="E55" s="5" t="s">
        <v>1141</v>
      </c>
      <c r="F55" s="5" t="s">
        <v>1782</v>
      </c>
      <c r="G55" s="5"/>
      <c r="H55" s="5" t="s">
        <v>1650</v>
      </c>
      <c r="I55" s="5">
        <v>2004.0</v>
      </c>
      <c r="J55" s="5" t="s">
        <v>1783</v>
      </c>
      <c r="K55" s="5" t="s">
        <v>1784</v>
      </c>
      <c r="L55" s="12" t="s">
        <v>1785</v>
      </c>
      <c r="M55" s="15" t="s">
        <v>1786</v>
      </c>
      <c r="N55" s="7"/>
      <c r="O55" s="5" t="s">
        <v>1787</v>
      </c>
      <c r="P55" s="34" t="s">
        <v>22</v>
      </c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ht="12.0" customHeight="1">
      <c r="A56" s="5" t="s">
        <v>1788</v>
      </c>
      <c r="B56" s="5"/>
      <c r="C56" s="5"/>
      <c r="D56" s="5" t="s">
        <v>1789</v>
      </c>
      <c r="E56" s="5" t="s">
        <v>1133</v>
      </c>
      <c r="F56" s="5"/>
      <c r="G56" s="5"/>
      <c r="H56" s="5"/>
      <c r="I56" s="5"/>
      <c r="J56" s="5" t="s">
        <v>1790</v>
      </c>
      <c r="K56" s="5" t="s">
        <v>1790</v>
      </c>
      <c r="L56" s="12" t="s">
        <v>957</v>
      </c>
      <c r="M56" s="15" t="s">
        <v>1791</v>
      </c>
      <c r="N56" s="7" t="s">
        <v>1792</v>
      </c>
      <c r="O56" s="5"/>
      <c r="P56" s="34" t="s">
        <v>22</v>
      </c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 ht="12.0" customHeight="1">
      <c r="A57" s="12" t="s">
        <v>1793</v>
      </c>
      <c r="B57" s="12">
        <v>3.0</v>
      </c>
      <c r="C57" s="12"/>
      <c r="D57" s="12" t="s">
        <v>1794</v>
      </c>
      <c r="E57" s="12" t="s">
        <v>1133</v>
      </c>
      <c r="F57" s="5"/>
      <c r="G57" s="5"/>
      <c r="H57" s="5"/>
      <c r="I57" s="12">
        <v>2010.0</v>
      </c>
      <c r="J57" s="12" t="s">
        <v>1795</v>
      </c>
      <c r="K57" s="12" t="s">
        <v>1795</v>
      </c>
      <c r="L57" s="12" t="s">
        <v>957</v>
      </c>
      <c r="M57" s="15" t="s">
        <v>1796</v>
      </c>
      <c r="N57" s="14" t="s">
        <v>1797</v>
      </c>
      <c r="O57" s="5"/>
      <c r="P57" s="34" t="s">
        <v>22</v>
      </c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 ht="12.0" customHeight="1">
      <c r="A58" s="12" t="s">
        <v>1798</v>
      </c>
      <c r="B58" s="12">
        <v>9.0</v>
      </c>
      <c r="C58" s="12" t="s">
        <v>1799</v>
      </c>
      <c r="D58" s="12" t="s">
        <v>1794</v>
      </c>
      <c r="E58" s="5" t="s">
        <v>1133</v>
      </c>
      <c r="F58" s="5"/>
      <c r="G58" s="5"/>
      <c r="H58" s="5"/>
      <c r="I58" s="12">
        <v>2009.0</v>
      </c>
      <c r="J58" s="12" t="s">
        <v>1800</v>
      </c>
      <c r="K58" s="12" t="s">
        <v>1800</v>
      </c>
      <c r="L58" s="12" t="s">
        <v>1801</v>
      </c>
      <c r="M58" s="15" t="s">
        <v>1802</v>
      </c>
      <c r="N58" s="14" t="s">
        <v>1803</v>
      </c>
      <c r="O58" s="5"/>
      <c r="P58" s="34" t="s">
        <v>22</v>
      </c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 ht="12.0" customHeight="1">
      <c r="A59" s="12" t="s">
        <v>1804</v>
      </c>
      <c r="B59" s="12">
        <v>3.0</v>
      </c>
      <c r="C59" s="12" t="s">
        <v>1799</v>
      </c>
      <c r="D59" s="12" t="s">
        <v>1794</v>
      </c>
      <c r="E59" s="5" t="s">
        <v>1133</v>
      </c>
      <c r="F59" s="5"/>
      <c r="G59" s="5"/>
      <c r="H59" s="5"/>
      <c r="I59" s="12">
        <v>2006.0</v>
      </c>
      <c r="J59" s="12" t="s">
        <v>1800</v>
      </c>
      <c r="K59" s="12" t="s">
        <v>1800</v>
      </c>
      <c r="L59" s="12" t="s">
        <v>1805</v>
      </c>
      <c r="M59" s="15" t="s">
        <v>1806</v>
      </c>
      <c r="N59" s="14" t="s">
        <v>1807</v>
      </c>
      <c r="O59" s="5"/>
      <c r="P59" s="34" t="s">
        <v>22</v>
      </c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 ht="12.0" customHeight="1">
      <c r="A60" s="12" t="s">
        <v>1808</v>
      </c>
      <c r="B60" s="12">
        <v>6.0</v>
      </c>
      <c r="C60" s="12" t="s">
        <v>1799</v>
      </c>
      <c r="D60" s="12" t="s">
        <v>1794</v>
      </c>
      <c r="E60" s="5" t="s">
        <v>1133</v>
      </c>
      <c r="F60" s="5"/>
      <c r="G60" s="5"/>
      <c r="H60" s="5"/>
      <c r="I60" s="12">
        <v>2007.0</v>
      </c>
      <c r="J60" s="12" t="s">
        <v>1800</v>
      </c>
      <c r="K60" s="12" t="s">
        <v>1800</v>
      </c>
      <c r="L60" s="12" t="s">
        <v>1809</v>
      </c>
      <c r="M60" s="15" t="s">
        <v>1810</v>
      </c>
      <c r="N60" s="14" t="s">
        <v>1811</v>
      </c>
      <c r="O60" s="5"/>
      <c r="P60" s="34" t="s">
        <v>22</v>
      </c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 ht="12.0" customHeight="1">
      <c r="A61" s="12" t="s">
        <v>1812</v>
      </c>
      <c r="B61" s="12">
        <v>1.0</v>
      </c>
      <c r="C61" s="12" t="s">
        <v>1799</v>
      </c>
      <c r="D61" s="12" t="s">
        <v>1794</v>
      </c>
      <c r="E61" s="5" t="s">
        <v>1133</v>
      </c>
      <c r="F61" s="5"/>
      <c r="G61" s="5"/>
      <c r="H61" s="5"/>
      <c r="I61" s="12">
        <v>2005.0</v>
      </c>
      <c r="J61" s="12" t="s">
        <v>1800</v>
      </c>
      <c r="K61" s="12" t="s">
        <v>1800</v>
      </c>
      <c r="L61" s="12" t="s">
        <v>1813</v>
      </c>
      <c r="M61" s="15" t="s">
        <v>1814</v>
      </c>
      <c r="N61" s="14" t="s">
        <v>1815</v>
      </c>
      <c r="O61" s="5"/>
      <c r="P61" s="34" t="s">
        <v>22</v>
      </c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 ht="12.0" customHeight="1">
      <c r="A62" s="12" t="s">
        <v>1816</v>
      </c>
      <c r="B62" s="12">
        <v>5.0</v>
      </c>
      <c r="C62" s="12" t="s">
        <v>1799</v>
      </c>
      <c r="D62" s="12" t="s">
        <v>1794</v>
      </c>
      <c r="E62" s="5" t="s">
        <v>1133</v>
      </c>
      <c r="F62" s="5"/>
      <c r="G62" s="5"/>
      <c r="H62" s="5"/>
      <c r="I62" s="12">
        <v>2007.0</v>
      </c>
      <c r="J62" s="12" t="s">
        <v>1800</v>
      </c>
      <c r="K62" s="12" t="s">
        <v>1800</v>
      </c>
      <c r="L62" s="12" t="s">
        <v>1817</v>
      </c>
      <c r="M62" s="15" t="s">
        <v>1818</v>
      </c>
      <c r="N62" s="14" t="s">
        <v>1819</v>
      </c>
      <c r="O62" s="5"/>
      <c r="P62" s="34" t="s">
        <v>22</v>
      </c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 ht="12.0" customHeight="1">
      <c r="A63" s="12" t="s">
        <v>1820</v>
      </c>
      <c r="B63" s="12">
        <v>2.0</v>
      </c>
      <c r="C63" s="12" t="s">
        <v>1799</v>
      </c>
      <c r="D63" s="12" t="s">
        <v>1794</v>
      </c>
      <c r="E63" s="5" t="s">
        <v>1133</v>
      </c>
      <c r="F63" s="5"/>
      <c r="G63" s="5"/>
      <c r="H63" s="5"/>
      <c r="I63" s="12">
        <v>2005.0</v>
      </c>
      <c r="J63" s="12" t="s">
        <v>1800</v>
      </c>
      <c r="K63" s="12" t="s">
        <v>1800</v>
      </c>
      <c r="L63" s="12" t="s">
        <v>1821</v>
      </c>
      <c r="M63" s="68" t="s">
        <v>1822</v>
      </c>
      <c r="N63" s="14" t="s">
        <v>1823</v>
      </c>
      <c r="O63" s="5"/>
      <c r="P63" s="34" t="s">
        <v>22</v>
      </c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 ht="12.0" customHeight="1">
      <c r="A64" s="12" t="s">
        <v>1824</v>
      </c>
      <c r="B64" s="12"/>
      <c r="C64" s="12"/>
      <c r="D64" s="12" t="s">
        <v>1825</v>
      </c>
      <c r="E64" s="12" t="s">
        <v>1133</v>
      </c>
      <c r="F64" s="5"/>
      <c r="G64" s="5"/>
      <c r="H64" s="5"/>
      <c r="I64" s="12">
        <v>2007.0</v>
      </c>
      <c r="J64" s="12" t="s">
        <v>1826</v>
      </c>
      <c r="K64" s="12" t="s">
        <v>1826</v>
      </c>
      <c r="L64" s="12"/>
      <c r="M64" s="15" t="s">
        <v>1827</v>
      </c>
      <c r="N64" s="14" t="s">
        <v>1828</v>
      </c>
      <c r="O64" s="5"/>
      <c r="P64" s="34" t="s">
        <v>22</v>
      </c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 ht="12.0" customHeight="1">
      <c r="A65" s="12" t="s">
        <v>1829</v>
      </c>
      <c r="B65" s="12">
        <v>1.0</v>
      </c>
      <c r="C65" s="12"/>
      <c r="D65" s="12" t="s">
        <v>1830</v>
      </c>
      <c r="E65" s="12" t="s">
        <v>1133</v>
      </c>
      <c r="F65" s="5"/>
      <c r="G65" s="5"/>
      <c r="H65" s="5"/>
      <c r="I65" s="12">
        <v>2013.0</v>
      </c>
      <c r="J65" s="12" t="s">
        <v>1831</v>
      </c>
      <c r="K65" s="12" t="s">
        <v>1832</v>
      </c>
      <c r="L65" s="12" t="s">
        <v>1833</v>
      </c>
      <c r="M65" s="15" t="s">
        <v>1834</v>
      </c>
      <c r="N65" s="14" t="s">
        <v>1835</v>
      </c>
      <c r="O65" s="5"/>
      <c r="P65" s="49" t="s">
        <v>22</v>
      </c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 ht="12.0" customHeight="1">
      <c r="A66" s="12" t="s">
        <v>1836</v>
      </c>
      <c r="B66" s="5"/>
      <c r="C66" s="12"/>
      <c r="D66" s="12" t="s">
        <v>1830</v>
      </c>
      <c r="E66" s="12" t="s">
        <v>1133</v>
      </c>
      <c r="F66" s="5"/>
      <c r="G66" s="5"/>
      <c r="H66" s="5"/>
      <c r="I66" s="12">
        <v>2013.0</v>
      </c>
      <c r="J66" s="12" t="s">
        <v>1043</v>
      </c>
      <c r="K66" s="12" t="s">
        <v>1832</v>
      </c>
      <c r="L66" s="12" t="s">
        <v>957</v>
      </c>
      <c r="M66" s="15" t="s">
        <v>1837</v>
      </c>
      <c r="N66" s="14" t="s">
        <v>1838</v>
      </c>
      <c r="O66" s="5"/>
      <c r="P66" s="49" t="s">
        <v>22</v>
      </c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 ht="12.0" customHeight="1">
      <c r="A67" s="5" t="s">
        <v>1839</v>
      </c>
      <c r="B67" s="5">
        <v>1.0</v>
      </c>
      <c r="C67" s="5"/>
      <c r="D67" s="5" t="s">
        <v>1840</v>
      </c>
      <c r="E67" s="5" t="s">
        <v>1133</v>
      </c>
      <c r="F67" s="5"/>
      <c r="G67" s="5"/>
      <c r="H67" s="5"/>
      <c r="I67" s="5">
        <v>2019.0</v>
      </c>
      <c r="J67" s="5" t="s">
        <v>1841</v>
      </c>
      <c r="K67" s="5" t="s">
        <v>1842</v>
      </c>
      <c r="L67" s="12" t="s">
        <v>1843</v>
      </c>
      <c r="M67" s="15" t="s">
        <v>1844</v>
      </c>
      <c r="N67" s="14" t="s">
        <v>1845</v>
      </c>
      <c r="O67" s="5"/>
      <c r="P67" s="34" t="s">
        <v>22</v>
      </c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 ht="12.0" customHeight="1">
      <c r="A68" s="5" t="s">
        <v>1846</v>
      </c>
      <c r="B68" s="5"/>
      <c r="C68" s="5"/>
      <c r="D68" s="5" t="s">
        <v>1847</v>
      </c>
      <c r="E68" s="5" t="s">
        <v>1133</v>
      </c>
      <c r="F68" s="5"/>
      <c r="G68" s="5"/>
      <c r="H68" s="5"/>
      <c r="I68" s="5">
        <v>1996.0</v>
      </c>
      <c r="J68" s="5" t="s">
        <v>1848</v>
      </c>
      <c r="K68" s="5" t="s">
        <v>1848</v>
      </c>
      <c r="L68" s="12" t="s">
        <v>1849</v>
      </c>
      <c r="M68" s="15" t="s">
        <v>1850</v>
      </c>
      <c r="N68" s="7" t="s">
        <v>1851</v>
      </c>
      <c r="O68" s="5"/>
      <c r="P68" s="34" t="s">
        <v>22</v>
      </c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ht="12.0" customHeight="1">
      <c r="A69" s="12" t="s">
        <v>1852</v>
      </c>
      <c r="B69" s="5"/>
      <c r="C69" s="12"/>
      <c r="D69" s="12" t="s">
        <v>1853</v>
      </c>
      <c r="E69" s="5" t="s">
        <v>1133</v>
      </c>
      <c r="F69" s="5"/>
      <c r="G69" s="5"/>
      <c r="H69" s="5"/>
      <c r="I69" s="12">
        <v>2012.0</v>
      </c>
      <c r="J69" s="12" t="s">
        <v>1854</v>
      </c>
      <c r="K69" s="12" t="s">
        <v>1855</v>
      </c>
      <c r="L69" s="12" t="s">
        <v>957</v>
      </c>
      <c r="M69" s="17" t="s">
        <v>1856</v>
      </c>
      <c r="N69" s="14" t="s">
        <v>1857</v>
      </c>
      <c r="O69" s="5"/>
      <c r="P69" s="34" t="s">
        <v>22</v>
      </c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ht="12.0" customHeight="1">
      <c r="A70" s="12" t="s">
        <v>1858</v>
      </c>
      <c r="B70" s="12">
        <v>1.0</v>
      </c>
      <c r="C70" s="12"/>
      <c r="D70" s="12" t="s">
        <v>1650</v>
      </c>
      <c r="E70" s="12" t="s">
        <v>1133</v>
      </c>
      <c r="F70" s="5"/>
      <c r="G70" s="5"/>
      <c r="H70" s="5"/>
      <c r="I70" s="12">
        <v>2014.0</v>
      </c>
      <c r="J70" s="12" t="s">
        <v>1859</v>
      </c>
      <c r="K70" s="12" t="s">
        <v>1860</v>
      </c>
      <c r="L70" s="12" t="s">
        <v>1861</v>
      </c>
      <c r="M70" s="15" t="s">
        <v>1862</v>
      </c>
      <c r="N70" s="14" t="s">
        <v>1863</v>
      </c>
      <c r="O70" s="5"/>
      <c r="P70" s="34" t="s">
        <v>22</v>
      </c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ht="12.0" customHeight="1">
      <c r="A71" s="12" t="s">
        <v>1864</v>
      </c>
      <c r="B71" s="5"/>
      <c r="C71" s="12"/>
      <c r="D71" s="12" t="s">
        <v>1650</v>
      </c>
      <c r="E71" s="12" t="s">
        <v>1133</v>
      </c>
      <c r="F71" s="5"/>
      <c r="G71" s="5"/>
      <c r="H71" s="5"/>
      <c r="I71" s="12">
        <v>2022.0</v>
      </c>
      <c r="J71" s="12" t="s">
        <v>1708</v>
      </c>
      <c r="K71" s="12" t="s">
        <v>1708</v>
      </c>
      <c r="L71" s="12" t="s">
        <v>957</v>
      </c>
      <c r="M71" s="17" t="s">
        <v>1865</v>
      </c>
      <c r="N71" s="14" t="s">
        <v>1866</v>
      </c>
      <c r="O71" s="5"/>
      <c r="P71" s="34" t="s">
        <v>22</v>
      </c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 ht="12.0" customHeight="1">
      <c r="A72" s="12" t="s">
        <v>1867</v>
      </c>
      <c r="B72" s="12">
        <v>5.0</v>
      </c>
      <c r="C72" s="12"/>
      <c r="D72" s="12" t="s">
        <v>1650</v>
      </c>
      <c r="E72" s="12" t="s">
        <v>1133</v>
      </c>
      <c r="F72" s="5"/>
      <c r="G72" s="5"/>
      <c r="H72" s="5"/>
      <c r="I72" s="12">
        <v>2010.0</v>
      </c>
      <c r="J72" s="12" t="s">
        <v>1868</v>
      </c>
      <c r="K72" s="12" t="s">
        <v>1869</v>
      </c>
      <c r="L72" s="12" t="s">
        <v>1870</v>
      </c>
      <c r="M72" s="15" t="s">
        <v>1871</v>
      </c>
      <c r="N72" s="14" t="s">
        <v>1872</v>
      </c>
      <c r="O72" s="5"/>
      <c r="P72" s="34" t="s">
        <v>22</v>
      </c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 ht="12.0" customHeight="1">
      <c r="A73" s="12" t="s">
        <v>1873</v>
      </c>
      <c r="B73" s="12">
        <v>14.0</v>
      </c>
      <c r="C73" s="12"/>
      <c r="D73" s="12" t="s">
        <v>1650</v>
      </c>
      <c r="E73" s="12" t="s">
        <v>1133</v>
      </c>
      <c r="F73" s="5"/>
      <c r="G73" s="5"/>
      <c r="H73" s="5"/>
      <c r="I73" s="12">
        <v>2009.0</v>
      </c>
      <c r="J73" s="12" t="s">
        <v>1874</v>
      </c>
      <c r="K73" s="12" t="s">
        <v>1875</v>
      </c>
      <c r="L73" s="12" t="s">
        <v>1876</v>
      </c>
      <c r="M73" s="15" t="s">
        <v>1877</v>
      </c>
      <c r="N73" s="14" t="s">
        <v>1878</v>
      </c>
      <c r="O73" s="5"/>
      <c r="P73" s="34" t="s">
        <v>22</v>
      </c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 ht="12.0" customHeight="1">
      <c r="A74" s="5" t="s">
        <v>1879</v>
      </c>
      <c r="B74" s="5">
        <v>1.0</v>
      </c>
      <c r="C74" s="5"/>
      <c r="D74" s="5" t="s">
        <v>1880</v>
      </c>
      <c r="E74" s="5" t="s">
        <v>1133</v>
      </c>
      <c r="F74" s="5"/>
      <c r="G74" s="5"/>
      <c r="H74" s="5"/>
      <c r="I74" s="5">
        <v>2010.0</v>
      </c>
      <c r="J74" s="5" t="s">
        <v>1881</v>
      </c>
      <c r="K74" s="5" t="s">
        <v>1881</v>
      </c>
      <c r="L74" s="12" t="s">
        <v>957</v>
      </c>
      <c r="M74" s="17" t="s">
        <v>1882</v>
      </c>
      <c r="N74" s="7" t="s">
        <v>1883</v>
      </c>
      <c r="O74" s="5"/>
      <c r="P74" s="34" t="s">
        <v>22</v>
      </c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 ht="12.0" customHeight="1">
      <c r="A75" s="5" t="s">
        <v>1884</v>
      </c>
      <c r="B75" s="5"/>
      <c r="C75" s="5"/>
      <c r="D75" s="5" t="s">
        <v>1885</v>
      </c>
      <c r="E75" s="5" t="s">
        <v>1133</v>
      </c>
      <c r="F75" s="5"/>
      <c r="G75" s="5"/>
      <c r="H75" s="5"/>
      <c r="I75" s="5">
        <v>2014.0</v>
      </c>
      <c r="J75" s="5" t="s">
        <v>1886</v>
      </c>
      <c r="K75" s="5" t="s">
        <v>1402</v>
      </c>
      <c r="L75" s="12" t="s">
        <v>957</v>
      </c>
      <c r="M75" s="14" t="s">
        <v>1508</v>
      </c>
      <c r="N75" s="7"/>
      <c r="O75" s="5"/>
      <c r="P75" s="34" t="s">
        <v>22</v>
      </c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 ht="12.0" customHeight="1">
      <c r="A76" s="12" t="s">
        <v>1887</v>
      </c>
      <c r="B76" s="12">
        <v>9.0</v>
      </c>
      <c r="C76" s="12" t="s">
        <v>1888</v>
      </c>
      <c r="D76" s="12" t="s">
        <v>1889</v>
      </c>
      <c r="E76" s="12" t="s">
        <v>1141</v>
      </c>
      <c r="F76" s="12" t="s">
        <v>1890</v>
      </c>
      <c r="G76" s="12">
        <v>8.0</v>
      </c>
      <c r="H76" s="12" t="s">
        <v>1650</v>
      </c>
      <c r="I76" s="12">
        <v>1983.0</v>
      </c>
      <c r="J76" s="12" t="s">
        <v>1891</v>
      </c>
      <c r="K76" s="12" t="s">
        <v>1892</v>
      </c>
      <c r="L76" s="12" t="s">
        <v>1893</v>
      </c>
      <c r="M76" s="15" t="s">
        <v>1894</v>
      </c>
      <c r="N76" s="14" t="s">
        <v>1895</v>
      </c>
      <c r="O76" s="5"/>
      <c r="P76" s="34" t="s">
        <v>22</v>
      </c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 ht="12.0" customHeight="1">
      <c r="A77" s="12" t="s">
        <v>1896</v>
      </c>
      <c r="B77" s="12">
        <v>11.0</v>
      </c>
      <c r="C77" s="12" t="s">
        <v>1888</v>
      </c>
      <c r="D77" s="12" t="s">
        <v>1889</v>
      </c>
      <c r="E77" s="12" t="s">
        <v>1141</v>
      </c>
      <c r="F77" s="12" t="s">
        <v>1890</v>
      </c>
      <c r="G77" s="12">
        <v>10.0</v>
      </c>
      <c r="H77" s="12" t="s">
        <v>1650</v>
      </c>
      <c r="I77" s="12">
        <v>1984.0</v>
      </c>
      <c r="J77" s="12" t="s">
        <v>1891</v>
      </c>
      <c r="K77" s="12" t="s">
        <v>1760</v>
      </c>
      <c r="L77" s="12" t="s">
        <v>1897</v>
      </c>
      <c r="M77" s="15" t="s">
        <v>1896</v>
      </c>
      <c r="N77" s="14" t="s">
        <v>1898</v>
      </c>
      <c r="O77" s="5"/>
      <c r="P77" s="34" t="s">
        <v>22</v>
      </c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 ht="12.0" customHeight="1">
      <c r="A78" s="12" t="s">
        <v>1899</v>
      </c>
      <c r="B78" s="12">
        <v>10.0</v>
      </c>
      <c r="C78" s="12" t="s">
        <v>1888</v>
      </c>
      <c r="D78" s="12" t="s">
        <v>1889</v>
      </c>
      <c r="E78" s="12" t="s">
        <v>1141</v>
      </c>
      <c r="F78" s="12" t="s">
        <v>1890</v>
      </c>
      <c r="G78" s="12">
        <v>9.0</v>
      </c>
      <c r="H78" s="12" t="s">
        <v>1650</v>
      </c>
      <c r="I78" s="12">
        <v>1983.0</v>
      </c>
      <c r="J78" s="12" t="s">
        <v>1891</v>
      </c>
      <c r="K78" s="12" t="s">
        <v>1900</v>
      </c>
      <c r="L78" s="12" t="s">
        <v>1901</v>
      </c>
      <c r="M78" s="15" t="s">
        <v>1902</v>
      </c>
      <c r="N78" s="14" t="s">
        <v>1903</v>
      </c>
      <c r="O78" s="5"/>
      <c r="P78" s="34" t="s">
        <v>22</v>
      </c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 ht="12.0" customHeight="1">
      <c r="A79" s="12" t="s">
        <v>1904</v>
      </c>
      <c r="B79" s="12"/>
      <c r="C79" s="12"/>
      <c r="D79" s="12" t="s">
        <v>1905</v>
      </c>
      <c r="E79" s="12" t="s">
        <v>1133</v>
      </c>
      <c r="F79" s="5"/>
      <c r="G79" s="5"/>
      <c r="H79" s="5"/>
      <c r="I79" s="12">
        <v>2004.0</v>
      </c>
      <c r="J79" s="12" t="s">
        <v>1906</v>
      </c>
      <c r="K79" s="12" t="s">
        <v>1906</v>
      </c>
      <c r="L79" s="12" t="s">
        <v>957</v>
      </c>
      <c r="M79" s="68" t="s">
        <v>1907</v>
      </c>
      <c r="N79" s="14" t="s">
        <v>1908</v>
      </c>
      <c r="O79" s="5"/>
      <c r="P79" s="34" t="s">
        <v>22</v>
      </c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 ht="12.0" customHeight="1">
      <c r="A80" s="5" t="s">
        <v>1909</v>
      </c>
      <c r="B80" s="5"/>
      <c r="C80" s="5"/>
      <c r="D80" s="5" t="s">
        <v>1905</v>
      </c>
      <c r="E80" s="5" t="s">
        <v>1133</v>
      </c>
      <c r="F80" s="5"/>
      <c r="G80" s="5"/>
      <c r="H80" s="5"/>
      <c r="I80" s="5">
        <v>1980.0</v>
      </c>
      <c r="J80" s="5" t="s">
        <v>1910</v>
      </c>
      <c r="K80" s="5" t="s">
        <v>1910</v>
      </c>
      <c r="L80" s="12" t="s">
        <v>1911</v>
      </c>
      <c r="M80" s="15" t="s">
        <v>1912</v>
      </c>
      <c r="N80" s="7" t="s">
        <v>1913</v>
      </c>
      <c r="O80" s="5"/>
      <c r="P80" s="34" t="s">
        <v>22</v>
      </c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 ht="12.0" customHeight="1">
      <c r="A81" s="12" t="s">
        <v>1914</v>
      </c>
      <c r="B81" s="12"/>
      <c r="C81" s="12"/>
      <c r="D81" s="12" t="s">
        <v>1915</v>
      </c>
      <c r="E81" s="12" t="s">
        <v>1133</v>
      </c>
      <c r="F81" s="5"/>
      <c r="G81" s="5"/>
      <c r="H81" s="5"/>
      <c r="I81" s="12">
        <v>2012.0</v>
      </c>
      <c r="J81" s="12" t="s">
        <v>1916</v>
      </c>
      <c r="K81" s="12" t="s">
        <v>1500</v>
      </c>
      <c r="L81" s="12" t="s">
        <v>957</v>
      </c>
      <c r="M81" s="68" t="s">
        <v>1917</v>
      </c>
      <c r="N81" s="14" t="s">
        <v>1918</v>
      </c>
      <c r="O81" s="5"/>
      <c r="P81" s="34" t="s">
        <v>22</v>
      </c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 ht="12.0" customHeight="1">
      <c r="A82" s="5" t="s">
        <v>1919</v>
      </c>
      <c r="B82" s="5">
        <v>1.0</v>
      </c>
      <c r="C82" s="5"/>
      <c r="D82" s="5" t="s">
        <v>1915</v>
      </c>
      <c r="E82" s="5" t="s">
        <v>1133</v>
      </c>
      <c r="F82" s="5"/>
      <c r="G82" s="5"/>
      <c r="H82" s="5"/>
      <c r="I82" s="5">
        <v>2011.0</v>
      </c>
      <c r="J82" s="5" t="s">
        <v>1920</v>
      </c>
      <c r="K82" s="5" t="s">
        <v>1921</v>
      </c>
      <c r="L82" s="12" t="s">
        <v>957</v>
      </c>
      <c r="M82" s="17" t="s">
        <v>1922</v>
      </c>
      <c r="N82" s="7" t="s">
        <v>1923</v>
      </c>
      <c r="O82" s="5" t="s">
        <v>1924</v>
      </c>
      <c r="P82" s="34" t="s">
        <v>22</v>
      </c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 ht="12.0" customHeight="1">
      <c r="A83" s="12" t="s">
        <v>1925</v>
      </c>
      <c r="B83" s="12">
        <v>3.0</v>
      </c>
      <c r="C83" s="5"/>
      <c r="D83" s="5" t="s">
        <v>1915</v>
      </c>
      <c r="E83" s="5" t="s">
        <v>1133</v>
      </c>
      <c r="F83" s="5"/>
      <c r="G83" s="5"/>
      <c r="H83" s="5"/>
      <c r="I83" s="12">
        <v>2013.0</v>
      </c>
      <c r="J83" s="12" t="s">
        <v>1916</v>
      </c>
      <c r="K83" s="12" t="s">
        <v>1926</v>
      </c>
      <c r="L83" s="12" t="s">
        <v>957</v>
      </c>
      <c r="M83" s="70" t="s">
        <v>1927</v>
      </c>
      <c r="N83" s="14" t="s">
        <v>1928</v>
      </c>
      <c r="O83" s="5"/>
      <c r="P83" s="34" t="s">
        <v>22</v>
      </c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 ht="12.0" customHeight="1">
      <c r="A84" s="12" t="s">
        <v>1929</v>
      </c>
      <c r="B84" s="5">
        <v>2.0</v>
      </c>
      <c r="C84" s="5"/>
      <c r="D84" s="5" t="s">
        <v>1915</v>
      </c>
      <c r="E84" s="5" t="s">
        <v>1133</v>
      </c>
      <c r="F84" s="5"/>
      <c r="G84" s="5"/>
      <c r="H84" s="5"/>
      <c r="I84" s="5">
        <v>2012.0</v>
      </c>
      <c r="J84" s="5" t="s">
        <v>1916</v>
      </c>
      <c r="K84" s="5" t="s">
        <v>1926</v>
      </c>
      <c r="L84" s="12" t="s">
        <v>957</v>
      </c>
      <c r="M84" s="70" t="s">
        <v>1930</v>
      </c>
      <c r="N84" s="7" t="s">
        <v>1931</v>
      </c>
      <c r="O84" s="5" t="s">
        <v>1932</v>
      </c>
      <c r="P84" s="34" t="s">
        <v>22</v>
      </c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 ht="12.0" customHeight="1">
      <c r="A85" s="12" t="s">
        <v>1933</v>
      </c>
      <c r="B85" s="12"/>
      <c r="C85" s="12"/>
      <c r="D85" s="12" t="s">
        <v>1915</v>
      </c>
      <c r="E85" s="12" t="s">
        <v>1133</v>
      </c>
      <c r="F85" s="5"/>
      <c r="G85" s="5"/>
      <c r="H85" s="5"/>
      <c r="I85" s="12">
        <v>2013.0</v>
      </c>
      <c r="J85" s="12" t="s">
        <v>1934</v>
      </c>
      <c r="K85" s="12" t="s">
        <v>1934</v>
      </c>
      <c r="L85" s="12" t="s">
        <v>1935</v>
      </c>
      <c r="M85" s="15" t="s">
        <v>1936</v>
      </c>
      <c r="N85" s="14" t="s">
        <v>1937</v>
      </c>
      <c r="O85" s="5"/>
      <c r="P85" s="49" t="s">
        <v>22</v>
      </c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ht="12.0" customHeight="1">
      <c r="A86" s="12" t="s">
        <v>1938</v>
      </c>
      <c r="B86" s="12">
        <v>1.0</v>
      </c>
      <c r="C86" s="12"/>
      <c r="D86" s="12" t="s">
        <v>1939</v>
      </c>
      <c r="E86" s="5" t="s">
        <v>1133</v>
      </c>
      <c r="F86" s="5"/>
      <c r="G86" s="5"/>
      <c r="H86" s="5"/>
      <c r="I86" s="12"/>
      <c r="J86" s="12" t="s">
        <v>1940</v>
      </c>
      <c r="K86" s="12" t="s">
        <v>1941</v>
      </c>
      <c r="L86" s="12" t="s">
        <v>957</v>
      </c>
      <c r="M86" s="68"/>
      <c r="N86" s="14" t="s">
        <v>1942</v>
      </c>
      <c r="O86" s="5"/>
      <c r="P86" s="49" t="s">
        <v>22</v>
      </c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 ht="12.0" customHeight="1">
      <c r="A87" s="12" t="s">
        <v>1943</v>
      </c>
      <c r="B87" s="12">
        <v>1.0</v>
      </c>
      <c r="C87" s="12"/>
      <c r="D87" s="12" t="s">
        <v>1944</v>
      </c>
      <c r="E87" s="5" t="s">
        <v>1133</v>
      </c>
      <c r="F87" s="5"/>
      <c r="G87" s="5"/>
      <c r="H87" s="5"/>
      <c r="I87" s="12">
        <v>2022.0</v>
      </c>
      <c r="J87" s="12" t="s">
        <v>1945</v>
      </c>
      <c r="K87" s="12" t="s">
        <v>1946</v>
      </c>
      <c r="L87" s="12" t="s">
        <v>957</v>
      </c>
      <c r="M87" s="71" t="s">
        <v>1755</v>
      </c>
      <c r="N87" s="14" t="s">
        <v>1947</v>
      </c>
      <c r="O87" s="5"/>
      <c r="P87" s="34" t="s">
        <v>22</v>
      </c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 ht="12.0" customHeight="1">
      <c r="A88" s="12" t="s">
        <v>1943</v>
      </c>
      <c r="B88" s="12">
        <v>2.0</v>
      </c>
      <c r="C88" s="12"/>
      <c r="D88" s="12" t="s">
        <v>1944</v>
      </c>
      <c r="E88" s="5" t="s">
        <v>1133</v>
      </c>
      <c r="F88" s="5"/>
      <c r="G88" s="5"/>
      <c r="H88" s="5"/>
      <c r="I88" s="12">
        <v>2023.0</v>
      </c>
      <c r="J88" s="12" t="s">
        <v>1945</v>
      </c>
      <c r="K88" s="12" t="s">
        <v>1948</v>
      </c>
      <c r="L88" s="12" t="s">
        <v>957</v>
      </c>
      <c r="M88" s="71" t="s">
        <v>1755</v>
      </c>
      <c r="N88" s="14" t="s">
        <v>1949</v>
      </c>
      <c r="O88" s="5"/>
      <c r="P88" s="34" t="s">
        <v>22</v>
      </c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 ht="12.0" customHeight="1">
      <c r="A89" s="12" t="s">
        <v>1950</v>
      </c>
      <c r="B89" s="5"/>
      <c r="C89" s="12"/>
      <c r="D89" s="12" t="s">
        <v>1951</v>
      </c>
      <c r="E89" s="12" t="s">
        <v>1133</v>
      </c>
      <c r="F89" s="5"/>
      <c r="G89" s="5"/>
      <c r="H89" s="5"/>
      <c r="I89" s="12">
        <v>2006.0</v>
      </c>
      <c r="J89" s="12" t="s">
        <v>1952</v>
      </c>
      <c r="K89" s="12" t="s">
        <v>1952</v>
      </c>
      <c r="L89" s="5"/>
      <c r="M89" s="7"/>
      <c r="N89" s="14" t="s">
        <v>1953</v>
      </c>
      <c r="O89" s="5"/>
      <c r="P89" s="34" t="s">
        <v>22</v>
      </c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 ht="12.0" customHeight="1">
      <c r="A90" s="12" t="s">
        <v>1954</v>
      </c>
      <c r="B90" s="12">
        <v>3.0</v>
      </c>
      <c r="C90" s="12"/>
      <c r="D90" s="12" t="s">
        <v>1955</v>
      </c>
      <c r="E90" s="12" t="s">
        <v>1133</v>
      </c>
      <c r="F90" s="5"/>
      <c r="G90" s="5"/>
      <c r="H90" s="5"/>
      <c r="I90" s="12">
        <v>1988.0</v>
      </c>
      <c r="J90" s="12" t="s">
        <v>1956</v>
      </c>
      <c r="K90" s="12" t="s">
        <v>1956</v>
      </c>
      <c r="L90" s="12" t="s">
        <v>1957</v>
      </c>
      <c r="M90" s="15" t="s">
        <v>1958</v>
      </c>
      <c r="N90" s="14" t="s">
        <v>1959</v>
      </c>
      <c r="O90" s="5"/>
      <c r="P90" s="34" t="s">
        <v>22</v>
      </c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 ht="12.0" customHeight="1">
      <c r="A91" s="12" t="s">
        <v>1960</v>
      </c>
      <c r="B91" s="12">
        <v>2.0</v>
      </c>
      <c r="C91" s="12"/>
      <c r="D91" s="12" t="s">
        <v>1955</v>
      </c>
      <c r="E91" s="12" t="s">
        <v>1133</v>
      </c>
      <c r="F91" s="5"/>
      <c r="G91" s="5"/>
      <c r="H91" s="5"/>
      <c r="I91" s="12">
        <v>1988.0</v>
      </c>
      <c r="J91" s="12" t="s">
        <v>1956</v>
      </c>
      <c r="K91" s="12" t="s">
        <v>1956</v>
      </c>
      <c r="L91" s="12" t="s">
        <v>1961</v>
      </c>
      <c r="M91" s="15" t="s">
        <v>1962</v>
      </c>
      <c r="N91" s="14" t="s">
        <v>1963</v>
      </c>
      <c r="O91" s="5"/>
      <c r="P91" s="34" t="s">
        <v>22</v>
      </c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 ht="12.0" customHeight="1">
      <c r="A92" s="12" t="s">
        <v>1964</v>
      </c>
      <c r="B92" s="12">
        <v>1.0</v>
      </c>
      <c r="C92" s="12"/>
      <c r="D92" s="12" t="s">
        <v>1965</v>
      </c>
      <c r="E92" s="5" t="s">
        <v>1133</v>
      </c>
      <c r="F92" s="5"/>
      <c r="G92" s="5"/>
      <c r="H92" s="5"/>
      <c r="I92" s="12">
        <v>2025.0</v>
      </c>
      <c r="J92" s="12" t="s">
        <v>1966</v>
      </c>
      <c r="K92" s="12" t="s">
        <v>1967</v>
      </c>
      <c r="L92" s="12" t="s">
        <v>957</v>
      </c>
      <c r="M92" s="68" t="s">
        <v>1968</v>
      </c>
      <c r="N92" s="14" t="s">
        <v>1969</v>
      </c>
      <c r="O92" s="5"/>
      <c r="P92" s="49" t="s">
        <v>22</v>
      </c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 ht="12.0" customHeight="1">
      <c r="A93" s="12" t="s">
        <v>1443</v>
      </c>
      <c r="B93" s="12">
        <v>1.0</v>
      </c>
      <c r="C93" s="12"/>
      <c r="D93" s="12" t="s">
        <v>1965</v>
      </c>
      <c r="E93" s="5" t="s">
        <v>1133</v>
      </c>
      <c r="F93" s="5"/>
      <c r="G93" s="5"/>
      <c r="H93" s="5"/>
      <c r="I93" s="12">
        <v>2013.0</v>
      </c>
      <c r="J93" s="12" t="s">
        <v>1940</v>
      </c>
      <c r="K93" s="12" t="s">
        <v>1970</v>
      </c>
      <c r="L93" s="12"/>
      <c r="M93" s="15" t="s">
        <v>1971</v>
      </c>
      <c r="N93" s="14" t="s">
        <v>1972</v>
      </c>
      <c r="O93" s="5"/>
      <c r="P93" s="34" t="s">
        <v>22</v>
      </c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 ht="12.0" customHeight="1">
      <c r="A94" s="12" t="s">
        <v>1973</v>
      </c>
      <c r="B94" s="12"/>
      <c r="C94" s="12"/>
      <c r="D94" s="12" t="s">
        <v>1825</v>
      </c>
      <c r="E94" s="5" t="s">
        <v>1133</v>
      </c>
      <c r="F94" s="5"/>
      <c r="G94" s="5"/>
      <c r="H94" s="5"/>
      <c r="I94" s="12">
        <v>2015.0</v>
      </c>
      <c r="J94" s="12" t="s">
        <v>1974</v>
      </c>
      <c r="K94" s="12" t="s">
        <v>1974</v>
      </c>
      <c r="L94" s="12"/>
      <c r="M94" s="68" t="s">
        <v>1975</v>
      </c>
      <c r="N94" s="14" t="s">
        <v>1976</v>
      </c>
      <c r="O94" s="5"/>
      <c r="P94" s="34" t="s">
        <v>22</v>
      </c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 ht="12.0" customHeight="1">
      <c r="A95" s="12" t="s">
        <v>1977</v>
      </c>
      <c r="B95" s="12"/>
      <c r="C95" s="12"/>
      <c r="D95" s="12" t="s">
        <v>1905</v>
      </c>
      <c r="E95" s="5" t="s">
        <v>1133</v>
      </c>
      <c r="F95" s="5"/>
      <c r="G95" s="5"/>
      <c r="H95" s="5"/>
      <c r="I95" s="12">
        <v>2007.0</v>
      </c>
      <c r="J95" s="12" t="s">
        <v>1906</v>
      </c>
      <c r="K95" s="12" t="s">
        <v>1906</v>
      </c>
      <c r="L95" s="12"/>
      <c r="M95" s="15" t="s">
        <v>1978</v>
      </c>
      <c r="N95" s="14" t="s">
        <v>1979</v>
      </c>
      <c r="O95" s="5"/>
      <c r="P95" s="34" t="s">
        <v>22</v>
      </c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 ht="12.0" customHeight="1">
      <c r="A96" s="12" t="s">
        <v>1980</v>
      </c>
      <c r="B96" s="12">
        <v>1.0</v>
      </c>
      <c r="C96" s="12" t="s">
        <v>1981</v>
      </c>
      <c r="D96" s="12" t="s">
        <v>1825</v>
      </c>
      <c r="E96" s="5" t="s">
        <v>1133</v>
      </c>
      <c r="F96" s="5"/>
      <c r="G96" s="5"/>
      <c r="H96" s="5"/>
      <c r="I96" s="12">
        <v>2012.0</v>
      </c>
      <c r="J96" s="12" t="s">
        <v>1826</v>
      </c>
      <c r="K96" s="12" t="s">
        <v>1826</v>
      </c>
      <c r="L96" s="12"/>
      <c r="M96" s="68" t="s">
        <v>1982</v>
      </c>
      <c r="N96" s="14" t="s">
        <v>1983</v>
      </c>
      <c r="O96" s="5"/>
      <c r="P96" s="34" t="s">
        <v>22</v>
      </c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 ht="12.0" customHeight="1">
      <c r="A97" s="12" t="s">
        <v>1984</v>
      </c>
      <c r="B97" s="12">
        <v>2.0</v>
      </c>
      <c r="C97" s="12" t="s">
        <v>1981</v>
      </c>
      <c r="D97" s="12" t="s">
        <v>1825</v>
      </c>
      <c r="E97" s="5" t="s">
        <v>1133</v>
      </c>
      <c r="F97" s="5"/>
      <c r="G97" s="5"/>
      <c r="H97" s="5"/>
      <c r="I97" s="12">
        <v>2016.0</v>
      </c>
      <c r="J97" s="12" t="s">
        <v>1826</v>
      </c>
      <c r="K97" s="12" t="s">
        <v>1826</v>
      </c>
      <c r="L97" s="12"/>
      <c r="M97" s="68" t="s">
        <v>1985</v>
      </c>
      <c r="N97" s="14" t="s">
        <v>1986</v>
      </c>
      <c r="O97" s="5"/>
      <c r="P97" s="34" t="s">
        <v>22</v>
      </c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 ht="12.0" customHeight="1">
      <c r="A98" s="12"/>
      <c r="B98" s="12"/>
      <c r="C98" s="12"/>
      <c r="D98" s="12"/>
      <c r="E98" s="5"/>
      <c r="F98" s="5"/>
      <c r="G98" s="5"/>
      <c r="H98" s="5"/>
      <c r="I98" s="12"/>
      <c r="J98" s="12"/>
      <c r="K98" s="12"/>
      <c r="L98" s="12"/>
      <c r="M98" s="68"/>
      <c r="N98" s="14"/>
      <c r="O98" s="5"/>
      <c r="P98" s="34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 ht="12.0" customHeight="1">
      <c r="A99" s="12"/>
      <c r="B99" s="12"/>
      <c r="C99" s="12"/>
      <c r="D99" s="12"/>
      <c r="E99" s="5"/>
      <c r="F99" s="5"/>
      <c r="G99" s="5"/>
      <c r="H99" s="5"/>
      <c r="I99" s="12"/>
      <c r="J99" s="12"/>
      <c r="K99" s="12"/>
      <c r="L99" s="12"/>
      <c r="M99" s="68"/>
      <c r="N99" s="14"/>
      <c r="O99" s="5"/>
      <c r="P99" s="34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 ht="12.0" customHeight="1">
      <c r="A100" s="12"/>
      <c r="B100" s="12"/>
      <c r="C100" s="12"/>
      <c r="D100" s="12"/>
      <c r="E100" s="5"/>
      <c r="F100" s="5"/>
      <c r="G100" s="5"/>
      <c r="H100" s="5"/>
      <c r="I100" s="12"/>
      <c r="J100" s="12"/>
      <c r="K100" s="12"/>
      <c r="L100" s="12"/>
      <c r="M100" s="68"/>
      <c r="N100" s="14"/>
      <c r="O100" s="5"/>
      <c r="P100" s="34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ht="12.0" customHeight="1">
      <c r="A101" s="12"/>
      <c r="B101" s="12"/>
      <c r="C101" s="12"/>
      <c r="D101" s="12"/>
      <c r="E101" s="5"/>
      <c r="F101" s="5"/>
      <c r="G101" s="5"/>
      <c r="H101" s="5"/>
      <c r="I101" s="12"/>
      <c r="J101" s="12"/>
      <c r="K101" s="12"/>
      <c r="L101" s="12"/>
      <c r="M101" s="71"/>
      <c r="N101" s="14"/>
      <c r="O101" s="5"/>
      <c r="P101" s="34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 ht="12.0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 ht="12.0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 ht="12.0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 ht="12.0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 ht="12.0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 ht="12.0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 ht="12.0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 ht="12.0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 ht="12.0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 ht="12.0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 ht="12.0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 ht="12.0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 ht="12.0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 ht="12.0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 ht="12.0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 ht="12.0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 ht="12.0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 ht="12.0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 ht="12.0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 ht="12.0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 ht="12.0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 ht="12.0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 ht="12.0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 ht="12.0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 ht="12.0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 ht="12.0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 ht="12.0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 ht="12.0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 ht="12.0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 ht="12.0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 ht="12.0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 ht="12.0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 ht="12.0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 ht="12.0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 ht="12.0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 ht="12.0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 ht="12.0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 ht="12.0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 ht="12.0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 ht="12.0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 ht="12.0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 ht="12.0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 ht="12.0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 ht="12.0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ht="12.0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 ht="12.0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 ht="12.0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 ht="12.0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 ht="12.0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 ht="12.0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 ht="12.0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 ht="12.0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 ht="12.0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 ht="12.0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 ht="12.0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 ht="12.0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ht="12.0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 ht="12.0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 ht="12.0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 ht="12.0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 ht="12.0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 ht="12.0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 ht="12.0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 ht="12.0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 ht="12.0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 ht="12.0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 ht="12.0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 ht="12.0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 ht="12.0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 ht="12.0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 ht="12.0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 ht="12.0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 ht="12.0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 ht="12.0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 ht="12.0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 ht="12.0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 ht="12.0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 ht="12.0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 ht="12.0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 ht="12.0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 ht="12.0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 ht="12.0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 ht="12.0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 ht="12.0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 ht="12.0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 ht="12.0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 ht="12.0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 ht="12.0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 ht="12.0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 ht="12.0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 ht="12.0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 ht="12.0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 ht="12.0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 ht="12.0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 ht="12.0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 ht="12.0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 ht="12.0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 ht="12.0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 ht="12.0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 ht="12.0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 ht="12.0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 ht="12.0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 ht="12.0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 ht="12.0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 ht="12.0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 ht="12.0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 ht="12.0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 ht="12.0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 ht="12.0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 ht="12.0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 ht="12.0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 ht="12.0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 ht="12.0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 ht="12.0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 ht="12.0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 ht="12.0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 ht="12.0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 ht="12.0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 ht="12.0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 ht="12.0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 ht="12.0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 ht="12.0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 ht="12.0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 ht="12.0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 ht="12.0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 ht="12.0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 ht="12.0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 ht="12.0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 ht="12.0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 ht="12.0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 ht="12.0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 ht="12.0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 ht="12.0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 ht="12.0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 ht="12.0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 ht="12.0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 ht="12.0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 ht="12.0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 ht="12.0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 ht="12.0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 ht="12.0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 ht="12.0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ht="12.0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 ht="12.0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 ht="12.0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 ht="12.0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 ht="12.0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 ht="12.0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 ht="12.0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 ht="12.0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 ht="12.0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 ht="12.0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 ht="12.0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 ht="12.0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 ht="12.0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 ht="12.0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 ht="12.0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 ht="12.0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 ht="12.0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 ht="12.0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 ht="12.0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 ht="12.0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 ht="12.0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 ht="12.0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 ht="12.0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 ht="12.0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 ht="12.0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 ht="12.0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 ht="12.0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 ht="12.0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 ht="12.0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 ht="12.0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 ht="12.0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 ht="12.0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 ht="12.0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 ht="12.0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 ht="12.0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 ht="12.0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 ht="12.0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 ht="12.0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 ht="12.0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 ht="12.0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 ht="12.0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 ht="12.0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 ht="12.0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 ht="12.0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 ht="12.0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 ht="12.0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 ht="12.0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 ht="12.0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 ht="12.0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 ht="12.0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 ht="12.0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 ht="12.0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 ht="12.0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 ht="12.0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 ht="12.0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 ht="12.0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 ht="12.0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 ht="12.0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 ht="12.0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 ht="12.0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 ht="12.0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 ht="12.0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 ht="12.0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 ht="12.0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 ht="12.0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 ht="12.0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 ht="12.0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 ht="12.0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 ht="12.0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 ht="12.0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 ht="12.0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 ht="12.0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 ht="12.0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 ht="12.0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 ht="12.0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 ht="12.0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 ht="12.0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 ht="12.0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 ht="12.0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 ht="12.0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 ht="12.0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 ht="12.0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 ht="12.0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 ht="12.0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 ht="12.0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 ht="12.0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 ht="12.0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 ht="12.0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 ht="12.0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 ht="12.0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 ht="12.0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 ht="12.0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 ht="12.0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 ht="12.0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 ht="12.0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 ht="12.0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 ht="12.0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 ht="12.0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 ht="12.0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 ht="12.0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 ht="12.0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 ht="12.0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 ht="12.0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 ht="12.0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 ht="12.0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 ht="12.0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 ht="12.0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 ht="12.0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 ht="12.0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 ht="12.0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 ht="12.0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 ht="12.0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 ht="12.0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 ht="12.0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 ht="12.0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 ht="12.0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 ht="12.0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 ht="12.0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 ht="12.0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 ht="12.0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 ht="12.0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 ht="12.0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 ht="12.0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 ht="12.0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 ht="12.0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 ht="12.0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 ht="12.0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 ht="12.0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 ht="12.0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 ht="12.0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 ht="12.0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 ht="12.0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 ht="12.0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 ht="12.0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 ht="12.0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 ht="12.0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 ht="12.0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 ht="12.0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 ht="12.0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 ht="12.0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 ht="12.0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 ht="12.0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 ht="12.0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 ht="12.0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 ht="12.0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 ht="12.0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 ht="12.0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 ht="12.0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 ht="12.0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 ht="12.0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 ht="12.0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 ht="12.0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 ht="12.0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 ht="12.0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 ht="12.0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 ht="12.0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 ht="12.0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 ht="12.0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 ht="12.0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 ht="12.0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 ht="12.0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 ht="12.0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 ht="12.0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 ht="12.0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 ht="12.0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 ht="12.0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 ht="12.0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 ht="12.0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 ht="12.0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 ht="12.0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 ht="12.0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 ht="12.0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 ht="12.0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 ht="12.0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 ht="12.0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 ht="12.0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 ht="12.0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 ht="12.0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 ht="12.0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 ht="12.0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 ht="12.0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 ht="12.0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 ht="12.0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 ht="12.0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 ht="12.0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 ht="12.0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 ht="12.0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 ht="12.0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 ht="12.0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 ht="12.0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 ht="12.0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 ht="12.0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 ht="12.0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 ht="12.0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 ht="12.0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 ht="12.0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 ht="12.0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 ht="12.0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 ht="12.0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 ht="12.0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 ht="12.0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 ht="12.0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 ht="12.0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 ht="12.0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 ht="12.0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 ht="12.0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 ht="12.0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 ht="12.0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 ht="12.0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 ht="12.0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 ht="12.0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 ht="12.0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 ht="12.0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 ht="12.0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 ht="12.0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 ht="12.0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 ht="12.0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 ht="12.0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 ht="12.0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 ht="12.0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 ht="12.0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 ht="12.0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 ht="12.0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 ht="12.0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 ht="12.0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 ht="12.0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 ht="12.0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 ht="12.0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 ht="12.0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 ht="12.0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 ht="12.0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 ht="12.0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 ht="12.0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 ht="12.0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 ht="12.0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 ht="12.0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 ht="12.0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 ht="12.0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 ht="12.0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 ht="12.0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 ht="12.0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 ht="12.0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 ht="12.0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 ht="12.0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 ht="12.0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 ht="12.0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 ht="12.0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 ht="12.0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 ht="12.0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 ht="12.0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 ht="12.0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 ht="12.0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 ht="12.0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 ht="12.0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 ht="12.0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 ht="12.0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 ht="12.0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 ht="12.0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 ht="12.0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 ht="12.0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 ht="12.0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 ht="12.0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 ht="12.0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 ht="12.0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 ht="12.0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 ht="12.0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 ht="12.0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 ht="12.0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 ht="12.0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 ht="12.0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 ht="12.0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 ht="12.0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 ht="12.0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 ht="12.0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 ht="12.0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 ht="12.0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 ht="12.0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 ht="12.0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 ht="12.0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 ht="12.0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 ht="12.0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 ht="12.0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 ht="12.0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 ht="12.0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 ht="12.0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 ht="12.0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 ht="12.0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 ht="12.0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 ht="12.0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 ht="12.0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 ht="12.0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 ht="12.0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 ht="12.0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 ht="12.0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 ht="12.0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 ht="12.0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 ht="12.0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 ht="12.0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 ht="12.0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 ht="12.0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 ht="12.0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 ht="12.0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 ht="12.0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 ht="12.0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 ht="12.0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 ht="12.0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 ht="12.0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 ht="12.0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 ht="12.0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 ht="12.0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 ht="12.0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 ht="12.0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 ht="12.0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 ht="12.0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 ht="12.0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 ht="12.0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 ht="12.0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 ht="12.0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 ht="12.0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 ht="12.0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 ht="12.0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 ht="12.0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 ht="12.0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 ht="12.0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 ht="12.0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 ht="12.0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 ht="12.0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 ht="12.0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 ht="12.0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 ht="12.0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 ht="12.0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 ht="12.0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 ht="12.0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 ht="12.0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 ht="12.0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 ht="12.0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 ht="12.0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 ht="12.0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 ht="12.0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 ht="12.0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 ht="12.0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 ht="12.0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 ht="12.0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 ht="12.0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 ht="12.0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 ht="12.0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 ht="12.0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 ht="12.0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 ht="12.0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 ht="12.0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 ht="12.0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 ht="12.0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 ht="12.0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 ht="12.0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 ht="12.0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 ht="12.0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 ht="12.0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 ht="12.0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 ht="12.0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 ht="12.0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 ht="12.0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 ht="12.0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 ht="12.0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 ht="12.0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 ht="12.0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 ht="12.0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 ht="12.0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 ht="12.0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 ht="12.0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 ht="12.0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 ht="12.0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 ht="12.0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 ht="12.0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 ht="12.0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 ht="12.0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 ht="12.0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 ht="12.0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 ht="12.0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 ht="12.0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 ht="12.0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 ht="12.0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 ht="12.0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 ht="12.0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 ht="12.0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 ht="12.0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 ht="12.0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 ht="12.0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 ht="12.0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 ht="12.0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 ht="12.0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 ht="12.0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 ht="12.0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 ht="12.0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 ht="12.0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 ht="12.0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 ht="12.0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 ht="12.0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 ht="12.0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 ht="12.0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 ht="12.0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 ht="12.0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 ht="12.0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 ht="12.0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 ht="12.0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 ht="12.0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 ht="12.0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 ht="12.0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 ht="12.0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 ht="12.0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 ht="12.0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 ht="12.0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 ht="12.0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 ht="12.0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 ht="12.0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 ht="12.0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 ht="12.0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 ht="12.0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 ht="12.0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 ht="12.0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 ht="12.0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 ht="12.0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 ht="12.0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 ht="12.0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 ht="12.0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 ht="12.0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 ht="12.0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 ht="12.0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 ht="12.0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 ht="12.0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 ht="12.0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 ht="12.0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 ht="12.0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 ht="12.0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 ht="12.0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 ht="12.0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 ht="12.0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 ht="12.0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 ht="12.0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 ht="12.0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 ht="12.0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 ht="12.0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 ht="12.0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 ht="12.0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 ht="12.0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 ht="12.0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 ht="12.0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 ht="12.0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 ht="12.0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 ht="12.0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 ht="12.0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 ht="12.0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 ht="12.0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 ht="12.0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 ht="12.0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 ht="12.0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 ht="12.0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 ht="12.0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 ht="12.0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 ht="12.0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 ht="12.0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 ht="12.0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 ht="12.0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 ht="12.0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 ht="12.0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 ht="12.0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 ht="12.0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 ht="12.0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 ht="12.0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 ht="12.0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 ht="12.0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 ht="12.0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 ht="12.0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 ht="12.0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 ht="12.0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 ht="12.0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 ht="12.0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 ht="12.0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 ht="12.0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 ht="12.0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 ht="12.0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 ht="12.0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 ht="12.0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 ht="12.0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 ht="12.0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 ht="12.0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 ht="12.0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 ht="12.0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 ht="12.0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 ht="12.0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 ht="12.0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 ht="12.0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 ht="12.0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 ht="12.0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 ht="12.0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 ht="12.0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 ht="12.0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 ht="12.0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 ht="12.0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 ht="12.0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 ht="12.0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 ht="12.0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 ht="12.0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 ht="12.0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 ht="12.0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 ht="12.0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 ht="12.0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 ht="12.0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 ht="12.0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 ht="12.0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 ht="12.0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 ht="12.0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 ht="12.0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 ht="12.0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 ht="12.0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 ht="12.0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 ht="12.0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 ht="12.0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 ht="12.0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 ht="12.0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 ht="12.0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 ht="12.0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 ht="12.0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 ht="12.0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 ht="12.0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 ht="12.0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 ht="12.0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 ht="12.0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 ht="12.0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 ht="12.0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 ht="12.0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 ht="12.0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 ht="12.0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 ht="12.0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 ht="12.0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 ht="12.0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 ht="12.0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 ht="12.0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 ht="12.0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 ht="12.0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 ht="12.0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 ht="12.0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 ht="12.0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 ht="12.0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 ht="12.0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 ht="12.0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 ht="12.0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 ht="12.0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 ht="12.0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 ht="12.0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 ht="12.0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 ht="12.0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 ht="12.0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 ht="12.0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 ht="12.0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 ht="12.0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 ht="12.0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 ht="12.0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 ht="12.0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 ht="12.0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 ht="12.0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 ht="12.0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 ht="12.0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 ht="12.0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 ht="12.0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 ht="12.0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 ht="12.0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 ht="12.0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 ht="12.0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 ht="12.0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 ht="12.0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 ht="12.0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 ht="12.0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 ht="12.0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 ht="12.0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 ht="12.0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 ht="12.0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 ht="12.0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 ht="12.0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 ht="12.0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 ht="12.0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 ht="12.0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 ht="12.0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 ht="12.0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 ht="12.0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 ht="12.0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 ht="12.0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 ht="12.0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 ht="12.0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 ht="12.0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 ht="12.0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 ht="12.0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 ht="12.0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 ht="12.0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 ht="12.0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 ht="12.0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 ht="12.0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 ht="12.0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 ht="12.0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 ht="12.0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 ht="12.0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 ht="12.0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 ht="12.0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 ht="12.0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 ht="12.0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 ht="12.0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 ht="12.0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 ht="12.0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 ht="12.0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 ht="12.0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 ht="12.0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 ht="12.0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 ht="12.0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 ht="12.0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 ht="12.0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 ht="12.0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 ht="12.0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 ht="12.0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 ht="12.0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 ht="12.0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 ht="12.0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 ht="12.0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 ht="12.0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 ht="12.0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 ht="12.0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 ht="12.0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 ht="12.0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 ht="12.0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 ht="12.0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 ht="12.0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 ht="12.0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 ht="12.0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 ht="12.0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 ht="12.0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 ht="12.0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 ht="12.0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 ht="12.0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 ht="12.0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 ht="12.0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 ht="12.0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 ht="12.0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 ht="12.0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 ht="12.0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 ht="12.0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 ht="12.0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 ht="12.0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 ht="12.0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 ht="12.0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 ht="12.0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 ht="12.0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 ht="12.0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 ht="12.0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 ht="12.0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 ht="12.0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 ht="12.0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 ht="12.0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 ht="12.0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 ht="12.0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 ht="12.0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 ht="12.0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 ht="12.0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 ht="12.0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 ht="12.0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 ht="12.0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 ht="12.0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 ht="12.0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 ht="12.0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 ht="12.0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 ht="12.0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 ht="12.0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 ht="12.0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 ht="12.0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 ht="12.0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 ht="12.0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 ht="12.0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 ht="12.0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 ht="12.0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 ht="12.0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 ht="12.0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 ht="12.0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 ht="12.0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 ht="12.0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 ht="12.0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 ht="12.0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 ht="12.0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 ht="12.0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 ht="12.0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 ht="12.0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 ht="12.0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 ht="12.0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 ht="12.0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 ht="12.0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 ht="12.0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 ht="12.0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 ht="12.0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 ht="12.0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 ht="12.0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 ht="12.0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 ht="12.0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 ht="12.0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 ht="12.0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 ht="12.0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 ht="12.0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 ht="12.0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 ht="12.0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 ht="12.0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 ht="12.0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 ht="12.0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 ht="12.0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 ht="12.0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 ht="12.0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 ht="12.0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 ht="12.0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 ht="12.0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 ht="12.0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 ht="12.0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 ht="12.0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 ht="12.0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 ht="12.0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 ht="12.0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 ht="12.0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 ht="12.0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 ht="12.0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 ht="12.0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 ht="12.0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 ht="12.0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 ht="12.0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 ht="12.0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 ht="12.0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 ht="12.0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 ht="12.0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 ht="12.0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 ht="12.0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 ht="12.0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 ht="12.0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 ht="12.0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 ht="12.0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 ht="12.0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 ht="12.0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 ht="12.0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 ht="12.0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 ht="12.0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 ht="12.0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 ht="12.0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 ht="12.0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 ht="12.0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 ht="12.0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 ht="12.0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 ht="12.0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 ht="12.0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 ht="12.0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 ht="12.0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 ht="12.0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 ht="12.0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 ht="12.0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 ht="12.0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 ht="12.0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 ht="12.0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  <row r="1001" ht="12.0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</row>
    <row r="1002" ht="12.0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</row>
    <row r="1003" ht="12.0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</row>
    <row r="1004" ht="12.0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</row>
    <row r="1005" ht="12.0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</row>
    <row r="1006" ht="12.0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</row>
    <row r="1007" ht="12.0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</row>
    <row r="1008" ht="12.0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</row>
    <row r="1009" ht="12.0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</row>
    <row r="1010" ht="12.0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</row>
    <row r="1011" ht="12.0" customHeight="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</row>
    <row r="1012" ht="12.0" customHeight="1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</row>
    <row r="1013" ht="12.0" customHeight="1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</row>
    <row r="1014" ht="12.0" customHeight="1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</row>
    <row r="1015" ht="12.0" customHeight="1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</row>
    <row r="1016" ht="12.0" customHeight="1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</row>
    <row r="1017" ht="12.0" customHeight="1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</row>
    <row r="1018" ht="12.0" customHeight="1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</row>
    <row r="1019" ht="12.0" customHeight="1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</row>
    <row r="1020" ht="12.0" customHeight="1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</row>
    <row r="1021" ht="12.0" customHeight="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</row>
    <row r="1022" ht="12.0" customHeight="1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</row>
    <row r="1023" ht="12.0" customHeight="1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</row>
    <row r="1024" ht="12.0" customHeight="1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</row>
    <row r="1025" ht="12.0" customHeight="1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</row>
    <row r="1026" ht="12.0" customHeight="1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</row>
    <row r="1027" ht="12.0" customHeight="1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</row>
    <row r="1028" ht="12.0" customHeight="1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</row>
    <row r="1029" ht="12.0" customHeight="1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  <c r="X1029" s="67"/>
      <c r="Y1029" s="67"/>
      <c r="Z1029" s="67"/>
      <c r="AA1029" s="67"/>
    </row>
    <row r="1030" ht="12.0" customHeight="1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  <c r="X1030" s="67"/>
      <c r="Y1030" s="67"/>
      <c r="Z1030" s="67"/>
      <c r="AA1030" s="67"/>
    </row>
    <row r="1031" ht="12.0" customHeight="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  <c r="X1031" s="67"/>
      <c r="Y1031" s="67"/>
      <c r="Z1031" s="67"/>
      <c r="AA1031" s="67"/>
    </row>
    <row r="1032" ht="12.0" customHeight="1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  <c r="X1032" s="67"/>
      <c r="Y1032" s="67"/>
      <c r="Z1032" s="67"/>
      <c r="AA1032" s="67"/>
    </row>
    <row r="1033" ht="12.0" customHeight="1">
      <c r="A1033" s="67"/>
      <c r="B1033" s="67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  <c r="X1033" s="67"/>
      <c r="Y1033" s="67"/>
      <c r="Z1033" s="67"/>
      <c r="AA1033" s="67"/>
    </row>
    <row r="1034" ht="12.0" customHeight="1">
      <c r="A1034" s="67"/>
      <c r="B1034" s="67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  <c r="X1034" s="67"/>
      <c r="Y1034" s="67"/>
      <c r="Z1034" s="67"/>
      <c r="AA1034" s="67"/>
    </row>
    <row r="1035" ht="12.0" customHeight="1">
      <c r="A1035" s="67"/>
      <c r="B1035" s="67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  <c r="X1035" s="67"/>
      <c r="Y1035" s="67"/>
      <c r="Z1035" s="67"/>
      <c r="AA1035" s="67"/>
    </row>
    <row r="1036" ht="12.0" customHeight="1">
      <c r="A1036" s="67"/>
      <c r="B1036" s="67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  <c r="X1036" s="67"/>
      <c r="Y1036" s="67"/>
      <c r="Z1036" s="67"/>
      <c r="AA1036" s="67"/>
    </row>
    <row r="1037" ht="12.0" customHeight="1">
      <c r="A1037" s="67"/>
      <c r="B1037" s="67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  <c r="X1037" s="67"/>
      <c r="Y1037" s="67"/>
      <c r="Z1037" s="67"/>
      <c r="AA1037" s="67"/>
    </row>
    <row r="1038" ht="12.0" customHeight="1">
      <c r="A1038" s="67"/>
      <c r="B1038" s="67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  <c r="X1038" s="67"/>
      <c r="Y1038" s="67"/>
      <c r="Z1038" s="67"/>
      <c r="AA1038" s="67"/>
    </row>
    <row r="1039" ht="12.0" customHeight="1">
      <c r="A1039" s="67"/>
      <c r="B1039" s="67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  <c r="X1039" s="67"/>
      <c r="Y1039" s="67"/>
      <c r="Z1039" s="67"/>
      <c r="AA1039" s="67"/>
    </row>
    <row r="1040" ht="12.0" customHeight="1">
      <c r="A1040" s="67"/>
      <c r="B1040" s="67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  <c r="X1040" s="67"/>
      <c r="Y1040" s="67"/>
      <c r="Z1040" s="67"/>
      <c r="AA1040" s="67"/>
    </row>
    <row r="1041" ht="12.0" customHeight="1">
      <c r="A1041" s="67"/>
      <c r="B1041" s="67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  <c r="X1041" s="67"/>
      <c r="Y1041" s="67"/>
      <c r="Z1041" s="67"/>
      <c r="AA1041" s="67"/>
    </row>
    <row r="1042" ht="12.0" customHeight="1">
      <c r="A1042" s="67"/>
      <c r="B1042" s="67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</row>
    <row r="1043" ht="12.0" customHeight="1">
      <c r="A1043" s="67"/>
      <c r="B1043" s="67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  <c r="X1043" s="67"/>
      <c r="Y1043" s="67"/>
      <c r="Z1043" s="67"/>
      <c r="AA1043" s="67"/>
    </row>
    <row r="1044" ht="12.0" customHeight="1">
      <c r="A1044" s="67"/>
      <c r="B1044" s="67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  <c r="X1044" s="67"/>
      <c r="Y1044" s="67"/>
      <c r="Z1044" s="67"/>
      <c r="AA1044" s="67"/>
    </row>
  </sheetData>
  <autoFilter ref="$A$1:$P$101">
    <sortState ref="A1:P101">
      <sortCondition ref="D1:D101"/>
      <sortCondition ref="A1:A101"/>
      <sortCondition ref="B1:B101"/>
      <sortCondition ref="H1:H101"/>
      <sortCondition ref="F1:F101"/>
      <sortCondition ref="J1:J101"/>
    </sortState>
  </autoFilter>
  <conditionalFormatting sqref="F2:H101 L11:L12">
    <cfRule type="expression" dxfId="2" priority="1">
      <formula>$E2="No"</formula>
    </cfRule>
  </conditionalFormatting>
  <conditionalFormatting sqref="M2:N101">
    <cfRule type="expression" dxfId="3" priority="2">
      <formula>$D2="Gotham Comics"</formula>
    </cfRule>
  </conditionalFormatting>
  <conditionalFormatting sqref="F2:H101 L11:L12">
    <cfRule type="expression" dxfId="2" priority="3">
      <formula>$E2="No"</formula>
    </cfRule>
  </conditionalFormatting>
  <conditionalFormatting sqref="M2:N101">
    <cfRule type="expression" dxfId="3" priority="4">
      <formula>$D2="Gotham Comics"</formula>
    </cfRule>
  </conditionalFormatting>
  <conditionalFormatting sqref="A2:P101">
    <cfRule type="expression" dxfId="4" priority="5">
      <formula>#REF!=0</formula>
    </cfRule>
  </conditionalFormatting>
  <conditionalFormatting sqref="A2:P101">
    <cfRule type="expression" dxfId="5" priority="6">
      <formula>$P2="Lent"</formula>
    </cfRule>
  </conditionalFormatting>
  <conditionalFormatting sqref="A2:P101">
    <cfRule type="expression" dxfId="6" priority="7">
      <formula>$P2="Missing"</formula>
    </cfRule>
  </conditionalFormatting>
  <dataValidations>
    <dataValidation type="list" allowBlank="1" showErrorMessage="1" sqref="P2:P101">
      <formula1>'Sheet Dynamics'!$B$2:$D$2</formula1>
    </dataValidation>
  </dataValidations>
  <hyperlinks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4"/>
    <hyperlink r:id="rId12" ref="M15"/>
    <hyperlink r:id="rId13" ref="M16"/>
    <hyperlink r:id="rId14" ref="M17"/>
    <hyperlink r:id="rId15" ref="M18"/>
    <hyperlink r:id="rId16" ref="M19"/>
    <hyperlink r:id="rId17" ref="M20"/>
    <hyperlink r:id="rId18" ref="M21"/>
    <hyperlink r:id="rId19" ref="M22"/>
    <hyperlink r:id="rId20" ref="M24"/>
    <hyperlink r:id="rId21" ref="M26"/>
    <hyperlink r:id="rId22" ref="M27"/>
    <hyperlink r:id="rId23" ref="M30"/>
    <hyperlink r:id="rId24" ref="M32"/>
    <hyperlink r:id="rId25" ref="M34"/>
    <hyperlink r:id="rId26" ref="M37"/>
    <hyperlink r:id="rId27" ref="M38"/>
    <hyperlink r:id="rId28" ref="M39"/>
    <hyperlink r:id="rId29" ref="M42"/>
    <hyperlink r:id="rId30" ref="M47"/>
    <hyperlink r:id="rId31" ref="M50"/>
    <hyperlink r:id="rId32" ref="M52"/>
    <hyperlink r:id="rId33" ref="M53"/>
    <hyperlink r:id="rId34" ref="M54"/>
    <hyperlink r:id="rId35" ref="M55"/>
    <hyperlink r:id="rId36" ref="M56"/>
    <hyperlink r:id="rId37" ref="M57"/>
    <hyperlink r:id="rId38" ref="M58"/>
    <hyperlink r:id="rId39" ref="M59"/>
    <hyperlink r:id="rId40" ref="M60"/>
    <hyperlink r:id="rId41" ref="M61"/>
    <hyperlink r:id="rId42" ref="M62"/>
    <hyperlink r:id="rId43" ref="M63"/>
    <hyperlink r:id="rId44" ref="M64"/>
    <hyperlink r:id="rId45" ref="M65"/>
    <hyperlink r:id="rId46" ref="M66"/>
    <hyperlink r:id="rId47" ref="M67"/>
    <hyperlink r:id="rId48" ref="M68"/>
    <hyperlink r:id="rId49" ref="M69"/>
    <hyperlink r:id="rId50" ref="M70"/>
    <hyperlink r:id="rId51" ref="M71"/>
    <hyperlink r:id="rId52" ref="M72"/>
    <hyperlink r:id="rId53" ref="M73"/>
    <hyperlink r:id="rId54" ref="M74"/>
    <hyperlink r:id="rId55" ref="M76"/>
    <hyperlink r:id="rId56" ref="M77"/>
    <hyperlink r:id="rId57" ref="M78"/>
    <hyperlink r:id="rId58" ref="M79"/>
    <hyperlink r:id="rId59" ref="M80"/>
    <hyperlink r:id="rId60" ref="M81"/>
    <hyperlink r:id="rId61" ref="M82"/>
    <hyperlink r:id="rId62" ref="M83"/>
    <hyperlink r:id="rId63" ref="M84"/>
    <hyperlink r:id="rId64" ref="M85"/>
    <hyperlink r:id="rId65" ref="M90"/>
    <hyperlink r:id="rId66" ref="M91"/>
    <hyperlink r:id="rId67" ref="M92"/>
    <hyperlink r:id="rId68" ref="M93"/>
    <hyperlink r:id="rId69" ref="M94"/>
    <hyperlink r:id="rId70" ref="M95"/>
    <hyperlink r:id="rId71" ref="M96"/>
    <hyperlink r:id="rId72" ref="M97"/>
  </hyperlinks>
  <printOptions/>
  <pageMargins bottom="0.75" footer="0.0" header="0.0" left="0.7" right="0.7" top="0.75"/>
  <pageSetup orientation="portrait"/>
  <drawing r:id="rId73"/>
  <legacyDrawing r:id="rId7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3.57"/>
    <col customWidth="1" min="3" max="3" width="15.57"/>
    <col customWidth="1" min="4" max="4" width="16.71"/>
    <col customWidth="1" min="5" max="5" width="4.86"/>
    <col customWidth="1" min="6" max="6" width="6.14"/>
    <col customWidth="1" min="7" max="7" width="16.71"/>
    <col customWidth="1" min="8" max="8" width="36.86"/>
    <col customWidth="1" min="9" max="9" width="3.57"/>
    <col customWidth="1" min="10" max="10" width="29.86"/>
    <col customWidth="1" min="11" max="11" width="7.57"/>
    <col customWidth="1" min="12" max="12" width="25.14"/>
    <col customWidth="1" min="13" max="13" width="16.86"/>
    <col customWidth="1" min="14" max="14" width="11.71"/>
    <col customWidth="1" min="15" max="15" width="36.86"/>
    <col customWidth="1" min="16" max="16" width="3.57"/>
    <col customWidth="1" min="17" max="17" width="25.14"/>
    <col customWidth="1" min="18" max="18" width="16.86"/>
    <col customWidth="1" min="19" max="19" width="11.71"/>
    <col customWidth="1" min="20" max="20" width="5.43"/>
    <col customWidth="1" min="21" max="23" width="7.57"/>
    <col customWidth="1" min="24" max="24" width="35.14"/>
    <col customWidth="1" min="25" max="34" width="9.14"/>
  </cols>
  <sheetData>
    <row r="1" ht="12.0" customHeight="1">
      <c r="A1" s="72" t="s">
        <v>1439</v>
      </c>
      <c r="B1" s="72" t="s">
        <v>1486</v>
      </c>
      <c r="C1" s="72" t="s">
        <v>1438</v>
      </c>
      <c r="D1" s="73" t="s">
        <v>1987</v>
      </c>
      <c r="E1" s="73" t="s">
        <v>1988</v>
      </c>
      <c r="F1" s="74" t="s">
        <v>1488</v>
      </c>
      <c r="G1" s="72" t="s">
        <v>1491</v>
      </c>
      <c r="H1" s="72" t="s">
        <v>1489</v>
      </c>
      <c r="I1" s="72" t="s">
        <v>1490</v>
      </c>
      <c r="J1" s="73" t="s">
        <v>1989</v>
      </c>
      <c r="K1" s="73" t="s">
        <v>1990</v>
      </c>
      <c r="L1" s="72" t="s">
        <v>1493</v>
      </c>
      <c r="M1" s="72" t="s">
        <v>1494</v>
      </c>
      <c r="N1" s="75" t="s">
        <v>1496</v>
      </c>
      <c r="O1" s="73" t="s">
        <v>1991</v>
      </c>
      <c r="P1" s="73" t="s">
        <v>1992</v>
      </c>
      <c r="Q1" s="73" t="s">
        <v>1993</v>
      </c>
      <c r="R1" s="73" t="s">
        <v>1994</v>
      </c>
      <c r="S1" s="75" t="s">
        <v>1995</v>
      </c>
      <c r="T1" s="72" t="s">
        <v>1996</v>
      </c>
      <c r="U1" s="76" t="s">
        <v>13</v>
      </c>
      <c r="V1" s="77" t="s">
        <v>1997</v>
      </c>
      <c r="W1" s="77" t="s">
        <v>1998</v>
      </c>
      <c r="X1" s="77" t="s">
        <v>1999</v>
      </c>
      <c r="Y1" s="66"/>
      <c r="Z1" s="66"/>
      <c r="AA1" s="66"/>
      <c r="AB1" s="66"/>
      <c r="AC1" s="66"/>
      <c r="AD1" s="66"/>
      <c r="AE1" s="66"/>
      <c r="AF1" s="66"/>
      <c r="AG1" s="66"/>
      <c r="AH1" s="66"/>
    </row>
    <row r="2" ht="12.0" hidden="1" customHeight="1">
      <c r="A2" s="12" t="s">
        <v>1476</v>
      </c>
      <c r="B2" s="12">
        <v>572.0</v>
      </c>
      <c r="C2" s="42" t="s">
        <v>1504</v>
      </c>
      <c r="D2" s="78" t="s">
        <v>2000</v>
      </c>
      <c r="E2" s="78" t="s">
        <v>2001</v>
      </c>
      <c r="F2" s="12" t="s">
        <v>1133</v>
      </c>
      <c r="G2" s="26"/>
      <c r="H2" s="5"/>
      <c r="I2" s="5"/>
      <c r="J2" s="5"/>
      <c r="K2" s="79"/>
      <c r="L2" s="12" t="s">
        <v>2002</v>
      </c>
      <c r="M2" s="12" t="s">
        <v>1402</v>
      </c>
      <c r="N2" s="80"/>
      <c r="O2" s="5"/>
      <c r="P2" s="5"/>
      <c r="Q2" s="5"/>
      <c r="R2" s="5"/>
      <c r="S2" s="80"/>
      <c r="T2" s="42" t="s">
        <v>2003</v>
      </c>
      <c r="U2" s="34" t="s">
        <v>22</v>
      </c>
      <c r="V2" s="81"/>
      <c r="W2" s="81"/>
      <c r="X2" s="5"/>
      <c r="Y2" s="67"/>
      <c r="Z2" s="67"/>
      <c r="AA2" s="67"/>
      <c r="AB2" s="67"/>
      <c r="AC2" s="67"/>
      <c r="AD2" s="67"/>
      <c r="AE2" s="67"/>
      <c r="AF2" s="67"/>
      <c r="AG2" s="67"/>
      <c r="AH2" s="67"/>
    </row>
    <row r="3" ht="12.0" hidden="1" customHeight="1">
      <c r="A3" s="12" t="s">
        <v>2004</v>
      </c>
      <c r="B3" s="12">
        <v>147.0</v>
      </c>
      <c r="C3" s="42" t="s">
        <v>1504</v>
      </c>
      <c r="D3" s="78" t="s">
        <v>2000</v>
      </c>
      <c r="E3" s="78" t="s">
        <v>2001</v>
      </c>
      <c r="F3" s="12" t="s">
        <v>1133</v>
      </c>
      <c r="G3" s="26"/>
      <c r="H3" s="5"/>
      <c r="I3" s="5"/>
      <c r="J3" s="12"/>
      <c r="K3" s="82"/>
      <c r="L3" s="12" t="s">
        <v>2005</v>
      </c>
      <c r="M3" s="12" t="s">
        <v>1402</v>
      </c>
      <c r="N3" s="80"/>
      <c r="O3" s="5"/>
      <c r="P3" s="5"/>
      <c r="Q3" s="5"/>
      <c r="R3" s="5"/>
      <c r="S3" s="80"/>
      <c r="T3" s="42" t="s">
        <v>2006</v>
      </c>
      <c r="U3" s="34" t="s">
        <v>22</v>
      </c>
      <c r="V3" s="81"/>
      <c r="W3" s="81"/>
      <c r="X3" s="5"/>
      <c r="Y3" s="67"/>
      <c r="Z3" s="67"/>
      <c r="AA3" s="67"/>
      <c r="AB3" s="67"/>
      <c r="AC3" s="67"/>
      <c r="AD3" s="67"/>
      <c r="AE3" s="67"/>
      <c r="AF3" s="67"/>
      <c r="AG3" s="67"/>
      <c r="AH3" s="67"/>
    </row>
    <row r="4" ht="12.0" hidden="1" customHeight="1">
      <c r="A4" s="12" t="s">
        <v>2007</v>
      </c>
      <c r="B4" s="12">
        <v>7.0</v>
      </c>
      <c r="C4" s="42" t="s">
        <v>2008</v>
      </c>
      <c r="D4" s="78" t="s">
        <v>2007</v>
      </c>
      <c r="E4" s="78" t="s">
        <v>2001</v>
      </c>
      <c r="F4" s="12" t="s">
        <v>1141</v>
      </c>
      <c r="G4" s="26" t="s">
        <v>1531</v>
      </c>
      <c r="H4" s="12" t="s">
        <v>2007</v>
      </c>
      <c r="I4" s="12">
        <v>455.0</v>
      </c>
      <c r="J4" s="12" t="s">
        <v>2009</v>
      </c>
      <c r="K4" s="82">
        <v>1.0</v>
      </c>
      <c r="L4" s="12" t="s">
        <v>2010</v>
      </c>
      <c r="M4" s="12" t="s">
        <v>2011</v>
      </c>
      <c r="N4" s="83" t="s">
        <v>2012</v>
      </c>
      <c r="O4" s="5"/>
      <c r="P4" s="12"/>
      <c r="Q4" s="5"/>
      <c r="R4" s="5"/>
      <c r="S4" s="84"/>
      <c r="T4" s="42" t="s">
        <v>2003</v>
      </c>
      <c r="U4" s="34" t="s">
        <v>22</v>
      </c>
      <c r="V4" s="81"/>
      <c r="W4" s="81"/>
      <c r="X4" s="12"/>
      <c r="Y4" s="67"/>
      <c r="Z4" s="67"/>
      <c r="AA4" s="67"/>
      <c r="AB4" s="67"/>
      <c r="AC4" s="67"/>
      <c r="AD4" s="67"/>
      <c r="AE4" s="67"/>
      <c r="AF4" s="67"/>
      <c r="AG4" s="67"/>
      <c r="AH4" s="67"/>
    </row>
    <row r="5" ht="12.0" hidden="1" customHeight="1">
      <c r="A5" s="12" t="s">
        <v>2007</v>
      </c>
      <c r="B5" s="12">
        <v>8.0</v>
      </c>
      <c r="C5" s="42" t="s">
        <v>2008</v>
      </c>
      <c r="D5" s="78" t="s">
        <v>2007</v>
      </c>
      <c r="E5" s="78" t="s">
        <v>2001</v>
      </c>
      <c r="F5" s="12" t="s">
        <v>1141</v>
      </c>
      <c r="G5" s="26" t="s">
        <v>1531</v>
      </c>
      <c r="H5" s="12" t="s">
        <v>2007</v>
      </c>
      <c r="I5" s="12">
        <v>456.0</v>
      </c>
      <c r="J5" s="12" t="s">
        <v>2009</v>
      </c>
      <c r="K5" s="82">
        <v>2.0</v>
      </c>
      <c r="L5" s="12" t="s">
        <v>2010</v>
      </c>
      <c r="M5" s="12" t="s">
        <v>2011</v>
      </c>
      <c r="N5" s="83" t="s">
        <v>2013</v>
      </c>
      <c r="O5" s="5"/>
      <c r="P5" s="12"/>
      <c r="Q5" s="5"/>
      <c r="R5" s="5"/>
      <c r="S5" s="84"/>
      <c r="T5" s="42" t="s">
        <v>2003</v>
      </c>
      <c r="U5" s="34" t="s">
        <v>22</v>
      </c>
      <c r="V5" s="81"/>
      <c r="W5" s="81"/>
      <c r="X5" s="12"/>
      <c r="Y5" s="67"/>
      <c r="Z5" s="67"/>
      <c r="AA5" s="67"/>
      <c r="AB5" s="67"/>
      <c r="AC5" s="67"/>
      <c r="AD5" s="67"/>
      <c r="AE5" s="67"/>
      <c r="AF5" s="67"/>
      <c r="AG5" s="67"/>
      <c r="AH5" s="67"/>
    </row>
    <row r="6" ht="12.0" hidden="1" customHeight="1">
      <c r="A6" s="12" t="s">
        <v>2007</v>
      </c>
      <c r="B6" s="12">
        <v>9.0</v>
      </c>
      <c r="C6" s="42" t="s">
        <v>2008</v>
      </c>
      <c r="D6" s="78" t="s">
        <v>2007</v>
      </c>
      <c r="E6" s="78" t="s">
        <v>2001</v>
      </c>
      <c r="F6" s="12" t="s">
        <v>1141</v>
      </c>
      <c r="G6" s="26" t="s">
        <v>1531</v>
      </c>
      <c r="H6" s="12" t="s">
        <v>2007</v>
      </c>
      <c r="I6" s="12">
        <v>457.0</v>
      </c>
      <c r="J6" s="12"/>
      <c r="K6" s="82"/>
      <c r="L6" s="12" t="s">
        <v>2010</v>
      </c>
      <c r="M6" s="12" t="s">
        <v>2011</v>
      </c>
      <c r="N6" s="83" t="s">
        <v>2014</v>
      </c>
      <c r="O6" s="5"/>
      <c r="P6" s="12"/>
      <c r="Q6" s="5"/>
      <c r="R6" s="5"/>
      <c r="S6" s="84"/>
      <c r="T6" s="42" t="s">
        <v>2003</v>
      </c>
      <c r="U6" s="34" t="s">
        <v>22</v>
      </c>
      <c r="V6" s="81"/>
      <c r="W6" s="81"/>
      <c r="X6" s="12"/>
      <c r="Y6" s="67"/>
      <c r="Z6" s="67"/>
      <c r="AA6" s="67"/>
      <c r="AB6" s="67"/>
      <c r="AC6" s="67"/>
      <c r="AD6" s="67"/>
      <c r="AE6" s="67"/>
      <c r="AF6" s="67"/>
      <c r="AG6" s="67"/>
      <c r="AH6" s="67"/>
    </row>
    <row r="7" ht="12.0" hidden="1" customHeight="1">
      <c r="A7" s="12" t="s">
        <v>2015</v>
      </c>
      <c r="B7" s="12">
        <v>504.0</v>
      </c>
      <c r="C7" s="26" t="s">
        <v>1511</v>
      </c>
      <c r="D7" s="78" t="s">
        <v>2016</v>
      </c>
      <c r="E7" s="78" t="s">
        <v>2001</v>
      </c>
      <c r="F7" s="12" t="s">
        <v>1133</v>
      </c>
      <c r="G7" s="26"/>
      <c r="H7" s="12"/>
      <c r="I7" s="12"/>
      <c r="J7" s="12"/>
      <c r="K7" s="82"/>
      <c r="L7" s="12" t="s">
        <v>2017</v>
      </c>
      <c r="M7" s="12" t="s">
        <v>2018</v>
      </c>
      <c r="N7" s="83" t="s">
        <v>2019</v>
      </c>
      <c r="O7" s="5"/>
      <c r="P7" s="12"/>
      <c r="Q7" s="12"/>
      <c r="R7" s="12"/>
      <c r="S7" s="84"/>
      <c r="T7" s="42" t="s">
        <v>2003</v>
      </c>
      <c r="U7" s="34" t="s">
        <v>22</v>
      </c>
      <c r="V7" s="81"/>
      <c r="W7" s="81"/>
      <c r="X7" s="12"/>
      <c r="Y7" s="67"/>
      <c r="Z7" s="67"/>
      <c r="AA7" s="67"/>
      <c r="AB7" s="67"/>
      <c r="AC7" s="67"/>
      <c r="AD7" s="67"/>
      <c r="AE7" s="67"/>
      <c r="AF7" s="67"/>
      <c r="AG7" s="67"/>
      <c r="AH7" s="67"/>
    </row>
    <row r="8" ht="12.0" hidden="1" customHeight="1">
      <c r="A8" s="12" t="s">
        <v>2015</v>
      </c>
      <c r="B8" s="12">
        <v>515.0</v>
      </c>
      <c r="C8" s="26" t="s">
        <v>1511</v>
      </c>
      <c r="D8" s="78" t="s">
        <v>2016</v>
      </c>
      <c r="E8" s="78" t="s">
        <v>2001</v>
      </c>
      <c r="F8" s="12" t="s">
        <v>1133</v>
      </c>
      <c r="G8" s="26"/>
      <c r="H8" s="12"/>
      <c r="I8" s="12"/>
      <c r="J8" s="12"/>
      <c r="K8" s="82"/>
      <c r="L8" s="12" t="s">
        <v>2017</v>
      </c>
      <c r="M8" s="12" t="s">
        <v>2018</v>
      </c>
      <c r="N8" s="83" t="s">
        <v>2020</v>
      </c>
      <c r="O8" s="5"/>
      <c r="P8" s="12"/>
      <c r="Q8" s="12"/>
      <c r="R8" s="12"/>
      <c r="S8" s="84"/>
      <c r="T8" s="42" t="s">
        <v>2003</v>
      </c>
      <c r="U8" s="34" t="s">
        <v>22</v>
      </c>
      <c r="V8" s="81"/>
      <c r="W8" s="81"/>
      <c r="X8" s="12"/>
      <c r="Y8" s="67"/>
      <c r="Z8" s="67"/>
      <c r="AA8" s="67"/>
      <c r="AB8" s="67"/>
      <c r="AC8" s="67"/>
      <c r="AD8" s="67"/>
      <c r="AE8" s="67"/>
      <c r="AF8" s="67"/>
      <c r="AG8" s="67"/>
      <c r="AH8" s="67"/>
    </row>
    <row r="9" ht="12.0" hidden="1" customHeight="1">
      <c r="A9" s="12" t="s">
        <v>2021</v>
      </c>
      <c r="B9" s="12">
        <v>66.0</v>
      </c>
      <c r="C9" s="26" t="s">
        <v>1511</v>
      </c>
      <c r="D9" s="78" t="s">
        <v>2016</v>
      </c>
      <c r="E9" s="78" t="s">
        <v>2001</v>
      </c>
      <c r="F9" s="12" t="s">
        <v>1133</v>
      </c>
      <c r="G9" s="26"/>
      <c r="H9" s="12"/>
      <c r="I9" s="12"/>
      <c r="J9" s="12"/>
      <c r="K9" s="82"/>
      <c r="L9" s="12" t="s">
        <v>2017</v>
      </c>
      <c r="M9" s="12" t="s">
        <v>2022</v>
      </c>
      <c r="N9" s="83" t="s">
        <v>2023</v>
      </c>
      <c r="O9" s="5"/>
      <c r="P9" s="12"/>
      <c r="Q9" s="12"/>
      <c r="R9" s="12"/>
      <c r="S9" s="84"/>
      <c r="T9" s="42" t="s">
        <v>2003</v>
      </c>
      <c r="U9" s="34" t="s">
        <v>22</v>
      </c>
      <c r="V9" s="81"/>
      <c r="W9" s="81"/>
      <c r="X9" s="12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 ht="12.0" hidden="1" customHeight="1">
      <c r="A10" s="12" t="s">
        <v>2024</v>
      </c>
      <c r="B10" s="12">
        <v>123.0</v>
      </c>
      <c r="C10" s="26" t="s">
        <v>1511</v>
      </c>
      <c r="D10" s="78" t="s">
        <v>2016</v>
      </c>
      <c r="E10" s="78" t="s">
        <v>2001</v>
      </c>
      <c r="F10" s="12" t="s">
        <v>1133</v>
      </c>
      <c r="G10" s="26"/>
      <c r="H10" s="12"/>
      <c r="I10" s="12"/>
      <c r="J10" s="12"/>
      <c r="K10" s="82"/>
      <c r="L10" s="12" t="s">
        <v>2017</v>
      </c>
      <c r="M10" s="12" t="s">
        <v>2025</v>
      </c>
      <c r="N10" s="83" t="s">
        <v>2026</v>
      </c>
      <c r="O10" s="5"/>
      <c r="P10" s="12"/>
      <c r="Q10" s="12"/>
      <c r="R10" s="12"/>
      <c r="S10" s="84"/>
      <c r="T10" s="26" t="s">
        <v>2006</v>
      </c>
      <c r="U10" s="34" t="s">
        <v>22</v>
      </c>
      <c r="V10" s="81"/>
      <c r="W10" s="81"/>
      <c r="X10" s="12"/>
      <c r="Y10" s="67"/>
      <c r="Z10" s="67"/>
      <c r="AA10" s="67"/>
      <c r="AB10" s="67"/>
      <c r="AC10" s="67"/>
      <c r="AD10" s="67"/>
      <c r="AE10" s="67"/>
      <c r="AF10" s="67"/>
      <c r="AG10" s="67"/>
      <c r="AH10" s="67"/>
    </row>
    <row r="11" ht="12.0" hidden="1" customHeight="1">
      <c r="A11" s="5" t="s">
        <v>2027</v>
      </c>
      <c r="B11" s="5">
        <v>16.0</v>
      </c>
      <c r="C11" s="26" t="s">
        <v>1511</v>
      </c>
      <c r="D11" s="78" t="s">
        <v>2016</v>
      </c>
      <c r="E11" s="78" t="s">
        <v>2001</v>
      </c>
      <c r="F11" s="12" t="s">
        <v>1133</v>
      </c>
      <c r="G11" s="26"/>
      <c r="H11" s="5"/>
      <c r="I11" s="5"/>
      <c r="J11" s="5"/>
      <c r="K11" s="79"/>
      <c r="L11" s="5" t="s">
        <v>2028</v>
      </c>
      <c r="M11" s="5" t="s">
        <v>2029</v>
      </c>
      <c r="N11" s="83" t="s">
        <v>2030</v>
      </c>
      <c r="O11" s="5"/>
      <c r="P11" s="5"/>
      <c r="Q11" s="5"/>
      <c r="R11" s="5"/>
      <c r="S11" s="80"/>
      <c r="T11" s="26" t="s">
        <v>2006</v>
      </c>
      <c r="U11" s="34" t="s">
        <v>22</v>
      </c>
      <c r="V11" s="81"/>
      <c r="W11" s="81"/>
      <c r="X11" s="5"/>
      <c r="Y11" s="67"/>
      <c r="Z11" s="67"/>
      <c r="AA11" s="67"/>
      <c r="AB11" s="67"/>
      <c r="AC11" s="67"/>
      <c r="AD11" s="67"/>
      <c r="AE11" s="67"/>
      <c r="AF11" s="67"/>
      <c r="AG11" s="67"/>
      <c r="AH11" s="67"/>
    </row>
    <row r="12" ht="12.0" hidden="1" customHeight="1">
      <c r="A12" s="12" t="s">
        <v>2031</v>
      </c>
      <c r="B12" s="12">
        <v>13.0</v>
      </c>
      <c r="C12" s="26" t="s">
        <v>1511</v>
      </c>
      <c r="D12" s="78" t="s">
        <v>2016</v>
      </c>
      <c r="E12" s="78" t="s">
        <v>2001</v>
      </c>
      <c r="F12" s="12" t="s">
        <v>1133</v>
      </c>
      <c r="G12" s="26"/>
      <c r="H12" s="12"/>
      <c r="I12" s="12"/>
      <c r="J12" s="12"/>
      <c r="K12" s="82"/>
      <c r="L12" s="12" t="s">
        <v>2032</v>
      </c>
      <c r="M12" s="12" t="s">
        <v>2033</v>
      </c>
      <c r="N12" s="83" t="s">
        <v>2034</v>
      </c>
      <c r="O12" s="5"/>
      <c r="P12" s="12"/>
      <c r="Q12" s="12"/>
      <c r="R12" s="12"/>
      <c r="S12" s="84"/>
      <c r="T12" s="42" t="s">
        <v>2003</v>
      </c>
      <c r="U12" s="34" t="s">
        <v>22</v>
      </c>
      <c r="V12" s="81"/>
      <c r="W12" s="81"/>
      <c r="X12" s="12"/>
      <c r="Y12" s="67"/>
      <c r="Z12" s="67"/>
      <c r="AA12" s="67"/>
      <c r="AB12" s="67"/>
      <c r="AC12" s="67"/>
      <c r="AD12" s="67"/>
      <c r="AE12" s="67"/>
      <c r="AF12" s="67"/>
      <c r="AG12" s="67"/>
      <c r="AH12" s="67"/>
    </row>
    <row r="13" ht="12.0" hidden="1" customHeight="1">
      <c r="A13" s="12" t="s">
        <v>2035</v>
      </c>
      <c r="B13" s="12">
        <v>1.0</v>
      </c>
      <c r="C13" s="42" t="s">
        <v>1511</v>
      </c>
      <c r="D13" s="78" t="s">
        <v>2036</v>
      </c>
      <c r="E13" s="78" t="s">
        <v>2001</v>
      </c>
      <c r="F13" s="12" t="s">
        <v>1133</v>
      </c>
      <c r="G13" s="26"/>
      <c r="H13" s="12"/>
      <c r="I13" s="5"/>
      <c r="J13" s="12"/>
      <c r="K13" s="82"/>
      <c r="L13" s="12" t="s">
        <v>2037</v>
      </c>
      <c r="M13" s="12" t="s">
        <v>2037</v>
      </c>
      <c r="N13" s="83" t="s">
        <v>2038</v>
      </c>
      <c r="O13" s="5"/>
      <c r="P13" s="5"/>
      <c r="Q13" s="5"/>
      <c r="R13" s="5"/>
      <c r="S13" s="80"/>
      <c r="T13" s="42" t="s">
        <v>2003</v>
      </c>
      <c r="U13" s="34" t="s">
        <v>22</v>
      </c>
      <c r="V13" s="81"/>
      <c r="W13" s="81"/>
      <c r="X13" s="12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 ht="12.0" hidden="1" customHeight="1">
      <c r="A14" s="5" t="s">
        <v>2039</v>
      </c>
      <c r="B14" s="5">
        <v>1.0</v>
      </c>
      <c r="C14" s="26" t="s">
        <v>1511</v>
      </c>
      <c r="D14" s="78" t="s">
        <v>2016</v>
      </c>
      <c r="E14" s="78" t="s">
        <v>2040</v>
      </c>
      <c r="F14" s="12" t="s">
        <v>1133</v>
      </c>
      <c r="G14" s="26"/>
      <c r="H14" s="5"/>
      <c r="I14" s="5"/>
      <c r="J14" s="5"/>
      <c r="K14" s="79"/>
      <c r="L14" s="12" t="s">
        <v>2041</v>
      </c>
      <c r="M14" s="12" t="s">
        <v>2042</v>
      </c>
      <c r="N14" s="83" t="s">
        <v>2043</v>
      </c>
      <c r="O14" s="85"/>
      <c r="P14" s="85"/>
      <c r="Q14" s="85"/>
      <c r="R14" s="85"/>
      <c r="S14" s="86"/>
      <c r="T14" s="87"/>
      <c r="U14" s="88"/>
      <c r="V14" s="89"/>
      <c r="W14" s="89"/>
      <c r="X14" s="85"/>
      <c r="Y14" s="67"/>
      <c r="Z14" s="67"/>
      <c r="AA14" s="67"/>
      <c r="AB14" s="67"/>
      <c r="AC14" s="67"/>
      <c r="AD14" s="67"/>
      <c r="AE14" s="67"/>
      <c r="AF14" s="67"/>
      <c r="AG14" s="67"/>
      <c r="AH14" s="67"/>
    </row>
    <row r="15" ht="12.0" hidden="1" customHeight="1">
      <c r="A15" s="12" t="s">
        <v>2044</v>
      </c>
      <c r="B15" s="12">
        <v>1.0</v>
      </c>
      <c r="C15" s="42" t="s">
        <v>2045</v>
      </c>
      <c r="D15" s="78" t="s">
        <v>2000</v>
      </c>
      <c r="E15" s="78" t="s">
        <v>2001</v>
      </c>
      <c r="F15" s="12" t="s">
        <v>1133</v>
      </c>
      <c r="G15" s="26"/>
      <c r="H15" s="5"/>
      <c r="I15" s="5"/>
      <c r="J15" s="5"/>
      <c r="K15" s="79"/>
      <c r="L15" s="12" t="s">
        <v>2046</v>
      </c>
      <c r="M15" s="12" t="s">
        <v>2047</v>
      </c>
      <c r="N15" s="83" t="s">
        <v>2048</v>
      </c>
      <c r="O15" s="5"/>
      <c r="P15" s="5"/>
      <c r="Q15" s="5"/>
      <c r="R15" s="5"/>
      <c r="S15" s="80"/>
      <c r="T15" s="42" t="s">
        <v>2003</v>
      </c>
      <c r="U15" s="34" t="s">
        <v>22</v>
      </c>
      <c r="V15" s="81"/>
      <c r="W15" s="81"/>
      <c r="X15" s="5"/>
      <c r="Y15" s="67"/>
      <c r="Z15" s="67"/>
      <c r="AA15" s="67"/>
      <c r="AB15" s="67"/>
      <c r="AC15" s="67"/>
      <c r="AD15" s="67"/>
      <c r="AE15" s="67"/>
      <c r="AF15" s="67"/>
      <c r="AG15" s="67"/>
      <c r="AH15" s="67"/>
    </row>
    <row r="16" ht="12.0" hidden="1" customHeight="1">
      <c r="A16" s="12" t="s">
        <v>2049</v>
      </c>
      <c r="B16" s="12">
        <v>1.0</v>
      </c>
      <c r="C16" s="42" t="s">
        <v>2050</v>
      </c>
      <c r="D16" s="78" t="s">
        <v>2051</v>
      </c>
      <c r="E16" s="78" t="s">
        <v>2001</v>
      </c>
      <c r="F16" s="12" t="s">
        <v>1133</v>
      </c>
      <c r="G16" s="26"/>
      <c r="H16" s="5"/>
      <c r="I16" s="5"/>
      <c r="J16" s="12" t="s">
        <v>2052</v>
      </c>
      <c r="K16" s="82">
        <v>1.0</v>
      </c>
      <c r="L16" s="12" t="s">
        <v>2053</v>
      </c>
      <c r="M16" s="12" t="s">
        <v>2054</v>
      </c>
      <c r="N16" s="83" t="s">
        <v>2055</v>
      </c>
      <c r="O16" s="5"/>
      <c r="P16" s="5"/>
      <c r="Q16" s="5"/>
      <c r="R16" s="5"/>
      <c r="S16" s="80"/>
      <c r="T16" s="42" t="s">
        <v>2003</v>
      </c>
      <c r="U16" s="49" t="s">
        <v>22</v>
      </c>
      <c r="V16" s="90"/>
      <c r="W16" s="90"/>
      <c r="X16" s="91"/>
      <c r="Y16" s="67"/>
      <c r="Z16" s="67"/>
      <c r="AA16" s="67"/>
      <c r="AB16" s="67"/>
      <c r="AC16" s="67"/>
      <c r="AD16" s="67"/>
      <c r="AE16" s="67"/>
      <c r="AF16" s="67"/>
      <c r="AG16" s="67"/>
      <c r="AH16" s="67"/>
    </row>
    <row r="17" ht="12.0" hidden="1" customHeight="1">
      <c r="A17" s="12" t="s">
        <v>2049</v>
      </c>
      <c r="B17" s="12">
        <v>2.0</v>
      </c>
      <c r="C17" s="42" t="s">
        <v>2050</v>
      </c>
      <c r="D17" s="78" t="s">
        <v>2051</v>
      </c>
      <c r="E17" s="78" t="s">
        <v>2001</v>
      </c>
      <c r="F17" s="12" t="s">
        <v>1133</v>
      </c>
      <c r="G17" s="26"/>
      <c r="H17" s="5"/>
      <c r="I17" s="5"/>
      <c r="J17" s="12" t="s">
        <v>2052</v>
      </c>
      <c r="K17" s="82">
        <v>2.0</v>
      </c>
      <c r="L17" s="12" t="s">
        <v>2053</v>
      </c>
      <c r="M17" s="12" t="s">
        <v>2054</v>
      </c>
      <c r="N17" s="83" t="s">
        <v>2056</v>
      </c>
      <c r="O17" s="5"/>
      <c r="P17" s="5"/>
      <c r="Q17" s="5"/>
      <c r="R17" s="5"/>
      <c r="S17" s="80"/>
      <c r="T17" s="42" t="s">
        <v>2003</v>
      </c>
      <c r="U17" s="49" t="s">
        <v>22</v>
      </c>
      <c r="V17" s="90"/>
      <c r="W17" s="90"/>
      <c r="X17" s="91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ht="12.0" customHeight="1">
      <c r="A18" s="12" t="s">
        <v>2057</v>
      </c>
      <c r="B18" s="12">
        <v>1.0</v>
      </c>
      <c r="C18" s="42" t="s">
        <v>1531</v>
      </c>
      <c r="D18" s="78" t="s">
        <v>2058</v>
      </c>
      <c r="E18" s="78" t="s">
        <v>2059</v>
      </c>
      <c r="F18" s="12" t="s">
        <v>1133</v>
      </c>
      <c r="G18" s="26"/>
      <c r="H18" s="5"/>
      <c r="I18" s="12"/>
      <c r="J18" s="12"/>
      <c r="K18" s="82"/>
      <c r="L18" s="12" t="s">
        <v>2060</v>
      </c>
      <c r="M18" s="12" t="s">
        <v>2061</v>
      </c>
      <c r="N18" s="83" t="s">
        <v>2062</v>
      </c>
      <c r="O18" s="5"/>
      <c r="P18" s="12"/>
      <c r="Q18" s="5"/>
      <c r="R18" s="5"/>
      <c r="S18" s="84"/>
      <c r="T18" s="42" t="s">
        <v>2003</v>
      </c>
      <c r="U18" s="49" t="s">
        <v>22</v>
      </c>
      <c r="V18" s="81"/>
      <c r="W18" s="81"/>
      <c r="X18" s="5"/>
      <c r="Y18" s="67"/>
      <c r="Z18" s="67"/>
      <c r="AA18" s="67"/>
      <c r="AB18" s="67"/>
      <c r="AC18" s="67"/>
      <c r="AD18" s="67"/>
      <c r="AE18" s="67"/>
      <c r="AF18" s="67"/>
      <c r="AG18" s="67"/>
      <c r="AH18" s="67"/>
    </row>
    <row r="19" ht="12.0" hidden="1" customHeight="1">
      <c r="A19" s="12" t="s">
        <v>2063</v>
      </c>
      <c r="B19" s="12">
        <v>572.0</v>
      </c>
      <c r="C19" s="42" t="s">
        <v>1531</v>
      </c>
      <c r="D19" s="78" t="s">
        <v>2058</v>
      </c>
      <c r="E19" s="78" t="s">
        <v>2001</v>
      </c>
      <c r="F19" s="12" t="s">
        <v>1133</v>
      </c>
      <c r="G19" s="26"/>
      <c r="H19" s="5"/>
      <c r="I19" s="12"/>
      <c r="J19" s="12" t="s">
        <v>2064</v>
      </c>
      <c r="K19" s="82">
        <v>2.0</v>
      </c>
      <c r="L19" s="12" t="s">
        <v>2065</v>
      </c>
      <c r="M19" s="12" t="s">
        <v>2066</v>
      </c>
      <c r="N19" s="83" t="s">
        <v>2067</v>
      </c>
      <c r="O19" s="5"/>
      <c r="P19" s="12"/>
      <c r="Q19" s="5"/>
      <c r="R19" s="5"/>
      <c r="S19" s="84"/>
      <c r="T19" s="42" t="s">
        <v>2003</v>
      </c>
      <c r="U19" s="34" t="s">
        <v>22</v>
      </c>
      <c r="V19" s="81"/>
      <c r="W19" s="81"/>
      <c r="X19" s="5"/>
      <c r="Y19" s="67"/>
      <c r="Z19" s="67"/>
      <c r="AA19" s="67"/>
      <c r="AB19" s="67"/>
      <c r="AC19" s="67"/>
      <c r="AD19" s="67"/>
      <c r="AE19" s="67"/>
      <c r="AF19" s="67"/>
      <c r="AG19" s="67"/>
      <c r="AH19" s="67"/>
    </row>
    <row r="20" ht="12.0" customHeight="1">
      <c r="A20" s="12" t="s">
        <v>2068</v>
      </c>
      <c r="B20" s="12">
        <v>1.0</v>
      </c>
      <c r="C20" s="42" t="s">
        <v>1531</v>
      </c>
      <c r="D20" s="78" t="s">
        <v>2007</v>
      </c>
      <c r="E20" s="78" t="s">
        <v>2059</v>
      </c>
      <c r="F20" s="12" t="s">
        <v>1133</v>
      </c>
      <c r="G20" s="26"/>
      <c r="H20" s="5"/>
      <c r="I20" s="12"/>
      <c r="J20" s="12" t="s">
        <v>2069</v>
      </c>
      <c r="K20" s="82">
        <v>1.0</v>
      </c>
      <c r="L20" s="12" t="s">
        <v>2070</v>
      </c>
      <c r="M20" s="12" t="s">
        <v>2071</v>
      </c>
      <c r="N20" s="83" t="s">
        <v>2072</v>
      </c>
      <c r="O20" s="5"/>
      <c r="P20" s="12"/>
      <c r="Q20" s="5"/>
      <c r="R20" s="12"/>
      <c r="S20" s="84"/>
      <c r="T20" s="42" t="s">
        <v>2003</v>
      </c>
      <c r="U20" s="34" t="s">
        <v>22</v>
      </c>
      <c r="V20" s="90"/>
      <c r="W20" s="90"/>
      <c r="X20" s="12"/>
      <c r="Y20" s="67"/>
      <c r="Z20" s="67"/>
      <c r="AA20" s="67"/>
      <c r="AB20" s="67"/>
      <c r="AC20" s="67"/>
      <c r="AD20" s="67"/>
      <c r="AE20" s="67"/>
      <c r="AF20" s="67"/>
      <c r="AG20" s="67"/>
      <c r="AH20" s="67"/>
    </row>
    <row r="21" ht="12.0" customHeight="1">
      <c r="A21" s="12" t="s">
        <v>2073</v>
      </c>
      <c r="B21" s="12">
        <v>1.0</v>
      </c>
      <c r="C21" s="42" t="s">
        <v>1531</v>
      </c>
      <c r="D21" s="78" t="s">
        <v>2074</v>
      </c>
      <c r="E21" s="78" t="s">
        <v>2059</v>
      </c>
      <c r="F21" s="12" t="s">
        <v>1133</v>
      </c>
      <c r="G21" s="26"/>
      <c r="H21" s="5"/>
      <c r="I21" s="12"/>
      <c r="J21" s="12" t="s">
        <v>2075</v>
      </c>
      <c r="K21" s="82">
        <v>1.0</v>
      </c>
      <c r="L21" s="12" t="s">
        <v>2076</v>
      </c>
      <c r="M21" s="12" t="s">
        <v>2077</v>
      </c>
      <c r="N21" s="83" t="s">
        <v>2078</v>
      </c>
      <c r="O21" s="5"/>
      <c r="P21" s="12"/>
      <c r="Q21" s="5"/>
      <c r="R21" s="12"/>
      <c r="S21" s="84"/>
      <c r="T21" s="42" t="s">
        <v>2003</v>
      </c>
      <c r="U21" s="34" t="s">
        <v>22</v>
      </c>
      <c r="V21" s="90"/>
      <c r="W21" s="90"/>
      <c r="X21" s="12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ht="12.0" customHeight="1">
      <c r="A22" s="12" t="s">
        <v>2079</v>
      </c>
      <c r="B22" s="12">
        <v>659.0</v>
      </c>
      <c r="C22" s="42" t="s">
        <v>1531</v>
      </c>
      <c r="D22" s="78" t="s">
        <v>2007</v>
      </c>
      <c r="E22" s="78" t="s">
        <v>2059</v>
      </c>
      <c r="F22" s="12" t="s">
        <v>1133</v>
      </c>
      <c r="G22" s="26"/>
      <c r="H22" s="5"/>
      <c r="I22" s="5"/>
      <c r="J22" s="12" t="s">
        <v>2080</v>
      </c>
      <c r="K22" s="82">
        <v>2.0</v>
      </c>
      <c r="L22" s="12" t="s">
        <v>2081</v>
      </c>
      <c r="M22" s="12" t="s">
        <v>2011</v>
      </c>
      <c r="N22" s="83" t="s">
        <v>2082</v>
      </c>
      <c r="O22" s="5"/>
      <c r="P22" s="5"/>
      <c r="Q22" s="5"/>
      <c r="R22" s="5"/>
      <c r="S22" s="80"/>
      <c r="T22" s="42" t="s">
        <v>2003</v>
      </c>
      <c r="U22" s="49" t="s">
        <v>22</v>
      </c>
      <c r="V22" s="81"/>
      <c r="W22" s="81"/>
      <c r="X22" s="5"/>
      <c r="Y22" s="67"/>
      <c r="Z22" s="67"/>
      <c r="AA22" s="67"/>
      <c r="AB22" s="67"/>
      <c r="AC22" s="67"/>
      <c r="AD22" s="67"/>
      <c r="AE22" s="67"/>
      <c r="AF22" s="67"/>
      <c r="AG22" s="67"/>
      <c r="AH22" s="67"/>
    </row>
    <row r="23" ht="12.0" customHeight="1">
      <c r="A23" s="12" t="s">
        <v>2079</v>
      </c>
      <c r="B23" s="12">
        <v>660.0</v>
      </c>
      <c r="C23" s="42" t="s">
        <v>1531</v>
      </c>
      <c r="D23" s="78" t="s">
        <v>2007</v>
      </c>
      <c r="E23" s="78" t="s">
        <v>2059</v>
      </c>
      <c r="F23" s="12" t="s">
        <v>1133</v>
      </c>
      <c r="G23" s="26"/>
      <c r="H23" s="5"/>
      <c r="I23" s="5"/>
      <c r="J23" s="12" t="s">
        <v>2080</v>
      </c>
      <c r="K23" s="82">
        <v>4.0</v>
      </c>
      <c r="L23" s="12" t="s">
        <v>2081</v>
      </c>
      <c r="M23" s="12" t="s">
        <v>2083</v>
      </c>
      <c r="N23" s="83" t="s">
        <v>2084</v>
      </c>
      <c r="O23" s="5"/>
      <c r="P23" s="5"/>
      <c r="Q23" s="5"/>
      <c r="R23" s="5"/>
      <c r="S23" s="80"/>
      <c r="T23" s="42" t="s">
        <v>2003</v>
      </c>
      <c r="U23" s="49" t="s">
        <v>22</v>
      </c>
      <c r="V23" s="81"/>
      <c r="W23" s="81"/>
      <c r="X23" s="5"/>
      <c r="Y23" s="67"/>
      <c r="Z23" s="67"/>
      <c r="AA23" s="67"/>
      <c r="AB23" s="67"/>
      <c r="AC23" s="67"/>
      <c r="AD23" s="67"/>
      <c r="AE23" s="67"/>
      <c r="AF23" s="67"/>
      <c r="AG23" s="67"/>
      <c r="AH23" s="67"/>
    </row>
    <row r="24" ht="12.0" customHeight="1">
      <c r="A24" s="12" t="s">
        <v>2079</v>
      </c>
      <c r="B24" s="12">
        <v>661.0</v>
      </c>
      <c r="C24" s="42" t="s">
        <v>1531</v>
      </c>
      <c r="D24" s="78" t="s">
        <v>2007</v>
      </c>
      <c r="E24" s="78" t="s">
        <v>2059</v>
      </c>
      <c r="F24" s="12" t="s">
        <v>1133</v>
      </c>
      <c r="G24" s="26"/>
      <c r="H24" s="5"/>
      <c r="I24" s="5"/>
      <c r="J24" s="12" t="s">
        <v>2080</v>
      </c>
      <c r="K24" s="82">
        <v>6.0</v>
      </c>
      <c r="L24" s="12" t="s">
        <v>2081</v>
      </c>
      <c r="M24" s="12" t="s">
        <v>2085</v>
      </c>
      <c r="N24" s="83" t="s">
        <v>2086</v>
      </c>
      <c r="O24" s="5"/>
      <c r="P24" s="5"/>
      <c r="Q24" s="5"/>
      <c r="R24" s="5"/>
      <c r="S24" s="80"/>
      <c r="T24" s="42" t="s">
        <v>2003</v>
      </c>
      <c r="U24" s="49" t="s">
        <v>22</v>
      </c>
      <c r="V24" s="81"/>
      <c r="W24" s="81"/>
      <c r="X24" s="5"/>
      <c r="Y24" s="67"/>
      <c r="Z24" s="67"/>
      <c r="AA24" s="67"/>
      <c r="AB24" s="67"/>
      <c r="AC24" s="67"/>
      <c r="AD24" s="67"/>
      <c r="AE24" s="67"/>
      <c r="AF24" s="67"/>
      <c r="AG24" s="67"/>
      <c r="AH24" s="67"/>
    </row>
    <row r="25" ht="12.0" customHeight="1">
      <c r="A25" s="12" t="s">
        <v>2079</v>
      </c>
      <c r="B25" s="12">
        <v>662.0</v>
      </c>
      <c r="C25" s="42" t="s">
        <v>1531</v>
      </c>
      <c r="D25" s="78" t="s">
        <v>2007</v>
      </c>
      <c r="E25" s="78" t="s">
        <v>2059</v>
      </c>
      <c r="F25" s="12" t="s">
        <v>1133</v>
      </c>
      <c r="G25" s="26"/>
      <c r="H25" s="5"/>
      <c r="I25" s="5"/>
      <c r="J25" s="12" t="s">
        <v>2080</v>
      </c>
      <c r="K25" s="82">
        <v>8.0</v>
      </c>
      <c r="L25" s="12" t="s">
        <v>2081</v>
      </c>
      <c r="M25" s="12" t="s">
        <v>2085</v>
      </c>
      <c r="N25" s="83" t="s">
        <v>2087</v>
      </c>
      <c r="O25" s="5"/>
      <c r="P25" s="5"/>
      <c r="Q25" s="5"/>
      <c r="R25" s="5"/>
      <c r="S25" s="80"/>
      <c r="T25" s="42" t="s">
        <v>2003</v>
      </c>
      <c r="U25" s="49" t="s">
        <v>22</v>
      </c>
      <c r="V25" s="81"/>
      <c r="W25" s="81"/>
      <c r="X25" s="5"/>
      <c r="Y25" s="67"/>
      <c r="Z25" s="67"/>
      <c r="AA25" s="67"/>
      <c r="AB25" s="67"/>
      <c r="AC25" s="67"/>
      <c r="AD25" s="67"/>
      <c r="AE25" s="67"/>
      <c r="AF25" s="67"/>
      <c r="AG25" s="67"/>
      <c r="AH25" s="67"/>
    </row>
    <row r="26" ht="12.0" customHeight="1">
      <c r="A26" s="12" t="s">
        <v>2007</v>
      </c>
      <c r="B26" s="12">
        <v>496.0</v>
      </c>
      <c r="C26" s="42" t="s">
        <v>1531</v>
      </c>
      <c r="D26" s="78" t="s">
        <v>2007</v>
      </c>
      <c r="E26" s="78" t="s">
        <v>2059</v>
      </c>
      <c r="F26" s="12" t="s">
        <v>1133</v>
      </c>
      <c r="G26" s="26"/>
      <c r="H26" s="5"/>
      <c r="I26" s="12"/>
      <c r="J26" s="12" t="s">
        <v>2080</v>
      </c>
      <c r="K26" s="82">
        <v>9.0</v>
      </c>
      <c r="L26" s="12" t="s">
        <v>1645</v>
      </c>
      <c r="M26" s="12" t="s">
        <v>2088</v>
      </c>
      <c r="N26" s="83" t="s">
        <v>2089</v>
      </c>
      <c r="O26" s="5"/>
      <c r="P26" s="12"/>
      <c r="Q26" s="5"/>
      <c r="R26" s="12"/>
      <c r="S26" s="84"/>
      <c r="T26" s="42" t="s">
        <v>2003</v>
      </c>
      <c r="U26" s="49" t="s">
        <v>22</v>
      </c>
      <c r="V26" s="90"/>
      <c r="W26" s="90"/>
      <c r="X26" s="12" t="s">
        <v>2090</v>
      </c>
      <c r="Y26" s="67"/>
      <c r="Z26" s="67"/>
      <c r="AA26" s="67"/>
      <c r="AB26" s="67"/>
      <c r="AC26" s="67"/>
      <c r="AD26" s="67"/>
      <c r="AE26" s="67"/>
      <c r="AF26" s="67"/>
      <c r="AG26" s="67"/>
      <c r="AH26" s="67"/>
    </row>
    <row r="27" ht="12.0" hidden="1" customHeight="1">
      <c r="A27" s="12" t="s">
        <v>1635</v>
      </c>
      <c r="B27" s="12">
        <v>12.0</v>
      </c>
      <c r="C27" s="42" t="s">
        <v>1531</v>
      </c>
      <c r="D27" s="78" t="s">
        <v>2091</v>
      </c>
      <c r="E27" s="78" t="s">
        <v>2001</v>
      </c>
      <c r="F27" s="12" t="s">
        <v>1133</v>
      </c>
      <c r="G27" s="26"/>
      <c r="H27" s="5"/>
      <c r="I27" s="12"/>
      <c r="J27" s="5"/>
      <c r="K27" s="79"/>
      <c r="L27" s="12" t="s">
        <v>2092</v>
      </c>
      <c r="M27" s="12" t="s">
        <v>1637</v>
      </c>
      <c r="N27" s="83" t="s">
        <v>2093</v>
      </c>
      <c r="O27" s="5"/>
      <c r="P27" s="5"/>
      <c r="Q27" s="5"/>
      <c r="R27" s="5"/>
      <c r="S27" s="80"/>
      <c r="T27" s="42" t="s">
        <v>2003</v>
      </c>
      <c r="U27" s="34" t="s">
        <v>22</v>
      </c>
      <c r="V27" s="81"/>
      <c r="W27" s="81"/>
      <c r="X27" s="5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 ht="12.0" hidden="1" customHeight="1">
      <c r="A28" s="12" t="s">
        <v>1635</v>
      </c>
      <c r="B28" s="12">
        <v>13.0</v>
      </c>
      <c r="C28" s="42" t="s">
        <v>1531</v>
      </c>
      <c r="D28" s="78" t="s">
        <v>2091</v>
      </c>
      <c r="E28" s="78" t="s">
        <v>2001</v>
      </c>
      <c r="F28" s="12" t="s">
        <v>1133</v>
      </c>
      <c r="G28" s="26"/>
      <c r="H28" s="5"/>
      <c r="I28" s="12"/>
      <c r="J28" s="5"/>
      <c r="K28" s="79"/>
      <c r="L28" s="12" t="s">
        <v>2092</v>
      </c>
      <c r="M28" s="12" t="s">
        <v>2094</v>
      </c>
      <c r="N28" s="83" t="s">
        <v>2095</v>
      </c>
      <c r="O28" s="5"/>
      <c r="P28" s="5"/>
      <c r="Q28" s="5"/>
      <c r="R28" s="5"/>
      <c r="S28" s="80"/>
      <c r="T28" s="42" t="s">
        <v>2003</v>
      </c>
      <c r="U28" s="34" t="s">
        <v>22</v>
      </c>
      <c r="V28" s="81"/>
      <c r="W28" s="81"/>
      <c r="X28" s="5"/>
      <c r="Y28" s="67"/>
      <c r="Z28" s="67"/>
      <c r="AA28" s="67"/>
      <c r="AB28" s="67"/>
      <c r="AC28" s="67"/>
      <c r="AD28" s="67"/>
      <c r="AE28" s="67"/>
      <c r="AF28" s="67"/>
      <c r="AG28" s="67"/>
      <c r="AH28" s="67"/>
    </row>
    <row r="29" ht="12.0" hidden="1" customHeight="1">
      <c r="A29" s="12" t="s">
        <v>2096</v>
      </c>
      <c r="B29" s="12">
        <v>31.0</v>
      </c>
      <c r="C29" s="42" t="s">
        <v>1531</v>
      </c>
      <c r="D29" s="78" t="s">
        <v>2091</v>
      </c>
      <c r="E29" s="78" t="s">
        <v>2001</v>
      </c>
      <c r="F29" s="12" t="s">
        <v>1133</v>
      </c>
      <c r="G29" s="26"/>
      <c r="H29" s="5"/>
      <c r="I29" s="12"/>
      <c r="J29" s="5"/>
      <c r="K29" s="79"/>
      <c r="L29" s="5" t="s">
        <v>2041</v>
      </c>
      <c r="M29" s="12" t="s">
        <v>2097</v>
      </c>
      <c r="N29" s="92" t="s">
        <v>2098</v>
      </c>
      <c r="O29" s="5"/>
      <c r="P29" s="5"/>
      <c r="Q29" s="5"/>
      <c r="R29" s="5"/>
      <c r="S29" s="80"/>
      <c r="T29" s="42" t="s">
        <v>2003</v>
      </c>
      <c r="U29" s="34" t="s">
        <v>22</v>
      </c>
      <c r="V29" s="81"/>
      <c r="W29" s="81"/>
      <c r="X29" s="5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 ht="12.0" hidden="1" customHeight="1">
      <c r="A30" s="12" t="s">
        <v>2096</v>
      </c>
      <c r="B30" s="12">
        <v>52.0</v>
      </c>
      <c r="C30" s="42" t="s">
        <v>1531</v>
      </c>
      <c r="D30" s="78" t="s">
        <v>2091</v>
      </c>
      <c r="E30" s="78" t="s">
        <v>2001</v>
      </c>
      <c r="F30" s="12" t="s">
        <v>1133</v>
      </c>
      <c r="G30" s="26"/>
      <c r="H30" s="5"/>
      <c r="I30" s="12"/>
      <c r="J30" s="5"/>
      <c r="K30" s="79"/>
      <c r="L30" s="12" t="s">
        <v>2099</v>
      </c>
      <c r="M30" s="12" t="s">
        <v>2100</v>
      </c>
      <c r="N30" s="83" t="s">
        <v>2101</v>
      </c>
      <c r="O30" s="5"/>
      <c r="P30" s="5"/>
      <c r="Q30" s="5"/>
      <c r="R30" s="5"/>
      <c r="S30" s="80"/>
      <c r="T30" s="42" t="s">
        <v>2003</v>
      </c>
      <c r="U30" s="34" t="s">
        <v>22</v>
      </c>
      <c r="V30" s="90">
        <v>3.0</v>
      </c>
      <c r="W30" s="81"/>
      <c r="X30" s="5"/>
      <c r="Y30" s="67"/>
      <c r="Z30" s="67"/>
      <c r="AA30" s="67"/>
      <c r="AB30" s="67"/>
      <c r="AC30" s="67"/>
      <c r="AD30" s="67"/>
      <c r="AE30" s="67"/>
      <c r="AF30" s="67"/>
      <c r="AG30" s="67"/>
      <c r="AH30" s="67"/>
    </row>
    <row r="31" ht="12.0" customHeight="1">
      <c r="A31" s="12" t="s">
        <v>2079</v>
      </c>
      <c r="B31" s="12">
        <v>664.0</v>
      </c>
      <c r="C31" s="42" t="s">
        <v>1531</v>
      </c>
      <c r="D31" s="78" t="s">
        <v>2007</v>
      </c>
      <c r="E31" s="78" t="s">
        <v>2059</v>
      </c>
      <c r="F31" s="12" t="s">
        <v>1133</v>
      </c>
      <c r="G31" s="26"/>
      <c r="H31" s="5"/>
      <c r="I31" s="5"/>
      <c r="J31" s="12" t="s">
        <v>2080</v>
      </c>
      <c r="K31" s="82">
        <v>12.0</v>
      </c>
      <c r="L31" s="12" t="s">
        <v>2081</v>
      </c>
      <c r="M31" s="12" t="s">
        <v>2085</v>
      </c>
      <c r="N31" s="83" t="s">
        <v>2102</v>
      </c>
      <c r="O31" s="5"/>
      <c r="P31" s="5"/>
      <c r="Q31" s="5"/>
      <c r="R31" s="5"/>
      <c r="S31" s="80"/>
      <c r="T31" s="42" t="s">
        <v>2003</v>
      </c>
      <c r="U31" s="49" t="s">
        <v>22</v>
      </c>
      <c r="V31" s="81"/>
      <c r="W31" s="81"/>
      <c r="X31" s="5"/>
      <c r="Y31" s="67"/>
      <c r="Z31" s="67"/>
      <c r="AA31" s="67"/>
      <c r="AB31" s="67"/>
      <c r="AC31" s="67"/>
      <c r="AD31" s="67"/>
      <c r="AE31" s="67"/>
      <c r="AF31" s="67"/>
      <c r="AG31" s="67"/>
      <c r="AH31" s="67"/>
    </row>
    <row r="32" ht="12.0" customHeight="1">
      <c r="A32" s="12" t="s">
        <v>2103</v>
      </c>
      <c r="B32" s="12">
        <v>7.0</v>
      </c>
      <c r="C32" s="42" t="s">
        <v>1531</v>
      </c>
      <c r="D32" s="78" t="s">
        <v>2007</v>
      </c>
      <c r="E32" s="78" t="s">
        <v>2059</v>
      </c>
      <c r="F32" s="12" t="s">
        <v>1133</v>
      </c>
      <c r="G32" s="26"/>
      <c r="H32" s="5"/>
      <c r="I32" s="5"/>
      <c r="J32" s="12" t="s">
        <v>2080</v>
      </c>
      <c r="K32" s="82">
        <v>13.0</v>
      </c>
      <c r="L32" s="12" t="s">
        <v>2104</v>
      </c>
      <c r="M32" s="12" t="s">
        <v>2105</v>
      </c>
      <c r="N32" s="83" t="s">
        <v>2106</v>
      </c>
      <c r="O32" s="5"/>
      <c r="P32" s="5"/>
      <c r="Q32" s="5"/>
      <c r="R32" s="5"/>
      <c r="S32" s="80"/>
      <c r="T32" s="42" t="s">
        <v>2003</v>
      </c>
      <c r="U32" s="49" t="s">
        <v>22</v>
      </c>
      <c r="V32" s="81"/>
      <c r="W32" s="81"/>
      <c r="X32" s="5"/>
      <c r="Y32" s="67"/>
      <c r="Z32" s="67"/>
      <c r="AA32" s="67"/>
      <c r="AB32" s="67"/>
      <c r="AC32" s="67"/>
      <c r="AD32" s="67"/>
      <c r="AE32" s="67"/>
      <c r="AF32" s="67"/>
      <c r="AG32" s="67"/>
      <c r="AH32" s="67"/>
    </row>
    <row r="33" ht="12.0" customHeight="1">
      <c r="A33" s="12" t="s">
        <v>2079</v>
      </c>
      <c r="B33" s="12">
        <v>665.0</v>
      </c>
      <c r="C33" s="42" t="s">
        <v>1531</v>
      </c>
      <c r="D33" s="78" t="s">
        <v>2007</v>
      </c>
      <c r="E33" s="78" t="s">
        <v>2059</v>
      </c>
      <c r="F33" s="12" t="s">
        <v>1133</v>
      </c>
      <c r="G33" s="26"/>
      <c r="H33" s="5"/>
      <c r="I33" s="5"/>
      <c r="J33" s="12" t="s">
        <v>2080</v>
      </c>
      <c r="K33" s="82">
        <v>16.0</v>
      </c>
      <c r="L33" s="12" t="s">
        <v>2081</v>
      </c>
      <c r="M33" s="12" t="s">
        <v>2085</v>
      </c>
      <c r="N33" s="83" t="s">
        <v>2107</v>
      </c>
      <c r="O33" s="5"/>
      <c r="P33" s="5"/>
      <c r="Q33" s="5"/>
      <c r="R33" s="5"/>
      <c r="S33" s="80"/>
      <c r="T33" s="42" t="s">
        <v>2003</v>
      </c>
      <c r="U33" s="49" t="s">
        <v>22</v>
      </c>
      <c r="V33" s="81"/>
      <c r="W33" s="81"/>
      <c r="X33" s="5"/>
      <c r="Y33" s="67"/>
      <c r="Z33" s="67"/>
      <c r="AA33" s="67"/>
      <c r="AB33" s="67"/>
      <c r="AC33" s="67"/>
      <c r="AD33" s="67"/>
      <c r="AE33" s="67"/>
      <c r="AF33" s="67"/>
      <c r="AG33" s="67"/>
      <c r="AH33" s="67"/>
    </row>
    <row r="34" ht="12.0" customHeight="1">
      <c r="A34" s="12" t="s">
        <v>2007</v>
      </c>
      <c r="B34" s="12">
        <v>499.0</v>
      </c>
      <c r="C34" s="42" t="s">
        <v>1531</v>
      </c>
      <c r="D34" s="78" t="s">
        <v>2007</v>
      </c>
      <c r="E34" s="78" t="s">
        <v>2059</v>
      </c>
      <c r="F34" s="12" t="s">
        <v>1133</v>
      </c>
      <c r="G34" s="26"/>
      <c r="H34" s="5"/>
      <c r="I34" s="12"/>
      <c r="J34" s="12" t="s">
        <v>2080</v>
      </c>
      <c r="K34" s="82">
        <v>17.0</v>
      </c>
      <c r="L34" s="12" t="s">
        <v>1645</v>
      </c>
      <c r="M34" s="12" t="s">
        <v>2088</v>
      </c>
      <c r="N34" s="83" t="s">
        <v>2108</v>
      </c>
      <c r="O34" s="5"/>
      <c r="P34" s="12"/>
      <c r="Q34" s="5"/>
      <c r="R34" s="12"/>
      <c r="S34" s="84"/>
      <c r="T34" s="42" t="s">
        <v>2003</v>
      </c>
      <c r="U34" s="49" t="s">
        <v>22</v>
      </c>
      <c r="V34" s="90"/>
      <c r="W34" s="90"/>
      <c r="X34" s="12" t="s">
        <v>2090</v>
      </c>
      <c r="Y34" s="67"/>
      <c r="Z34" s="67"/>
      <c r="AA34" s="67"/>
      <c r="AB34" s="67"/>
      <c r="AC34" s="67"/>
      <c r="AD34" s="67"/>
      <c r="AE34" s="67"/>
      <c r="AF34" s="67"/>
      <c r="AG34" s="67"/>
      <c r="AH34" s="67"/>
    </row>
    <row r="35" ht="12.0" customHeight="1">
      <c r="A35" s="12" t="s">
        <v>2079</v>
      </c>
      <c r="B35" s="12">
        <v>666.0</v>
      </c>
      <c r="C35" s="42" t="s">
        <v>1531</v>
      </c>
      <c r="D35" s="78" t="s">
        <v>2007</v>
      </c>
      <c r="E35" s="78" t="s">
        <v>2059</v>
      </c>
      <c r="F35" s="12" t="s">
        <v>1133</v>
      </c>
      <c r="G35" s="26"/>
      <c r="H35" s="5"/>
      <c r="I35" s="5"/>
      <c r="J35" s="12" t="s">
        <v>2080</v>
      </c>
      <c r="K35" s="82">
        <v>18.0</v>
      </c>
      <c r="L35" s="12" t="s">
        <v>2081</v>
      </c>
      <c r="M35" s="12" t="s">
        <v>2085</v>
      </c>
      <c r="N35" s="83" t="s">
        <v>2109</v>
      </c>
      <c r="O35" s="5"/>
      <c r="P35" s="5"/>
      <c r="Q35" s="5"/>
      <c r="R35" s="5"/>
      <c r="S35" s="80"/>
      <c r="T35" s="42" t="s">
        <v>2003</v>
      </c>
      <c r="U35" s="49" t="s">
        <v>22</v>
      </c>
      <c r="V35" s="81"/>
      <c r="W35" s="81"/>
      <c r="X35" s="5"/>
      <c r="Y35" s="67"/>
      <c r="Z35" s="67"/>
      <c r="AA35" s="67"/>
      <c r="AB35" s="67"/>
      <c r="AC35" s="67"/>
      <c r="AD35" s="67"/>
      <c r="AE35" s="67"/>
      <c r="AF35" s="67"/>
      <c r="AG35" s="67"/>
      <c r="AH35" s="67"/>
    </row>
    <row r="36" ht="12.0" customHeight="1">
      <c r="A36" s="12" t="s">
        <v>2007</v>
      </c>
      <c r="B36" s="12">
        <v>500.0</v>
      </c>
      <c r="C36" s="42" t="s">
        <v>1531</v>
      </c>
      <c r="D36" s="78" t="s">
        <v>2007</v>
      </c>
      <c r="E36" s="78" t="s">
        <v>2059</v>
      </c>
      <c r="F36" s="12" t="s">
        <v>1133</v>
      </c>
      <c r="G36" s="26"/>
      <c r="H36" s="5"/>
      <c r="I36" s="12"/>
      <c r="J36" s="12" t="s">
        <v>2080</v>
      </c>
      <c r="K36" s="82">
        <v>19.0</v>
      </c>
      <c r="L36" s="12" t="s">
        <v>1645</v>
      </c>
      <c r="M36" s="12" t="s">
        <v>2110</v>
      </c>
      <c r="N36" s="83" t="s">
        <v>2111</v>
      </c>
      <c r="O36" s="5"/>
      <c r="P36" s="12"/>
      <c r="Q36" s="5"/>
      <c r="R36" s="12"/>
      <c r="S36" s="84"/>
      <c r="T36" s="42" t="s">
        <v>2003</v>
      </c>
      <c r="U36" s="49" t="s">
        <v>22</v>
      </c>
      <c r="V36" s="90"/>
      <c r="W36" s="90"/>
      <c r="X36" s="12" t="s">
        <v>2090</v>
      </c>
      <c r="Y36" s="67"/>
      <c r="Z36" s="67"/>
      <c r="AA36" s="67"/>
      <c r="AB36" s="67"/>
      <c r="AC36" s="67"/>
      <c r="AD36" s="67"/>
      <c r="AE36" s="67"/>
      <c r="AF36" s="67"/>
      <c r="AG36" s="67"/>
      <c r="AH36" s="67"/>
    </row>
    <row r="37" ht="12.0" customHeight="1">
      <c r="A37" s="12" t="s">
        <v>2079</v>
      </c>
      <c r="B37" s="12">
        <v>667.0</v>
      </c>
      <c r="C37" s="42" t="s">
        <v>1531</v>
      </c>
      <c r="D37" s="78" t="s">
        <v>2007</v>
      </c>
      <c r="E37" s="78" t="s">
        <v>2059</v>
      </c>
      <c r="F37" s="12" t="s">
        <v>1133</v>
      </c>
      <c r="G37" s="26"/>
      <c r="H37" s="5"/>
      <c r="I37" s="5"/>
      <c r="J37" s="12" t="s">
        <v>2112</v>
      </c>
      <c r="K37" s="82">
        <v>1.0</v>
      </c>
      <c r="L37" s="12" t="s">
        <v>2081</v>
      </c>
      <c r="M37" s="12" t="s">
        <v>2085</v>
      </c>
      <c r="N37" s="83" t="s">
        <v>2113</v>
      </c>
      <c r="O37" s="5"/>
      <c r="P37" s="5"/>
      <c r="Q37" s="5"/>
      <c r="R37" s="5"/>
      <c r="S37" s="80"/>
      <c r="T37" s="42" t="s">
        <v>2003</v>
      </c>
      <c r="U37" s="49" t="s">
        <v>22</v>
      </c>
      <c r="V37" s="81"/>
      <c r="W37" s="81"/>
      <c r="X37" s="5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 ht="12.0" customHeight="1">
      <c r="A38" s="12" t="s">
        <v>2114</v>
      </c>
      <c r="B38" s="12">
        <v>19.0</v>
      </c>
      <c r="C38" s="42" t="s">
        <v>1531</v>
      </c>
      <c r="D38" s="78" t="s">
        <v>2007</v>
      </c>
      <c r="E38" s="78" t="s">
        <v>2059</v>
      </c>
      <c r="F38" s="12" t="s">
        <v>1133</v>
      </c>
      <c r="G38" s="26"/>
      <c r="H38" s="5"/>
      <c r="I38" s="5"/>
      <c r="J38" s="12" t="s">
        <v>2112</v>
      </c>
      <c r="K38" s="82">
        <v>3.0</v>
      </c>
      <c r="L38" s="12" t="s">
        <v>2010</v>
      </c>
      <c r="M38" s="12" t="s">
        <v>2115</v>
      </c>
      <c r="N38" s="83" t="s">
        <v>2116</v>
      </c>
      <c r="O38" s="5"/>
      <c r="P38" s="5"/>
      <c r="Q38" s="5"/>
      <c r="R38" s="5"/>
      <c r="S38" s="80"/>
      <c r="T38" s="42" t="s">
        <v>2003</v>
      </c>
      <c r="U38" s="49" t="s">
        <v>22</v>
      </c>
      <c r="V38" s="81"/>
      <c r="W38" s="81"/>
      <c r="X38" s="5"/>
      <c r="Y38" s="67"/>
      <c r="Z38" s="67"/>
      <c r="AA38" s="67"/>
      <c r="AB38" s="67"/>
      <c r="AC38" s="67"/>
      <c r="AD38" s="67"/>
      <c r="AE38" s="67"/>
      <c r="AF38" s="67"/>
      <c r="AG38" s="67"/>
      <c r="AH38" s="67"/>
    </row>
    <row r="39" ht="12.0" customHeight="1">
      <c r="A39" s="12" t="s">
        <v>2079</v>
      </c>
      <c r="B39" s="12">
        <v>670.0</v>
      </c>
      <c r="C39" s="42" t="s">
        <v>1531</v>
      </c>
      <c r="D39" s="78" t="s">
        <v>2007</v>
      </c>
      <c r="E39" s="78" t="s">
        <v>2059</v>
      </c>
      <c r="F39" s="12" t="s">
        <v>1133</v>
      </c>
      <c r="G39" s="26"/>
      <c r="H39" s="5"/>
      <c r="I39" s="12"/>
      <c r="J39" s="12" t="s">
        <v>2112</v>
      </c>
      <c r="K39" s="82">
        <v>8.0</v>
      </c>
      <c r="L39" s="12" t="s">
        <v>2081</v>
      </c>
      <c r="M39" s="12" t="s">
        <v>2117</v>
      </c>
      <c r="N39" s="83" t="s">
        <v>2118</v>
      </c>
      <c r="O39" s="5"/>
      <c r="P39" s="5"/>
      <c r="Q39" s="5"/>
      <c r="R39" s="5"/>
      <c r="S39" s="80"/>
      <c r="T39" s="42" t="s">
        <v>2003</v>
      </c>
      <c r="U39" s="49" t="s">
        <v>22</v>
      </c>
      <c r="V39" s="90"/>
      <c r="W39" s="81"/>
      <c r="X39" s="5"/>
      <c r="Y39" s="67"/>
      <c r="Z39" s="67"/>
      <c r="AA39" s="67"/>
      <c r="AB39" s="67"/>
      <c r="AC39" s="67"/>
      <c r="AD39" s="67"/>
      <c r="AE39" s="67"/>
      <c r="AF39" s="67"/>
      <c r="AG39" s="67"/>
      <c r="AH39" s="67"/>
    </row>
    <row r="40" ht="12.0" customHeight="1">
      <c r="A40" s="12" t="s">
        <v>2007</v>
      </c>
      <c r="B40" s="12">
        <v>503.0</v>
      </c>
      <c r="C40" s="42" t="s">
        <v>1531</v>
      </c>
      <c r="D40" s="78" t="s">
        <v>2007</v>
      </c>
      <c r="E40" s="78" t="s">
        <v>2059</v>
      </c>
      <c r="F40" s="12" t="s">
        <v>1133</v>
      </c>
      <c r="G40" s="26"/>
      <c r="H40" s="5"/>
      <c r="I40" s="12"/>
      <c r="J40" s="12" t="s">
        <v>2112</v>
      </c>
      <c r="K40" s="82">
        <v>10.0</v>
      </c>
      <c r="L40" s="12" t="s">
        <v>1645</v>
      </c>
      <c r="M40" s="12" t="s">
        <v>2119</v>
      </c>
      <c r="N40" s="83" t="s">
        <v>2120</v>
      </c>
      <c r="O40" s="5"/>
      <c r="P40" s="5"/>
      <c r="Q40" s="5"/>
      <c r="R40" s="5"/>
      <c r="S40" s="80"/>
      <c r="T40" s="42" t="s">
        <v>2003</v>
      </c>
      <c r="U40" s="49" t="s">
        <v>22</v>
      </c>
      <c r="V40" s="90"/>
      <c r="W40" s="81"/>
      <c r="X40" s="5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ht="12.0" customHeight="1">
      <c r="A41" s="12" t="s">
        <v>2114</v>
      </c>
      <c r="B41" s="12">
        <v>24.0</v>
      </c>
      <c r="C41" s="42" t="s">
        <v>1531</v>
      </c>
      <c r="D41" s="78" t="s">
        <v>2007</v>
      </c>
      <c r="E41" s="78" t="s">
        <v>2059</v>
      </c>
      <c r="F41" s="12" t="s">
        <v>1133</v>
      </c>
      <c r="G41" s="26"/>
      <c r="H41" s="5"/>
      <c r="I41" s="12"/>
      <c r="J41" s="12" t="s">
        <v>2112</v>
      </c>
      <c r="K41" s="82">
        <v>15.0</v>
      </c>
      <c r="L41" s="12" t="s">
        <v>2010</v>
      </c>
      <c r="M41" s="12" t="s">
        <v>2115</v>
      </c>
      <c r="N41" s="83" t="s">
        <v>2121</v>
      </c>
      <c r="O41" s="5"/>
      <c r="P41" s="5"/>
      <c r="Q41" s="5"/>
      <c r="R41" s="5"/>
      <c r="S41" s="80"/>
      <c r="T41" s="42" t="s">
        <v>2003</v>
      </c>
      <c r="U41" s="49" t="s">
        <v>22</v>
      </c>
      <c r="V41" s="90"/>
      <c r="W41" s="81"/>
      <c r="X41" s="5"/>
      <c r="Y41" s="67"/>
      <c r="Z41" s="67"/>
      <c r="AA41" s="67"/>
      <c r="AB41" s="67"/>
      <c r="AC41" s="67"/>
      <c r="AD41" s="67"/>
      <c r="AE41" s="67"/>
      <c r="AF41" s="67"/>
      <c r="AG41" s="67"/>
      <c r="AH41" s="67"/>
    </row>
    <row r="42" ht="12.0" customHeight="1">
      <c r="A42" s="12" t="s">
        <v>2114</v>
      </c>
      <c r="B42" s="12">
        <v>26.0</v>
      </c>
      <c r="C42" s="42" t="s">
        <v>1531</v>
      </c>
      <c r="D42" s="78" t="s">
        <v>2007</v>
      </c>
      <c r="E42" s="78" t="s">
        <v>2059</v>
      </c>
      <c r="F42" s="12" t="s">
        <v>1133</v>
      </c>
      <c r="G42" s="26"/>
      <c r="H42" s="5"/>
      <c r="I42" s="12"/>
      <c r="J42" s="12" t="s">
        <v>2112</v>
      </c>
      <c r="K42" s="82">
        <v>20.0</v>
      </c>
      <c r="L42" s="12" t="s">
        <v>2010</v>
      </c>
      <c r="M42" s="12" t="s">
        <v>2122</v>
      </c>
      <c r="N42" s="83" t="s">
        <v>2123</v>
      </c>
      <c r="O42" s="5"/>
      <c r="P42" s="5"/>
      <c r="Q42" s="5"/>
      <c r="R42" s="5"/>
      <c r="S42" s="80"/>
      <c r="T42" s="42" t="s">
        <v>2003</v>
      </c>
      <c r="U42" s="49" t="s">
        <v>22</v>
      </c>
      <c r="V42" s="90"/>
      <c r="W42" s="81"/>
      <c r="X42" s="5"/>
      <c r="Y42" s="67"/>
      <c r="Z42" s="67"/>
      <c r="AA42" s="67"/>
      <c r="AB42" s="67"/>
      <c r="AC42" s="67"/>
      <c r="AD42" s="67"/>
      <c r="AE42" s="67"/>
      <c r="AF42" s="67"/>
      <c r="AG42" s="67"/>
      <c r="AH42" s="67"/>
    </row>
    <row r="43" ht="12.0" hidden="1" customHeight="1">
      <c r="A43" s="12" t="s">
        <v>2114</v>
      </c>
      <c r="B43" s="12">
        <v>21.0</v>
      </c>
      <c r="C43" s="42" t="s">
        <v>1531</v>
      </c>
      <c r="D43" s="78" t="s">
        <v>2007</v>
      </c>
      <c r="E43" s="78" t="s">
        <v>2001</v>
      </c>
      <c r="F43" s="12" t="s">
        <v>1133</v>
      </c>
      <c r="G43" s="26"/>
      <c r="H43" s="5"/>
      <c r="I43" s="12"/>
      <c r="J43" s="12" t="s">
        <v>2124</v>
      </c>
      <c r="K43" s="82">
        <v>3.0</v>
      </c>
      <c r="L43" s="12" t="s">
        <v>2010</v>
      </c>
      <c r="M43" s="12" t="s">
        <v>2122</v>
      </c>
      <c r="N43" s="83" t="s">
        <v>2125</v>
      </c>
      <c r="O43" s="5"/>
      <c r="P43" s="5"/>
      <c r="Q43" s="5"/>
      <c r="R43" s="5"/>
      <c r="S43" s="80"/>
      <c r="T43" s="42" t="s">
        <v>2003</v>
      </c>
      <c r="U43" s="49" t="s">
        <v>22</v>
      </c>
      <c r="V43" s="90"/>
      <c r="W43" s="81"/>
      <c r="X43" s="5"/>
      <c r="Y43" s="67"/>
      <c r="Z43" s="67"/>
      <c r="AA43" s="67"/>
      <c r="AB43" s="67"/>
      <c r="AC43" s="67"/>
      <c r="AD43" s="67"/>
      <c r="AE43" s="67"/>
      <c r="AF43" s="67"/>
      <c r="AG43" s="67"/>
      <c r="AH43" s="67"/>
    </row>
    <row r="44" ht="12.0" hidden="1" customHeight="1">
      <c r="A44" s="12" t="s">
        <v>2114</v>
      </c>
      <c r="B44" s="12">
        <v>22.0</v>
      </c>
      <c r="C44" s="42" t="s">
        <v>1531</v>
      </c>
      <c r="D44" s="78" t="s">
        <v>2007</v>
      </c>
      <c r="E44" s="78" t="s">
        <v>2001</v>
      </c>
      <c r="F44" s="12" t="s">
        <v>1133</v>
      </c>
      <c r="G44" s="26"/>
      <c r="H44" s="5"/>
      <c r="I44" s="12"/>
      <c r="J44" s="12" t="s">
        <v>2124</v>
      </c>
      <c r="K44" s="82">
        <v>4.0</v>
      </c>
      <c r="L44" s="12" t="s">
        <v>2010</v>
      </c>
      <c r="M44" s="12" t="s">
        <v>2122</v>
      </c>
      <c r="N44" s="83" t="s">
        <v>2126</v>
      </c>
      <c r="O44" s="5"/>
      <c r="P44" s="5"/>
      <c r="Q44" s="5"/>
      <c r="R44" s="5"/>
      <c r="S44" s="80"/>
      <c r="T44" s="42" t="s">
        <v>2003</v>
      </c>
      <c r="U44" s="49" t="s">
        <v>22</v>
      </c>
      <c r="V44" s="90"/>
      <c r="W44" s="81"/>
      <c r="X44" s="5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 ht="12.0" hidden="1" customHeight="1">
      <c r="A45" s="12" t="s">
        <v>2114</v>
      </c>
      <c r="B45" s="12">
        <v>23.0</v>
      </c>
      <c r="C45" s="42" t="s">
        <v>1531</v>
      </c>
      <c r="D45" s="78" t="s">
        <v>2007</v>
      </c>
      <c r="E45" s="78" t="s">
        <v>2001</v>
      </c>
      <c r="F45" s="12" t="s">
        <v>1133</v>
      </c>
      <c r="G45" s="26"/>
      <c r="H45" s="5"/>
      <c r="I45" s="12"/>
      <c r="J45" s="12" t="s">
        <v>2124</v>
      </c>
      <c r="K45" s="82">
        <v>5.0</v>
      </c>
      <c r="L45" s="12" t="s">
        <v>2010</v>
      </c>
      <c r="M45" s="12" t="s">
        <v>2122</v>
      </c>
      <c r="N45" s="83" t="s">
        <v>2127</v>
      </c>
      <c r="O45" s="5"/>
      <c r="P45" s="5"/>
      <c r="Q45" s="5"/>
      <c r="R45" s="5"/>
      <c r="S45" s="80"/>
      <c r="T45" s="42" t="s">
        <v>2003</v>
      </c>
      <c r="U45" s="49" t="s">
        <v>22</v>
      </c>
      <c r="V45" s="90"/>
      <c r="W45" s="81"/>
      <c r="X45" s="5"/>
      <c r="Y45" s="67"/>
      <c r="Z45" s="67"/>
      <c r="AA45" s="67"/>
      <c r="AB45" s="67"/>
      <c r="AC45" s="67"/>
      <c r="AD45" s="67"/>
      <c r="AE45" s="67"/>
      <c r="AF45" s="67"/>
      <c r="AG45" s="67"/>
      <c r="AH45" s="67"/>
    </row>
    <row r="46" ht="12.0" customHeight="1">
      <c r="A46" s="12" t="s">
        <v>2007</v>
      </c>
      <c r="B46" s="12">
        <v>509.0</v>
      </c>
      <c r="C46" s="42" t="s">
        <v>1531</v>
      </c>
      <c r="D46" s="78" t="s">
        <v>2007</v>
      </c>
      <c r="E46" s="78" t="s">
        <v>2059</v>
      </c>
      <c r="F46" s="12" t="s">
        <v>1133</v>
      </c>
      <c r="G46" s="26"/>
      <c r="H46" s="5"/>
      <c r="I46" s="12"/>
      <c r="J46" s="12" t="s">
        <v>2128</v>
      </c>
      <c r="K46" s="82">
        <v>1.0</v>
      </c>
      <c r="L46" s="12" t="s">
        <v>1645</v>
      </c>
      <c r="M46" s="12" t="s">
        <v>2119</v>
      </c>
      <c r="N46" s="83" t="s">
        <v>2129</v>
      </c>
      <c r="O46" s="5"/>
      <c r="P46" s="5"/>
      <c r="Q46" s="5"/>
      <c r="R46" s="5"/>
      <c r="S46" s="80"/>
      <c r="T46" s="42" t="s">
        <v>2003</v>
      </c>
      <c r="U46" s="49" t="s">
        <v>22</v>
      </c>
      <c r="V46" s="90"/>
      <c r="W46" s="81"/>
      <c r="X46" s="5"/>
      <c r="Y46" s="67"/>
      <c r="Z46" s="67"/>
      <c r="AA46" s="67"/>
      <c r="AB46" s="67"/>
      <c r="AC46" s="67"/>
      <c r="AD46" s="67"/>
      <c r="AE46" s="67"/>
      <c r="AF46" s="67"/>
      <c r="AG46" s="67"/>
      <c r="AH46" s="67"/>
    </row>
    <row r="47" ht="12.0" customHeight="1">
      <c r="A47" s="12" t="s">
        <v>2079</v>
      </c>
      <c r="B47" s="12">
        <v>676.0</v>
      </c>
      <c r="C47" s="42" t="s">
        <v>1531</v>
      </c>
      <c r="D47" s="78" t="s">
        <v>2007</v>
      </c>
      <c r="E47" s="78" t="s">
        <v>2059</v>
      </c>
      <c r="F47" s="12" t="s">
        <v>1133</v>
      </c>
      <c r="G47" s="26"/>
      <c r="H47" s="5"/>
      <c r="I47" s="12"/>
      <c r="J47" s="12" t="s">
        <v>2128</v>
      </c>
      <c r="K47" s="82">
        <v>3.0</v>
      </c>
      <c r="L47" s="12" t="s">
        <v>2081</v>
      </c>
      <c r="M47" s="12" t="s">
        <v>2085</v>
      </c>
      <c r="N47" s="83" t="s">
        <v>2130</v>
      </c>
      <c r="O47" s="5"/>
      <c r="P47" s="5"/>
      <c r="Q47" s="5"/>
      <c r="R47" s="5"/>
      <c r="S47" s="80"/>
      <c r="T47" s="42" t="s">
        <v>2003</v>
      </c>
      <c r="U47" s="49" t="s">
        <v>22</v>
      </c>
      <c r="V47" s="90"/>
      <c r="W47" s="81"/>
      <c r="X47" s="5"/>
      <c r="Y47" s="67"/>
      <c r="Z47" s="67"/>
      <c r="AA47" s="67"/>
      <c r="AB47" s="67"/>
      <c r="AC47" s="67"/>
      <c r="AD47" s="67"/>
      <c r="AE47" s="67"/>
      <c r="AF47" s="67"/>
      <c r="AG47" s="67"/>
      <c r="AH47" s="67"/>
    </row>
    <row r="48" ht="12.0" customHeight="1">
      <c r="A48" s="12" t="s">
        <v>2131</v>
      </c>
      <c r="B48" s="12">
        <v>30.0</v>
      </c>
      <c r="C48" s="42" t="s">
        <v>1531</v>
      </c>
      <c r="D48" s="78" t="s">
        <v>2007</v>
      </c>
      <c r="E48" s="78" t="s">
        <v>2059</v>
      </c>
      <c r="F48" s="12" t="s">
        <v>1133</v>
      </c>
      <c r="G48" s="26"/>
      <c r="H48" s="5"/>
      <c r="I48" s="12"/>
      <c r="J48" s="12" t="s">
        <v>2128</v>
      </c>
      <c r="K48" s="82">
        <v>8.0</v>
      </c>
      <c r="L48" s="12" t="s">
        <v>2010</v>
      </c>
      <c r="M48" s="12" t="s">
        <v>2122</v>
      </c>
      <c r="N48" s="83" t="s">
        <v>2132</v>
      </c>
      <c r="O48" s="5"/>
      <c r="P48" s="5"/>
      <c r="Q48" s="5"/>
      <c r="R48" s="5"/>
      <c r="S48" s="80"/>
      <c r="T48" s="42" t="s">
        <v>2003</v>
      </c>
      <c r="U48" s="49" t="s">
        <v>22</v>
      </c>
      <c r="V48" s="90"/>
      <c r="W48" s="81"/>
      <c r="X48" s="5"/>
      <c r="Y48" s="67"/>
      <c r="Z48" s="67"/>
      <c r="AA48" s="67"/>
      <c r="AB48" s="67"/>
      <c r="AC48" s="67"/>
      <c r="AD48" s="67"/>
      <c r="AE48" s="67"/>
      <c r="AF48" s="67"/>
      <c r="AG48" s="67"/>
      <c r="AH48" s="67"/>
    </row>
    <row r="49" ht="12.0" hidden="1" customHeight="1">
      <c r="A49" s="5" t="s">
        <v>2133</v>
      </c>
      <c r="B49" s="12">
        <v>6.0</v>
      </c>
      <c r="C49" s="42" t="s">
        <v>1531</v>
      </c>
      <c r="D49" s="78" t="s">
        <v>2134</v>
      </c>
      <c r="E49" s="78" t="s">
        <v>2001</v>
      </c>
      <c r="F49" s="12" t="s">
        <v>1133</v>
      </c>
      <c r="G49" s="26"/>
      <c r="H49" s="5"/>
      <c r="I49" s="12"/>
      <c r="J49" s="12" t="s">
        <v>2135</v>
      </c>
      <c r="K49" s="82">
        <v>6.0</v>
      </c>
      <c r="L49" s="5" t="s">
        <v>2136</v>
      </c>
      <c r="M49" s="5" t="s">
        <v>2137</v>
      </c>
      <c r="N49" s="83" t="s">
        <v>2138</v>
      </c>
      <c r="O49" s="5"/>
      <c r="P49" s="5"/>
      <c r="Q49" s="5"/>
      <c r="R49" s="5"/>
      <c r="S49" s="80"/>
      <c r="T49" s="42" t="s">
        <v>2003</v>
      </c>
      <c r="U49" s="34" t="s">
        <v>22</v>
      </c>
      <c r="V49" s="81"/>
      <c r="W49" s="81"/>
      <c r="X49" s="5"/>
      <c r="Y49" s="67"/>
      <c r="Z49" s="67"/>
      <c r="AA49" s="67"/>
      <c r="AB49" s="67"/>
      <c r="AC49" s="67"/>
      <c r="AD49" s="67"/>
      <c r="AE49" s="67"/>
      <c r="AF49" s="67"/>
      <c r="AG49" s="67"/>
      <c r="AH49" s="67"/>
    </row>
    <row r="50" ht="12.0" hidden="1" customHeight="1">
      <c r="A50" s="12" t="s">
        <v>2139</v>
      </c>
      <c r="B50" s="12">
        <v>1.0</v>
      </c>
      <c r="C50" s="42" t="s">
        <v>1531</v>
      </c>
      <c r="D50" s="78" t="s">
        <v>2134</v>
      </c>
      <c r="E50" s="78" t="s">
        <v>2001</v>
      </c>
      <c r="F50" s="12" t="s">
        <v>1133</v>
      </c>
      <c r="G50" s="26"/>
      <c r="H50" s="5"/>
      <c r="I50" s="5"/>
      <c r="J50" s="12" t="s">
        <v>2140</v>
      </c>
      <c r="K50" s="82">
        <v>1.0</v>
      </c>
      <c r="L50" s="5" t="s">
        <v>2141</v>
      </c>
      <c r="M50" s="5" t="s">
        <v>2142</v>
      </c>
      <c r="N50" s="93" t="s">
        <v>2143</v>
      </c>
      <c r="O50" s="5"/>
      <c r="P50" s="5"/>
      <c r="Q50" s="5"/>
      <c r="R50" s="5"/>
      <c r="S50" s="80"/>
      <c r="T50" s="42" t="s">
        <v>2003</v>
      </c>
      <c r="U50" s="49" t="s">
        <v>22</v>
      </c>
      <c r="V50" s="81"/>
      <c r="W50" s="81"/>
      <c r="X50" s="5"/>
      <c r="Y50" s="67"/>
      <c r="Z50" s="67"/>
      <c r="AA50" s="67"/>
      <c r="AB50" s="67"/>
      <c r="AC50" s="67"/>
      <c r="AD50" s="67"/>
      <c r="AE50" s="67"/>
      <c r="AF50" s="67"/>
      <c r="AG50" s="67"/>
      <c r="AH50" s="67"/>
    </row>
    <row r="51" ht="12.0" hidden="1" customHeight="1">
      <c r="A51" s="12" t="s">
        <v>2144</v>
      </c>
      <c r="B51" s="12">
        <v>50.0</v>
      </c>
      <c r="C51" s="42" t="s">
        <v>1531</v>
      </c>
      <c r="D51" s="78" t="s">
        <v>2091</v>
      </c>
      <c r="E51" s="78" t="s">
        <v>2001</v>
      </c>
      <c r="F51" s="12" t="s">
        <v>1133</v>
      </c>
      <c r="G51" s="26"/>
      <c r="H51" s="5"/>
      <c r="I51" s="12"/>
      <c r="J51" s="5"/>
      <c r="K51" s="79"/>
      <c r="L51" s="12" t="s">
        <v>2145</v>
      </c>
      <c r="M51" s="12" t="s">
        <v>2094</v>
      </c>
      <c r="N51" s="83" t="s">
        <v>2146</v>
      </c>
      <c r="O51" s="5"/>
      <c r="P51" s="5"/>
      <c r="Q51" s="5"/>
      <c r="R51" s="5"/>
      <c r="S51" s="80"/>
      <c r="T51" s="42" t="s">
        <v>2003</v>
      </c>
      <c r="U51" s="34" t="s">
        <v>22</v>
      </c>
      <c r="V51" s="81"/>
      <c r="W51" s="81"/>
      <c r="X51" s="12"/>
      <c r="Y51" s="67"/>
      <c r="Z51" s="67"/>
      <c r="AA51" s="67"/>
      <c r="AB51" s="67"/>
      <c r="AC51" s="67"/>
      <c r="AD51" s="67"/>
      <c r="AE51" s="67"/>
      <c r="AF51" s="67"/>
      <c r="AG51" s="67"/>
      <c r="AH51" s="67"/>
    </row>
    <row r="52" ht="12.0" customHeight="1">
      <c r="A52" s="12" t="s">
        <v>2147</v>
      </c>
      <c r="B52" s="12">
        <v>35.0</v>
      </c>
      <c r="C52" s="42" t="s">
        <v>2148</v>
      </c>
      <c r="D52" s="78" t="s">
        <v>2051</v>
      </c>
      <c r="E52" s="78" t="s">
        <v>2059</v>
      </c>
      <c r="F52" s="12" t="s">
        <v>1133</v>
      </c>
      <c r="G52" s="26"/>
      <c r="H52" s="5"/>
      <c r="I52" s="5"/>
      <c r="J52" s="5"/>
      <c r="K52" s="79"/>
      <c r="L52" s="12" t="s">
        <v>2149</v>
      </c>
      <c r="M52" s="12" t="s">
        <v>2150</v>
      </c>
      <c r="N52" s="83" t="s">
        <v>2151</v>
      </c>
      <c r="O52" s="5"/>
      <c r="P52" s="5"/>
      <c r="Q52" s="5"/>
      <c r="R52" s="5"/>
      <c r="S52" s="80"/>
      <c r="T52" s="42" t="s">
        <v>2003</v>
      </c>
      <c r="U52" s="49" t="s">
        <v>22</v>
      </c>
      <c r="V52" s="81"/>
      <c r="W52" s="81"/>
      <c r="X52" s="5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 ht="12.0" customHeight="1">
      <c r="A53" s="12" t="s">
        <v>2152</v>
      </c>
      <c r="B53" s="12">
        <v>1.0</v>
      </c>
      <c r="C53" s="42" t="s">
        <v>2153</v>
      </c>
      <c r="D53" s="78" t="s">
        <v>2000</v>
      </c>
      <c r="E53" s="78" t="s">
        <v>2059</v>
      </c>
      <c r="F53" s="12" t="s">
        <v>1133</v>
      </c>
      <c r="G53" s="26"/>
      <c r="H53" s="5"/>
      <c r="I53" s="5"/>
      <c r="J53" s="5"/>
      <c r="K53" s="79"/>
      <c r="L53" s="12" t="s">
        <v>2154</v>
      </c>
      <c r="M53" s="12" t="s">
        <v>2155</v>
      </c>
      <c r="N53" s="83" t="s">
        <v>2156</v>
      </c>
      <c r="O53" s="5"/>
      <c r="P53" s="5"/>
      <c r="Q53" s="5"/>
      <c r="R53" s="5"/>
      <c r="S53" s="80"/>
      <c r="T53" s="42" t="s">
        <v>2003</v>
      </c>
      <c r="U53" s="49" t="s">
        <v>22</v>
      </c>
      <c r="V53" s="81"/>
      <c r="W53" s="81"/>
      <c r="X53" s="5"/>
      <c r="Y53" s="67"/>
      <c r="Z53" s="67"/>
      <c r="AA53" s="67"/>
      <c r="AB53" s="67"/>
      <c r="AC53" s="67"/>
      <c r="AD53" s="67"/>
      <c r="AE53" s="67"/>
      <c r="AF53" s="67"/>
      <c r="AG53" s="67"/>
      <c r="AH53" s="67"/>
    </row>
    <row r="54" ht="12.0" customHeight="1">
      <c r="A54" s="5" t="s">
        <v>2057</v>
      </c>
      <c r="B54" s="12">
        <v>2.0</v>
      </c>
      <c r="C54" s="26" t="s">
        <v>1634</v>
      </c>
      <c r="D54" s="78" t="s">
        <v>2058</v>
      </c>
      <c r="E54" s="78" t="s">
        <v>2059</v>
      </c>
      <c r="F54" s="5" t="s">
        <v>1141</v>
      </c>
      <c r="G54" s="26" t="s">
        <v>1531</v>
      </c>
      <c r="H54" s="5" t="s">
        <v>2058</v>
      </c>
      <c r="I54" s="12">
        <v>205.0</v>
      </c>
      <c r="J54" s="12" t="s">
        <v>2157</v>
      </c>
      <c r="K54" s="82">
        <v>2.0</v>
      </c>
      <c r="L54" s="5" t="s">
        <v>1587</v>
      </c>
      <c r="M54" s="5" t="s">
        <v>2158</v>
      </c>
      <c r="N54" s="83" t="s">
        <v>2159</v>
      </c>
      <c r="O54" s="5"/>
      <c r="P54" s="5"/>
      <c r="Q54" s="5"/>
      <c r="R54" s="5"/>
      <c r="S54" s="80"/>
      <c r="T54" s="26" t="s">
        <v>2006</v>
      </c>
      <c r="U54" s="34" t="s">
        <v>22</v>
      </c>
      <c r="V54" s="81"/>
      <c r="W54" s="81"/>
      <c r="X54" s="5"/>
      <c r="Y54" s="67"/>
      <c r="Z54" s="67"/>
      <c r="AA54" s="67"/>
      <c r="AB54" s="67"/>
      <c r="AC54" s="67"/>
      <c r="AD54" s="67"/>
      <c r="AE54" s="67"/>
      <c r="AF54" s="67"/>
      <c r="AG54" s="67"/>
      <c r="AH54" s="67"/>
    </row>
    <row r="55" ht="12.0" customHeight="1">
      <c r="A55" s="12" t="s">
        <v>2057</v>
      </c>
      <c r="B55" s="12">
        <v>3.0</v>
      </c>
      <c r="C55" s="26" t="s">
        <v>1634</v>
      </c>
      <c r="D55" s="78" t="s">
        <v>2058</v>
      </c>
      <c r="E55" s="78" t="s">
        <v>2059</v>
      </c>
      <c r="F55" s="12" t="s">
        <v>1141</v>
      </c>
      <c r="G55" s="26" t="s">
        <v>1531</v>
      </c>
      <c r="H55" s="5" t="s">
        <v>2058</v>
      </c>
      <c r="I55" s="12">
        <v>206.0</v>
      </c>
      <c r="J55" s="12" t="s">
        <v>2157</v>
      </c>
      <c r="K55" s="82">
        <v>3.0</v>
      </c>
      <c r="L55" s="5" t="s">
        <v>1587</v>
      </c>
      <c r="M55" s="5" t="s">
        <v>2158</v>
      </c>
      <c r="N55" s="83" t="s">
        <v>2159</v>
      </c>
      <c r="O55" s="5"/>
      <c r="P55" s="5"/>
      <c r="Q55" s="5"/>
      <c r="R55" s="5"/>
      <c r="S55" s="80"/>
      <c r="T55" s="26" t="s">
        <v>2006</v>
      </c>
      <c r="U55" s="34" t="s">
        <v>22</v>
      </c>
      <c r="V55" s="81"/>
      <c r="W55" s="81"/>
      <c r="X55" s="5"/>
      <c r="Y55" s="67"/>
      <c r="Z55" s="67"/>
      <c r="AA55" s="67"/>
      <c r="AB55" s="67"/>
      <c r="AC55" s="67"/>
      <c r="AD55" s="67"/>
      <c r="AE55" s="67"/>
      <c r="AF55" s="67"/>
      <c r="AG55" s="67"/>
      <c r="AH55" s="67"/>
    </row>
    <row r="56" ht="12.0" customHeight="1">
      <c r="A56" s="5" t="s">
        <v>2057</v>
      </c>
      <c r="B56" s="5">
        <v>5.0</v>
      </c>
      <c r="C56" s="26" t="s">
        <v>1634</v>
      </c>
      <c r="D56" s="78" t="s">
        <v>2058</v>
      </c>
      <c r="E56" s="78" t="s">
        <v>2059</v>
      </c>
      <c r="F56" s="5" t="s">
        <v>1141</v>
      </c>
      <c r="G56" s="26" t="s">
        <v>1531</v>
      </c>
      <c r="H56" s="5" t="s">
        <v>2058</v>
      </c>
      <c r="I56" s="5">
        <v>208.0</v>
      </c>
      <c r="J56" s="12" t="s">
        <v>2157</v>
      </c>
      <c r="K56" s="82">
        <v>5.0</v>
      </c>
      <c r="L56" s="5" t="s">
        <v>1587</v>
      </c>
      <c r="M56" s="5" t="s">
        <v>2158</v>
      </c>
      <c r="N56" s="83" t="s">
        <v>2159</v>
      </c>
      <c r="O56" s="5"/>
      <c r="P56" s="5"/>
      <c r="Q56" s="5"/>
      <c r="R56" s="5"/>
      <c r="S56" s="80"/>
      <c r="T56" s="26" t="s">
        <v>2006</v>
      </c>
      <c r="U56" s="34" t="s">
        <v>22</v>
      </c>
      <c r="V56" s="81"/>
      <c r="W56" s="81"/>
      <c r="X56" s="5"/>
      <c r="Y56" s="67"/>
      <c r="Z56" s="67"/>
      <c r="AA56" s="67"/>
      <c r="AB56" s="67"/>
      <c r="AC56" s="67"/>
      <c r="AD56" s="67"/>
      <c r="AE56" s="67"/>
      <c r="AF56" s="67"/>
      <c r="AG56" s="67"/>
      <c r="AH56" s="67"/>
    </row>
    <row r="57" ht="12.0" customHeight="1">
      <c r="A57" s="5" t="s">
        <v>2057</v>
      </c>
      <c r="B57" s="5">
        <v>6.0</v>
      </c>
      <c r="C57" s="26" t="s">
        <v>1634</v>
      </c>
      <c r="D57" s="78" t="s">
        <v>2058</v>
      </c>
      <c r="E57" s="78" t="s">
        <v>2059</v>
      </c>
      <c r="F57" s="5" t="s">
        <v>1141</v>
      </c>
      <c r="G57" s="26" t="s">
        <v>1531</v>
      </c>
      <c r="H57" s="5" t="s">
        <v>2058</v>
      </c>
      <c r="I57" s="5">
        <v>209.0</v>
      </c>
      <c r="J57" s="12" t="s">
        <v>2157</v>
      </c>
      <c r="K57" s="82">
        <v>6.0</v>
      </c>
      <c r="L57" s="5" t="s">
        <v>1587</v>
      </c>
      <c r="M57" s="5" t="s">
        <v>2158</v>
      </c>
      <c r="N57" s="83" t="s">
        <v>2159</v>
      </c>
      <c r="O57" s="5"/>
      <c r="P57" s="5"/>
      <c r="Q57" s="5"/>
      <c r="R57" s="5"/>
      <c r="S57" s="80"/>
      <c r="T57" s="26" t="s">
        <v>2006</v>
      </c>
      <c r="U57" s="34" t="s">
        <v>22</v>
      </c>
      <c r="V57" s="81"/>
      <c r="W57" s="81"/>
      <c r="X57" s="5"/>
      <c r="Y57" s="67"/>
      <c r="Z57" s="67"/>
      <c r="AA57" s="67"/>
      <c r="AB57" s="67"/>
      <c r="AC57" s="67"/>
      <c r="AD57" s="67"/>
      <c r="AE57" s="67"/>
      <c r="AF57" s="67"/>
      <c r="AG57" s="67"/>
      <c r="AH57" s="67"/>
    </row>
    <row r="58" ht="12.0" customHeight="1">
      <c r="A58" s="5" t="s">
        <v>2057</v>
      </c>
      <c r="B58" s="5">
        <v>7.0</v>
      </c>
      <c r="C58" s="26" t="s">
        <v>1634</v>
      </c>
      <c r="D58" s="78" t="s">
        <v>2058</v>
      </c>
      <c r="E58" s="78" t="s">
        <v>2059</v>
      </c>
      <c r="F58" s="5" t="s">
        <v>1141</v>
      </c>
      <c r="G58" s="26" t="s">
        <v>1531</v>
      </c>
      <c r="H58" s="5" t="s">
        <v>2058</v>
      </c>
      <c r="I58" s="5">
        <v>210.0</v>
      </c>
      <c r="J58" s="12" t="s">
        <v>2157</v>
      </c>
      <c r="K58" s="82">
        <v>7.0</v>
      </c>
      <c r="L58" s="5" t="s">
        <v>1587</v>
      </c>
      <c r="M58" s="5" t="s">
        <v>2158</v>
      </c>
      <c r="N58" s="83" t="s">
        <v>2159</v>
      </c>
      <c r="O58" s="5"/>
      <c r="P58" s="5"/>
      <c r="Q58" s="5"/>
      <c r="R58" s="5"/>
      <c r="S58" s="80"/>
      <c r="T58" s="26" t="s">
        <v>2006</v>
      </c>
      <c r="U58" s="34" t="s">
        <v>22</v>
      </c>
      <c r="V58" s="81"/>
      <c r="W58" s="81"/>
      <c r="X58" s="5"/>
      <c r="Y58" s="67"/>
      <c r="Z58" s="67"/>
      <c r="AA58" s="67"/>
      <c r="AB58" s="67"/>
      <c r="AC58" s="67"/>
      <c r="AD58" s="67"/>
      <c r="AE58" s="67"/>
      <c r="AF58" s="67"/>
      <c r="AG58" s="67"/>
      <c r="AH58" s="67"/>
    </row>
    <row r="59" ht="12.0" customHeight="1">
      <c r="A59" s="5" t="s">
        <v>2057</v>
      </c>
      <c r="B59" s="12">
        <v>9.0</v>
      </c>
      <c r="C59" s="26" t="s">
        <v>1634</v>
      </c>
      <c r="D59" s="78" t="s">
        <v>2058</v>
      </c>
      <c r="E59" s="78" t="s">
        <v>2059</v>
      </c>
      <c r="F59" s="5" t="s">
        <v>1141</v>
      </c>
      <c r="G59" s="26" t="s">
        <v>1531</v>
      </c>
      <c r="H59" s="5" t="s">
        <v>2058</v>
      </c>
      <c r="I59" s="12">
        <v>213.0</v>
      </c>
      <c r="J59" s="12" t="s">
        <v>2157</v>
      </c>
      <c r="K59" s="82" t="s">
        <v>2160</v>
      </c>
      <c r="L59" s="5" t="s">
        <v>1587</v>
      </c>
      <c r="M59" s="5" t="s">
        <v>2158</v>
      </c>
      <c r="N59" s="83" t="s">
        <v>2159</v>
      </c>
      <c r="O59" s="5" t="s">
        <v>2058</v>
      </c>
      <c r="P59" s="12">
        <v>214.0</v>
      </c>
      <c r="Q59" s="5" t="s">
        <v>1587</v>
      </c>
      <c r="R59" s="5" t="s">
        <v>2158</v>
      </c>
      <c r="S59" s="83" t="s">
        <v>2159</v>
      </c>
      <c r="T59" s="26" t="s">
        <v>2006</v>
      </c>
      <c r="U59" s="34" t="s">
        <v>22</v>
      </c>
      <c r="V59" s="81"/>
      <c r="W59" s="81"/>
      <c r="X59" s="5"/>
      <c r="Y59" s="67"/>
      <c r="Z59" s="67"/>
      <c r="AA59" s="67"/>
      <c r="AB59" s="67"/>
      <c r="AC59" s="67"/>
      <c r="AD59" s="67"/>
      <c r="AE59" s="67"/>
      <c r="AF59" s="67"/>
      <c r="AG59" s="67"/>
      <c r="AH59" s="67"/>
    </row>
    <row r="60" ht="12.0" customHeight="1">
      <c r="A60" s="5" t="s">
        <v>2161</v>
      </c>
      <c r="B60" s="12">
        <v>3.0</v>
      </c>
      <c r="C60" s="26" t="s">
        <v>1634</v>
      </c>
      <c r="D60" s="78" t="s">
        <v>2162</v>
      </c>
      <c r="E60" s="78" t="s">
        <v>2059</v>
      </c>
      <c r="F60" s="5" t="s">
        <v>1141</v>
      </c>
      <c r="G60" s="26" t="s">
        <v>1650</v>
      </c>
      <c r="H60" s="5" t="s">
        <v>2163</v>
      </c>
      <c r="I60" s="12">
        <v>34.0</v>
      </c>
      <c r="J60" s="12" t="s">
        <v>2164</v>
      </c>
      <c r="K60" s="82" t="s">
        <v>2165</v>
      </c>
      <c r="L60" s="5" t="s">
        <v>2166</v>
      </c>
      <c r="M60" s="5" t="s">
        <v>2167</v>
      </c>
      <c r="N60" s="94" t="s">
        <v>2168</v>
      </c>
      <c r="O60" s="5" t="s">
        <v>2163</v>
      </c>
      <c r="P60" s="12">
        <v>35.0</v>
      </c>
      <c r="Q60" s="5" t="s">
        <v>2166</v>
      </c>
      <c r="R60" s="5" t="s">
        <v>2167</v>
      </c>
      <c r="S60" s="94" t="s">
        <v>2169</v>
      </c>
      <c r="T60" s="26" t="s">
        <v>2006</v>
      </c>
      <c r="U60" s="34" t="s">
        <v>22</v>
      </c>
      <c r="V60" s="81"/>
      <c r="W60" s="81"/>
      <c r="X60" s="5"/>
      <c r="Y60" s="67"/>
      <c r="Z60" s="67"/>
      <c r="AA60" s="67"/>
      <c r="AB60" s="67"/>
      <c r="AC60" s="67"/>
      <c r="AD60" s="67"/>
      <c r="AE60" s="67"/>
      <c r="AF60" s="67"/>
      <c r="AG60" s="67"/>
      <c r="AH60" s="67"/>
    </row>
    <row r="61" ht="12.0" hidden="1" customHeight="1">
      <c r="A61" s="5" t="s">
        <v>2161</v>
      </c>
      <c r="B61" s="5">
        <v>4.0</v>
      </c>
      <c r="C61" s="26" t="s">
        <v>1634</v>
      </c>
      <c r="D61" s="78" t="s">
        <v>2162</v>
      </c>
      <c r="E61" s="78" t="s">
        <v>2001</v>
      </c>
      <c r="F61" s="5" t="s">
        <v>1141</v>
      </c>
      <c r="G61" s="26" t="s">
        <v>1650</v>
      </c>
      <c r="H61" s="5" t="s">
        <v>2163</v>
      </c>
      <c r="I61" s="5">
        <v>37.0</v>
      </c>
      <c r="J61" s="12" t="s">
        <v>2170</v>
      </c>
      <c r="K61" s="82" t="s">
        <v>2171</v>
      </c>
      <c r="L61" s="5" t="s">
        <v>2166</v>
      </c>
      <c r="M61" s="5" t="s">
        <v>2167</v>
      </c>
      <c r="N61" s="80" t="s">
        <v>2172</v>
      </c>
      <c r="O61" s="5" t="s">
        <v>2163</v>
      </c>
      <c r="P61" s="12">
        <v>38.0</v>
      </c>
      <c r="Q61" s="5" t="s">
        <v>2166</v>
      </c>
      <c r="R61" s="5" t="s">
        <v>2167</v>
      </c>
      <c r="S61" s="83" t="s">
        <v>2173</v>
      </c>
      <c r="T61" s="26" t="s">
        <v>2006</v>
      </c>
      <c r="U61" s="34" t="s">
        <v>22</v>
      </c>
      <c r="V61" s="81"/>
      <c r="W61" s="81"/>
      <c r="X61" s="5"/>
      <c r="Y61" s="67"/>
      <c r="Z61" s="67"/>
      <c r="AA61" s="67"/>
      <c r="AB61" s="67"/>
      <c r="AC61" s="67"/>
      <c r="AD61" s="67"/>
      <c r="AE61" s="67"/>
      <c r="AF61" s="67"/>
      <c r="AG61" s="67"/>
      <c r="AH61" s="67"/>
    </row>
    <row r="62" ht="12.0" hidden="1" customHeight="1">
      <c r="A62" s="5" t="s">
        <v>2161</v>
      </c>
      <c r="B62" s="5">
        <v>5.0</v>
      </c>
      <c r="C62" s="26" t="s">
        <v>1634</v>
      </c>
      <c r="D62" s="78" t="s">
        <v>2162</v>
      </c>
      <c r="E62" s="78" t="s">
        <v>2001</v>
      </c>
      <c r="F62" s="5" t="s">
        <v>1141</v>
      </c>
      <c r="G62" s="26" t="s">
        <v>1650</v>
      </c>
      <c r="H62" s="5" t="s">
        <v>2163</v>
      </c>
      <c r="I62" s="5">
        <v>39.0</v>
      </c>
      <c r="J62" s="12" t="s">
        <v>2170</v>
      </c>
      <c r="K62" s="82">
        <v>3.0</v>
      </c>
      <c r="L62" s="5" t="s">
        <v>2166</v>
      </c>
      <c r="M62" s="5" t="s">
        <v>2167</v>
      </c>
      <c r="N62" s="80" t="s">
        <v>2174</v>
      </c>
      <c r="O62" s="5" t="s">
        <v>2163</v>
      </c>
      <c r="P62" s="12">
        <v>40.0</v>
      </c>
      <c r="Q62" s="5" t="s">
        <v>2166</v>
      </c>
      <c r="R62" s="5" t="s">
        <v>2167</v>
      </c>
      <c r="S62" s="83" t="s">
        <v>2175</v>
      </c>
      <c r="T62" s="26" t="s">
        <v>2006</v>
      </c>
      <c r="U62" s="34" t="s">
        <v>22</v>
      </c>
      <c r="V62" s="81"/>
      <c r="W62" s="81"/>
      <c r="X62" s="12" t="s">
        <v>2176</v>
      </c>
      <c r="Y62" s="67"/>
      <c r="Z62" s="67"/>
      <c r="AA62" s="67"/>
      <c r="AB62" s="67"/>
      <c r="AC62" s="67"/>
      <c r="AD62" s="67"/>
      <c r="AE62" s="67"/>
      <c r="AF62" s="67"/>
      <c r="AG62" s="67"/>
      <c r="AH62" s="67"/>
    </row>
    <row r="63" ht="12.0" customHeight="1">
      <c r="A63" s="5" t="s">
        <v>2161</v>
      </c>
      <c r="B63" s="5">
        <v>8.0</v>
      </c>
      <c r="C63" s="26" t="s">
        <v>1634</v>
      </c>
      <c r="D63" s="78" t="s">
        <v>2162</v>
      </c>
      <c r="E63" s="78" t="s">
        <v>2059</v>
      </c>
      <c r="F63" s="5" t="s">
        <v>1141</v>
      </c>
      <c r="G63" s="26" t="s">
        <v>1650</v>
      </c>
      <c r="H63" s="5" t="s">
        <v>2163</v>
      </c>
      <c r="I63" s="5">
        <v>45.0</v>
      </c>
      <c r="J63" s="5"/>
      <c r="K63" s="79"/>
      <c r="L63" s="5" t="s">
        <v>2166</v>
      </c>
      <c r="M63" s="5" t="s">
        <v>2167</v>
      </c>
      <c r="N63" s="93" t="s">
        <v>2177</v>
      </c>
      <c r="O63" s="5" t="s">
        <v>2163</v>
      </c>
      <c r="P63" s="12">
        <v>46.0</v>
      </c>
      <c r="Q63" s="5" t="s">
        <v>2166</v>
      </c>
      <c r="R63" s="5" t="s">
        <v>2167</v>
      </c>
      <c r="S63" s="94" t="s">
        <v>2178</v>
      </c>
      <c r="T63" s="26" t="s">
        <v>2006</v>
      </c>
      <c r="U63" s="34" t="s">
        <v>22</v>
      </c>
      <c r="V63" s="81"/>
      <c r="W63" s="81"/>
      <c r="X63" s="12" t="s">
        <v>2179</v>
      </c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 ht="12.0" customHeight="1">
      <c r="A64" s="5" t="s">
        <v>2161</v>
      </c>
      <c r="B64" s="12">
        <v>9.0</v>
      </c>
      <c r="C64" s="26" t="s">
        <v>1634</v>
      </c>
      <c r="D64" s="78" t="s">
        <v>2162</v>
      </c>
      <c r="E64" s="78" t="s">
        <v>2059</v>
      </c>
      <c r="F64" s="5" t="s">
        <v>1141</v>
      </c>
      <c r="G64" s="26" t="s">
        <v>1650</v>
      </c>
      <c r="H64" s="5" t="s">
        <v>2163</v>
      </c>
      <c r="I64" s="12">
        <v>47.0</v>
      </c>
      <c r="J64" s="5"/>
      <c r="K64" s="79"/>
      <c r="L64" s="5" t="s">
        <v>2166</v>
      </c>
      <c r="M64" s="5" t="s">
        <v>2167</v>
      </c>
      <c r="N64" s="83" t="s">
        <v>2180</v>
      </c>
      <c r="O64" s="5" t="s">
        <v>2163</v>
      </c>
      <c r="P64" s="12">
        <v>48.0</v>
      </c>
      <c r="Q64" s="5" t="s">
        <v>2166</v>
      </c>
      <c r="R64" s="5" t="s">
        <v>2167</v>
      </c>
      <c r="S64" s="83" t="s">
        <v>2181</v>
      </c>
      <c r="T64" s="26" t="s">
        <v>2006</v>
      </c>
      <c r="U64" s="34" t="s">
        <v>22</v>
      </c>
      <c r="V64" s="81"/>
      <c r="W64" s="81"/>
      <c r="X64" s="12"/>
      <c r="Y64" s="67"/>
      <c r="Z64" s="67"/>
      <c r="AA64" s="67"/>
      <c r="AB64" s="67"/>
      <c r="AC64" s="67"/>
      <c r="AD64" s="67"/>
      <c r="AE64" s="67"/>
      <c r="AF64" s="67"/>
      <c r="AG64" s="67"/>
      <c r="AH64" s="67"/>
    </row>
    <row r="65" ht="12.0" customHeight="1">
      <c r="A65" s="5" t="s">
        <v>2161</v>
      </c>
      <c r="B65" s="5">
        <v>11.0</v>
      </c>
      <c r="C65" s="26" t="s">
        <v>1634</v>
      </c>
      <c r="D65" s="78" t="s">
        <v>2162</v>
      </c>
      <c r="E65" s="78" t="s">
        <v>2059</v>
      </c>
      <c r="F65" s="5" t="s">
        <v>1141</v>
      </c>
      <c r="G65" s="26" t="s">
        <v>1650</v>
      </c>
      <c r="H65" s="5" t="s">
        <v>2163</v>
      </c>
      <c r="I65" s="12">
        <v>51.0</v>
      </c>
      <c r="J65" s="12" t="s">
        <v>2182</v>
      </c>
      <c r="K65" s="82" t="s">
        <v>2171</v>
      </c>
      <c r="L65" s="5" t="s">
        <v>2166</v>
      </c>
      <c r="M65" s="5" t="s">
        <v>2167</v>
      </c>
      <c r="N65" s="83" t="s">
        <v>2183</v>
      </c>
      <c r="O65" s="5" t="s">
        <v>2163</v>
      </c>
      <c r="P65" s="5">
        <v>52.0</v>
      </c>
      <c r="Q65" s="5" t="s">
        <v>2166</v>
      </c>
      <c r="R65" s="5" t="s">
        <v>2167</v>
      </c>
      <c r="S65" s="83" t="s">
        <v>2184</v>
      </c>
      <c r="T65" s="26" t="s">
        <v>2006</v>
      </c>
      <c r="U65" s="34" t="s">
        <v>22</v>
      </c>
      <c r="V65" s="81"/>
      <c r="W65" s="81"/>
      <c r="X65" s="5"/>
      <c r="Y65" s="67"/>
      <c r="Z65" s="67"/>
      <c r="AA65" s="67"/>
      <c r="AB65" s="67"/>
      <c r="AC65" s="67"/>
      <c r="AD65" s="67"/>
      <c r="AE65" s="67"/>
      <c r="AF65" s="67"/>
      <c r="AG65" s="67"/>
      <c r="AH65" s="67"/>
    </row>
    <row r="66" ht="12.0" hidden="1" customHeight="1">
      <c r="A66" s="5" t="s">
        <v>2161</v>
      </c>
      <c r="B66" s="12">
        <v>16.0</v>
      </c>
      <c r="C66" s="26" t="s">
        <v>1634</v>
      </c>
      <c r="D66" s="78" t="s">
        <v>2162</v>
      </c>
      <c r="E66" s="78" t="s">
        <v>2001</v>
      </c>
      <c r="F66" s="5" t="s">
        <v>1141</v>
      </c>
      <c r="G66" s="26" t="s">
        <v>1650</v>
      </c>
      <c r="H66" s="5" t="s">
        <v>2163</v>
      </c>
      <c r="I66" s="12">
        <v>501.0</v>
      </c>
      <c r="J66" s="12"/>
      <c r="K66" s="82"/>
      <c r="L66" s="5" t="s">
        <v>2166</v>
      </c>
      <c r="M66" s="5" t="s">
        <v>2167</v>
      </c>
      <c r="N66" s="83" t="s">
        <v>2185</v>
      </c>
      <c r="O66" s="5"/>
      <c r="P66" s="5"/>
      <c r="Q66" s="5"/>
      <c r="R66" s="5"/>
      <c r="S66" s="84"/>
      <c r="T66" s="26"/>
      <c r="U66" s="34"/>
      <c r="V66" s="81"/>
      <c r="W66" s="81"/>
      <c r="X66" s="5"/>
      <c r="Y66" s="67"/>
      <c r="Z66" s="67"/>
      <c r="AA66" s="67"/>
      <c r="AB66" s="67"/>
      <c r="AC66" s="67"/>
      <c r="AD66" s="67"/>
      <c r="AE66" s="67"/>
      <c r="AF66" s="67"/>
      <c r="AG66" s="67"/>
      <c r="AH66" s="67"/>
    </row>
    <row r="67" ht="12.0" customHeight="1">
      <c r="A67" s="5" t="s">
        <v>2186</v>
      </c>
      <c r="B67" s="5">
        <v>1.0</v>
      </c>
      <c r="C67" s="26" t="s">
        <v>1634</v>
      </c>
      <c r="D67" s="78" t="s">
        <v>2187</v>
      </c>
      <c r="E67" s="78" t="s">
        <v>2059</v>
      </c>
      <c r="F67" s="5" t="s">
        <v>1141</v>
      </c>
      <c r="G67" s="26" t="s">
        <v>1650</v>
      </c>
      <c r="H67" s="5" t="s">
        <v>2186</v>
      </c>
      <c r="I67" s="5">
        <v>1.0</v>
      </c>
      <c r="J67" s="12" t="s">
        <v>2188</v>
      </c>
      <c r="K67" s="82">
        <v>1.0</v>
      </c>
      <c r="L67" s="5" t="s">
        <v>2189</v>
      </c>
      <c r="M67" s="5" t="s">
        <v>2190</v>
      </c>
      <c r="N67" s="83" t="s">
        <v>2191</v>
      </c>
      <c r="O67" s="5"/>
      <c r="P67" s="5"/>
      <c r="Q67" s="5"/>
      <c r="R67" s="5"/>
      <c r="S67" s="80"/>
      <c r="T67" s="26" t="s">
        <v>2006</v>
      </c>
      <c r="U67" s="34" t="s">
        <v>22</v>
      </c>
      <c r="V67" s="81"/>
      <c r="W67" s="81"/>
      <c r="X67" s="5"/>
      <c r="Y67" s="67"/>
      <c r="Z67" s="67"/>
      <c r="AA67" s="67"/>
      <c r="AB67" s="67"/>
      <c r="AC67" s="67"/>
      <c r="AD67" s="67"/>
      <c r="AE67" s="67"/>
      <c r="AF67" s="67"/>
      <c r="AG67" s="67"/>
      <c r="AH67" s="67"/>
    </row>
    <row r="68" ht="12.0" customHeight="1">
      <c r="A68" s="5" t="s">
        <v>2186</v>
      </c>
      <c r="B68" s="5">
        <v>2.0</v>
      </c>
      <c r="C68" s="26" t="s">
        <v>1634</v>
      </c>
      <c r="D68" s="78" t="s">
        <v>2187</v>
      </c>
      <c r="E68" s="78" t="s">
        <v>2059</v>
      </c>
      <c r="F68" s="5" t="s">
        <v>1141</v>
      </c>
      <c r="G68" s="26" t="s">
        <v>1650</v>
      </c>
      <c r="H68" s="5" t="s">
        <v>2186</v>
      </c>
      <c r="I68" s="5">
        <v>2.0</v>
      </c>
      <c r="J68" s="12" t="s">
        <v>2188</v>
      </c>
      <c r="K68" s="82">
        <v>2.0</v>
      </c>
      <c r="L68" s="5" t="s">
        <v>2189</v>
      </c>
      <c r="M68" s="5" t="s">
        <v>2190</v>
      </c>
      <c r="N68" s="83" t="s">
        <v>2191</v>
      </c>
      <c r="O68" s="5"/>
      <c r="P68" s="5"/>
      <c r="Q68" s="5"/>
      <c r="R68" s="5"/>
      <c r="S68" s="80"/>
      <c r="T68" s="26" t="s">
        <v>2006</v>
      </c>
      <c r="U68" s="34" t="s">
        <v>22</v>
      </c>
      <c r="V68" s="81"/>
      <c r="W68" s="81"/>
      <c r="X68" s="5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 ht="12.0" customHeight="1">
      <c r="A69" s="5" t="s">
        <v>2186</v>
      </c>
      <c r="B69" s="5">
        <v>4.0</v>
      </c>
      <c r="C69" s="26" t="s">
        <v>1634</v>
      </c>
      <c r="D69" s="78" t="s">
        <v>2187</v>
      </c>
      <c r="E69" s="78" t="s">
        <v>2059</v>
      </c>
      <c r="F69" s="5" t="s">
        <v>1141</v>
      </c>
      <c r="G69" s="26" t="s">
        <v>1650</v>
      </c>
      <c r="H69" s="5" t="s">
        <v>2186</v>
      </c>
      <c r="I69" s="5">
        <v>4.0</v>
      </c>
      <c r="J69" s="12" t="s">
        <v>2188</v>
      </c>
      <c r="K69" s="82">
        <v>4.0</v>
      </c>
      <c r="L69" s="5" t="s">
        <v>2189</v>
      </c>
      <c r="M69" s="5" t="s">
        <v>2190</v>
      </c>
      <c r="N69" s="83" t="s">
        <v>2191</v>
      </c>
      <c r="O69" s="5"/>
      <c r="P69" s="5"/>
      <c r="Q69" s="5"/>
      <c r="R69" s="5"/>
      <c r="S69" s="80"/>
      <c r="T69" s="26" t="s">
        <v>2006</v>
      </c>
      <c r="U69" s="34" t="s">
        <v>22</v>
      </c>
      <c r="V69" s="81"/>
      <c r="W69" s="81"/>
      <c r="X69" s="5"/>
      <c r="Y69" s="67"/>
      <c r="Z69" s="67"/>
      <c r="AA69" s="67"/>
      <c r="AB69" s="67"/>
      <c r="AC69" s="67"/>
      <c r="AD69" s="67"/>
      <c r="AE69" s="67"/>
      <c r="AF69" s="67"/>
      <c r="AG69" s="67"/>
      <c r="AH69" s="67"/>
    </row>
    <row r="70" ht="12.0" customHeight="1">
      <c r="A70" s="5" t="s">
        <v>2186</v>
      </c>
      <c r="B70" s="12">
        <v>5.0</v>
      </c>
      <c r="C70" s="26" t="s">
        <v>1634</v>
      </c>
      <c r="D70" s="78" t="s">
        <v>2187</v>
      </c>
      <c r="E70" s="78" t="s">
        <v>2059</v>
      </c>
      <c r="F70" s="5" t="s">
        <v>1141</v>
      </c>
      <c r="G70" s="26" t="s">
        <v>1650</v>
      </c>
      <c r="H70" s="5" t="s">
        <v>2186</v>
      </c>
      <c r="I70" s="12">
        <v>5.0</v>
      </c>
      <c r="J70" s="12" t="s">
        <v>2188</v>
      </c>
      <c r="K70" s="82">
        <v>5.0</v>
      </c>
      <c r="L70" s="5" t="s">
        <v>2189</v>
      </c>
      <c r="M70" s="5" t="s">
        <v>2190</v>
      </c>
      <c r="N70" s="83" t="s">
        <v>2191</v>
      </c>
      <c r="O70" s="5"/>
      <c r="P70" s="5"/>
      <c r="Q70" s="5"/>
      <c r="R70" s="5"/>
      <c r="S70" s="80"/>
      <c r="T70" s="26" t="s">
        <v>2006</v>
      </c>
      <c r="U70" s="34" t="s">
        <v>22</v>
      </c>
      <c r="V70" s="81"/>
      <c r="W70" s="81"/>
      <c r="X70" s="5"/>
      <c r="Y70" s="67"/>
      <c r="Z70" s="67"/>
      <c r="AA70" s="67"/>
      <c r="AB70" s="67"/>
      <c r="AC70" s="67"/>
      <c r="AD70" s="67"/>
      <c r="AE70" s="67"/>
      <c r="AF70" s="67"/>
      <c r="AG70" s="67"/>
      <c r="AH70" s="67"/>
    </row>
    <row r="71" ht="12.0" customHeight="1">
      <c r="A71" s="5" t="s">
        <v>2186</v>
      </c>
      <c r="B71" s="5">
        <v>7.0</v>
      </c>
      <c r="C71" s="26" t="s">
        <v>1634</v>
      </c>
      <c r="D71" s="78" t="s">
        <v>2187</v>
      </c>
      <c r="E71" s="78" t="s">
        <v>2059</v>
      </c>
      <c r="F71" s="5" t="s">
        <v>1141</v>
      </c>
      <c r="G71" s="26" t="s">
        <v>1650</v>
      </c>
      <c r="H71" s="5" t="s">
        <v>2186</v>
      </c>
      <c r="I71" s="5">
        <v>7.0</v>
      </c>
      <c r="J71" s="12" t="s">
        <v>2192</v>
      </c>
      <c r="K71" s="82">
        <v>1.0</v>
      </c>
      <c r="L71" s="5" t="s">
        <v>2189</v>
      </c>
      <c r="M71" s="5" t="s">
        <v>2190</v>
      </c>
      <c r="N71" s="83" t="s">
        <v>2193</v>
      </c>
      <c r="O71" s="5"/>
      <c r="P71" s="5"/>
      <c r="Q71" s="5"/>
      <c r="R71" s="5"/>
      <c r="S71" s="80"/>
      <c r="T71" s="26" t="s">
        <v>2006</v>
      </c>
      <c r="U71" s="34" t="s">
        <v>22</v>
      </c>
      <c r="V71" s="81"/>
      <c r="W71" s="81"/>
      <c r="X71" s="5"/>
      <c r="Y71" s="67"/>
      <c r="Z71" s="67"/>
      <c r="AA71" s="67"/>
      <c r="AB71" s="67"/>
      <c r="AC71" s="67"/>
      <c r="AD71" s="67"/>
      <c r="AE71" s="67"/>
      <c r="AF71" s="67"/>
      <c r="AG71" s="67"/>
      <c r="AH71" s="67"/>
    </row>
    <row r="72" ht="12.0" customHeight="1">
      <c r="A72" s="5" t="s">
        <v>2186</v>
      </c>
      <c r="B72" s="12">
        <v>8.0</v>
      </c>
      <c r="C72" s="26" t="s">
        <v>1634</v>
      </c>
      <c r="D72" s="78" t="s">
        <v>2187</v>
      </c>
      <c r="E72" s="78" t="s">
        <v>2059</v>
      </c>
      <c r="F72" s="5" t="s">
        <v>1141</v>
      </c>
      <c r="G72" s="26" t="s">
        <v>1650</v>
      </c>
      <c r="H72" s="5" t="s">
        <v>2186</v>
      </c>
      <c r="I72" s="12">
        <v>8.0</v>
      </c>
      <c r="J72" s="12" t="s">
        <v>2192</v>
      </c>
      <c r="K72" s="82">
        <v>2.0</v>
      </c>
      <c r="L72" s="5" t="s">
        <v>2189</v>
      </c>
      <c r="M72" s="5" t="s">
        <v>2190</v>
      </c>
      <c r="N72" s="83" t="s">
        <v>2193</v>
      </c>
      <c r="O72" s="5"/>
      <c r="P72" s="5"/>
      <c r="Q72" s="5"/>
      <c r="R72" s="5"/>
      <c r="S72" s="80"/>
      <c r="T72" s="26" t="s">
        <v>2006</v>
      </c>
      <c r="U72" s="34" t="s">
        <v>22</v>
      </c>
      <c r="V72" s="81"/>
      <c r="W72" s="81"/>
      <c r="X72" s="5"/>
      <c r="Y72" s="67"/>
      <c r="Z72" s="67"/>
      <c r="AA72" s="67"/>
      <c r="AB72" s="67"/>
      <c r="AC72" s="67"/>
      <c r="AD72" s="67"/>
      <c r="AE72" s="67"/>
      <c r="AF72" s="67"/>
      <c r="AG72" s="67"/>
      <c r="AH72" s="67"/>
    </row>
    <row r="73" ht="12.0" customHeight="1">
      <c r="A73" s="5" t="s">
        <v>2186</v>
      </c>
      <c r="B73" s="12">
        <v>9.0</v>
      </c>
      <c r="C73" s="26" t="s">
        <v>1634</v>
      </c>
      <c r="D73" s="78" t="s">
        <v>2187</v>
      </c>
      <c r="E73" s="78" t="s">
        <v>2059</v>
      </c>
      <c r="F73" s="5" t="s">
        <v>1141</v>
      </c>
      <c r="G73" s="26" t="s">
        <v>1650</v>
      </c>
      <c r="H73" s="5" t="s">
        <v>2186</v>
      </c>
      <c r="I73" s="12">
        <v>9.0</v>
      </c>
      <c r="J73" s="12" t="s">
        <v>2192</v>
      </c>
      <c r="K73" s="82">
        <v>3.0</v>
      </c>
      <c r="L73" s="5" t="s">
        <v>2189</v>
      </c>
      <c r="M73" s="5" t="s">
        <v>2190</v>
      </c>
      <c r="N73" s="83" t="s">
        <v>2193</v>
      </c>
      <c r="O73" s="5"/>
      <c r="P73" s="5"/>
      <c r="Q73" s="5"/>
      <c r="R73" s="5"/>
      <c r="S73" s="80"/>
      <c r="T73" s="26" t="s">
        <v>2006</v>
      </c>
      <c r="U73" s="34" t="s">
        <v>22</v>
      </c>
      <c r="V73" s="81"/>
      <c r="W73" s="81"/>
      <c r="X73" s="5"/>
      <c r="Y73" s="67"/>
      <c r="Z73" s="67"/>
      <c r="AA73" s="67"/>
      <c r="AB73" s="67"/>
      <c r="AC73" s="67"/>
      <c r="AD73" s="67"/>
      <c r="AE73" s="67"/>
      <c r="AF73" s="67"/>
      <c r="AG73" s="67"/>
      <c r="AH73" s="67"/>
    </row>
    <row r="74" ht="12.0" customHeight="1">
      <c r="A74" s="5" t="s">
        <v>2186</v>
      </c>
      <c r="B74" s="12">
        <v>10.0</v>
      </c>
      <c r="C74" s="26" t="s">
        <v>1634</v>
      </c>
      <c r="D74" s="78" t="s">
        <v>2187</v>
      </c>
      <c r="E74" s="78" t="s">
        <v>2059</v>
      </c>
      <c r="F74" s="5" t="s">
        <v>1141</v>
      </c>
      <c r="G74" s="26" t="s">
        <v>1650</v>
      </c>
      <c r="H74" s="5" t="s">
        <v>2186</v>
      </c>
      <c r="I74" s="12">
        <v>10.0</v>
      </c>
      <c r="J74" s="12" t="s">
        <v>2192</v>
      </c>
      <c r="K74" s="82">
        <v>4.0</v>
      </c>
      <c r="L74" s="5" t="s">
        <v>2189</v>
      </c>
      <c r="M74" s="5" t="s">
        <v>2190</v>
      </c>
      <c r="N74" s="83" t="s">
        <v>2193</v>
      </c>
      <c r="O74" s="5"/>
      <c r="P74" s="5"/>
      <c r="Q74" s="5"/>
      <c r="R74" s="5"/>
      <c r="S74" s="80"/>
      <c r="T74" s="26" t="s">
        <v>2006</v>
      </c>
      <c r="U74" s="34" t="s">
        <v>22</v>
      </c>
      <c r="V74" s="81"/>
      <c r="W74" s="81"/>
      <c r="X74" s="5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 ht="12.0" customHeight="1">
      <c r="A75" s="5" t="s">
        <v>2186</v>
      </c>
      <c r="B75" s="12">
        <v>12.0</v>
      </c>
      <c r="C75" s="26" t="s">
        <v>1634</v>
      </c>
      <c r="D75" s="78" t="s">
        <v>2187</v>
      </c>
      <c r="E75" s="78" t="s">
        <v>2059</v>
      </c>
      <c r="F75" s="5" t="s">
        <v>1141</v>
      </c>
      <c r="G75" s="26" t="s">
        <v>1650</v>
      </c>
      <c r="H75" s="5" t="s">
        <v>2186</v>
      </c>
      <c r="I75" s="12">
        <v>12.0</v>
      </c>
      <c r="J75" s="12" t="s">
        <v>2192</v>
      </c>
      <c r="K75" s="82">
        <v>6.0</v>
      </c>
      <c r="L75" s="5" t="s">
        <v>2189</v>
      </c>
      <c r="M75" s="5" t="s">
        <v>2190</v>
      </c>
      <c r="N75" s="83" t="s">
        <v>2193</v>
      </c>
      <c r="O75" s="5"/>
      <c r="P75" s="5"/>
      <c r="Q75" s="5"/>
      <c r="R75" s="5"/>
      <c r="S75" s="80"/>
      <c r="T75" s="26" t="s">
        <v>2006</v>
      </c>
      <c r="U75" s="34" t="s">
        <v>22</v>
      </c>
      <c r="V75" s="81"/>
      <c r="W75" s="81"/>
      <c r="X75" s="5"/>
      <c r="Y75" s="67"/>
      <c r="Z75" s="67"/>
      <c r="AA75" s="67"/>
      <c r="AB75" s="67"/>
      <c r="AC75" s="67"/>
      <c r="AD75" s="67"/>
      <c r="AE75" s="67"/>
      <c r="AF75" s="67"/>
      <c r="AG75" s="67"/>
      <c r="AH75" s="67"/>
    </row>
    <row r="76" ht="12.0" customHeight="1">
      <c r="A76" s="5" t="s">
        <v>2186</v>
      </c>
      <c r="B76" s="12">
        <v>13.0</v>
      </c>
      <c r="C76" s="26" t="s">
        <v>1634</v>
      </c>
      <c r="D76" s="78" t="s">
        <v>2187</v>
      </c>
      <c r="E76" s="78" t="s">
        <v>2059</v>
      </c>
      <c r="F76" s="5" t="s">
        <v>1141</v>
      </c>
      <c r="G76" s="26" t="s">
        <v>1650</v>
      </c>
      <c r="H76" s="5" t="s">
        <v>2186</v>
      </c>
      <c r="I76" s="12">
        <v>13.0</v>
      </c>
      <c r="J76" s="12" t="s">
        <v>2194</v>
      </c>
      <c r="K76" s="82">
        <v>1.0</v>
      </c>
      <c r="L76" s="5" t="s">
        <v>2189</v>
      </c>
      <c r="M76" s="5" t="s">
        <v>2190</v>
      </c>
      <c r="N76" s="83" t="s">
        <v>2195</v>
      </c>
      <c r="O76" s="5"/>
      <c r="P76" s="5"/>
      <c r="Q76" s="5"/>
      <c r="R76" s="5"/>
      <c r="S76" s="80"/>
      <c r="T76" s="26" t="s">
        <v>2006</v>
      </c>
      <c r="U76" s="34" t="s">
        <v>22</v>
      </c>
      <c r="V76" s="81"/>
      <c r="W76" s="81"/>
      <c r="X76" s="5"/>
      <c r="Y76" s="67"/>
      <c r="Z76" s="67"/>
      <c r="AA76" s="67"/>
      <c r="AB76" s="67"/>
      <c r="AC76" s="67"/>
      <c r="AD76" s="67"/>
      <c r="AE76" s="67"/>
      <c r="AF76" s="67"/>
      <c r="AG76" s="67"/>
      <c r="AH76" s="67"/>
    </row>
    <row r="77" ht="12.0" customHeight="1">
      <c r="A77" s="5" t="s">
        <v>2186</v>
      </c>
      <c r="B77" s="12">
        <v>14.0</v>
      </c>
      <c r="C77" s="26" t="s">
        <v>1634</v>
      </c>
      <c r="D77" s="78" t="s">
        <v>2187</v>
      </c>
      <c r="E77" s="78" t="s">
        <v>2059</v>
      </c>
      <c r="F77" s="5" t="s">
        <v>1141</v>
      </c>
      <c r="G77" s="26" t="s">
        <v>1650</v>
      </c>
      <c r="H77" s="5" t="s">
        <v>2186</v>
      </c>
      <c r="I77" s="12">
        <v>14.0</v>
      </c>
      <c r="J77" s="12" t="s">
        <v>2194</v>
      </c>
      <c r="K77" s="82">
        <v>2.0</v>
      </c>
      <c r="L77" s="5" t="s">
        <v>2189</v>
      </c>
      <c r="M77" s="5" t="s">
        <v>2190</v>
      </c>
      <c r="N77" s="83" t="s">
        <v>2195</v>
      </c>
      <c r="O77" s="5"/>
      <c r="P77" s="5"/>
      <c r="Q77" s="5"/>
      <c r="R77" s="5"/>
      <c r="S77" s="80"/>
      <c r="T77" s="26"/>
      <c r="U77" s="34"/>
      <c r="V77" s="81"/>
      <c r="W77" s="81"/>
      <c r="X77" s="5"/>
      <c r="Y77" s="67"/>
      <c r="Z77" s="67"/>
      <c r="AA77" s="67"/>
      <c r="AB77" s="67"/>
      <c r="AC77" s="67"/>
      <c r="AD77" s="67"/>
      <c r="AE77" s="67"/>
      <c r="AF77" s="67"/>
      <c r="AG77" s="67"/>
      <c r="AH77" s="67"/>
    </row>
    <row r="78" ht="12.0" hidden="1" customHeight="1">
      <c r="A78" s="5" t="s">
        <v>2196</v>
      </c>
      <c r="B78" s="12">
        <v>4.0</v>
      </c>
      <c r="C78" s="26" t="s">
        <v>1634</v>
      </c>
      <c r="D78" s="78" t="s">
        <v>1650</v>
      </c>
      <c r="E78" s="78" t="s">
        <v>2001</v>
      </c>
      <c r="F78" s="5" t="s">
        <v>1141</v>
      </c>
      <c r="G78" s="26" t="s">
        <v>1650</v>
      </c>
      <c r="H78" s="12" t="s">
        <v>2197</v>
      </c>
      <c r="I78" s="12">
        <v>4.0</v>
      </c>
      <c r="J78" s="5"/>
      <c r="K78" s="79"/>
      <c r="L78" s="5" t="s">
        <v>1707</v>
      </c>
      <c r="M78" s="5" t="s">
        <v>2198</v>
      </c>
      <c r="N78" s="83" t="s">
        <v>2199</v>
      </c>
      <c r="O78" s="5"/>
      <c r="P78" s="5"/>
      <c r="Q78" s="5"/>
      <c r="R78" s="5"/>
      <c r="S78" s="80"/>
      <c r="T78" s="26" t="s">
        <v>2006</v>
      </c>
      <c r="U78" s="34" t="s">
        <v>22</v>
      </c>
      <c r="V78" s="81"/>
      <c r="W78" s="81"/>
      <c r="X78" s="12" t="s">
        <v>2200</v>
      </c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 ht="12.0" hidden="1" customHeight="1">
      <c r="A79" s="5" t="s">
        <v>2196</v>
      </c>
      <c r="B79" s="12">
        <v>7.0</v>
      </c>
      <c r="C79" s="26" t="s">
        <v>1634</v>
      </c>
      <c r="D79" s="78" t="s">
        <v>1650</v>
      </c>
      <c r="E79" s="78" t="s">
        <v>2001</v>
      </c>
      <c r="F79" s="5" t="s">
        <v>1141</v>
      </c>
      <c r="G79" s="26" t="s">
        <v>1650</v>
      </c>
      <c r="H79" s="12" t="s">
        <v>2197</v>
      </c>
      <c r="I79" s="12">
        <v>8.0</v>
      </c>
      <c r="J79" s="5"/>
      <c r="K79" s="79"/>
      <c r="L79" s="5" t="s">
        <v>1707</v>
      </c>
      <c r="M79" s="5" t="s">
        <v>2198</v>
      </c>
      <c r="N79" s="83" t="s">
        <v>2201</v>
      </c>
      <c r="O79" s="5"/>
      <c r="P79" s="5"/>
      <c r="Q79" s="5"/>
      <c r="R79" s="5"/>
      <c r="S79" s="80"/>
      <c r="T79" s="26" t="s">
        <v>2006</v>
      </c>
      <c r="U79" s="34" t="s">
        <v>22</v>
      </c>
      <c r="V79" s="81"/>
      <c r="W79" s="81"/>
      <c r="X79" s="12" t="s">
        <v>2200</v>
      </c>
      <c r="Y79" s="67"/>
      <c r="Z79" s="67"/>
      <c r="AA79" s="67"/>
      <c r="AB79" s="67"/>
      <c r="AC79" s="67"/>
      <c r="AD79" s="67"/>
      <c r="AE79" s="67"/>
      <c r="AF79" s="67"/>
      <c r="AG79" s="67"/>
      <c r="AH79" s="67"/>
    </row>
    <row r="80" ht="12.0" hidden="1" customHeight="1">
      <c r="A80" s="5" t="s">
        <v>2196</v>
      </c>
      <c r="B80" s="12">
        <v>8.0</v>
      </c>
      <c r="C80" s="26" t="s">
        <v>1634</v>
      </c>
      <c r="D80" s="78" t="s">
        <v>1650</v>
      </c>
      <c r="E80" s="78" t="s">
        <v>2001</v>
      </c>
      <c r="F80" s="5" t="s">
        <v>1141</v>
      </c>
      <c r="G80" s="26" t="s">
        <v>1650</v>
      </c>
      <c r="H80" s="12" t="s">
        <v>2197</v>
      </c>
      <c r="I80" s="12">
        <v>9.0</v>
      </c>
      <c r="J80" s="5"/>
      <c r="K80" s="79"/>
      <c r="L80" s="5" t="s">
        <v>1707</v>
      </c>
      <c r="M80" s="5" t="s">
        <v>2198</v>
      </c>
      <c r="N80" s="83" t="s">
        <v>2202</v>
      </c>
      <c r="O80" s="5"/>
      <c r="P80" s="5"/>
      <c r="Q80" s="5"/>
      <c r="R80" s="5"/>
      <c r="S80" s="80"/>
      <c r="T80" s="26" t="s">
        <v>2006</v>
      </c>
      <c r="U80" s="34" t="s">
        <v>22</v>
      </c>
      <c r="V80" s="81"/>
      <c r="W80" s="81"/>
      <c r="X80" s="12" t="s">
        <v>2200</v>
      </c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 ht="12.0" hidden="1" customHeight="1">
      <c r="A81" s="5" t="s">
        <v>2196</v>
      </c>
      <c r="B81" s="12">
        <v>10.0</v>
      </c>
      <c r="C81" s="26" t="s">
        <v>1634</v>
      </c>
      <c r="D81" s="78" t="s">
        <v>1650</v>
      </c>
      <c r="E81" s="78" t="s">
        <v>2040</v>
      </c>
      <c r="F81" s="5" t="s">
        <v>1141</v>
      </c>
      <c r="G81" s="26" t="s">
        <v>1650</v>
      </c>
      <c r="H81" s="12" t="s">
        <v>2197</v>
      </c>
      <c r="I81" s="12">
        <v>11.0</v>
      </c>
      <c r="J81" s="12" t="s">
        <v>2203</v>
      </c>
      <c r="K81" s="82">
        <v>2.0</v>
      </c>
      <c r="L81" s="5" t="s">
        <v>1707</v>
      </c>
      <c r="M81" s="5" t="s">
        <v>2198</v>
      </c>
      <c r="N81" s="83" t="s">
        <v>2204</v>
      </c>
      <c r="O81" s="5"/>
      <c r="P81" s="5"/>
      <c r="Q81" s="5"/>
      <c r="R81" s="5"/>
      <c r="S81" s="80"/>
      <c r="T81" s="26" t="s">
        <v>2006</v>
      </c>
      <c r="U81" s="34" t="s">
        <v>22</v>
      </c>
      <c r="V81" s="81"/>
      <c r="W81" s="81"/>
      <c r="X81" s="12" t="s">
        <v>2200</v>
      </c>
      <c r="Y81" s="67"/>
      <c r="Z81" s="67"/>
      <c r="AA81" s="67"/>
      <c r="AB81" s="67"/>
      <c r="AC81" s="67"/>
      <c r="AD81" s="67"/>
      <c r="AE81" s="67"/>
      <c r="AF81" s="67"/>
      <c r="AG81" s="67"/>
      <c r="AH81" s="67"/>
    </row>
    <row r="82" ht="12.0" hidden="1" customHeight="1">
      <c r="A82" s="5" t="s">
        <v>2196</v>
      </c>
      <c r="B82" s="12">
        <v>13.0</v>
      </c>
      <c r="C82" s="26" t="s">
        <v>1634</v>
      </c>
      <c r="D82" s="78" t="s">
        <v>1650</v>
      </c>
      <c r="E82" s="78" t="s">
        <v>2001</v>
      </c>
      <c r="F82" s="5" t="s">
        <v>1141</v>
      </c>
      <c r="G82" s="26" t="s">
        <v>1650</v>
      </c>
      <c r="H82" s="12" t="s">
        <v>2197</v>
      </c>
      <c r="I82" s="12">
        <v>14.0</v>
      </c>
      <c r="J82" s="5"/>
      <c r="K82" s="79"/>
      <c r="L82" s="5" t="s">
        <v>1707</v>
      </c>
      <c r="M82" s="5" t="s">
        <v>2198</v>
      </c>
      <c r="N82" s="83" t="s">
        <v>2205</v>
      </c>
      <c r="O82" s="5"/>
      <c r="P82" s="5"/>
      <c r="Q82" s="5"/>
      <c r="R82" s="5"/>
      <c r="S82" s="80"/>
      <c r="T82" s="26" t="s">
        <v>2006</v>
      </c>
      <c r="U82" s="34" t="s">
        <v>22</v>
      </c>
      <c r="V82" s="81"/>
      <c r="W82" s="81"/>
      <c r="X82" s="12" t="s">
        <v>2200</v>
      </c>
      <c r="Y82" s="67"/>
      <c r="Z82" s="67"/>
      <c r="AA82" s="67"/>
      <c r="AB82" s="67"/>
      <c r="AC82" s="67"/>
      <c r="AD82" s="67"/>
      <c r="AE82" s="67"/>
      <c r="AF82" s="67"/>
      <c r="AG82" s="67"/>
      <c r="AH82" s="67"/>
    </row>
    <row r="83" ht="12.0" hidden="1" customHeight="1">
      <c r="A83" s="5" t="s">
        <v>2196</v>
      </c>
      <c r="B83" s="5">
        <v>14.0</v>
      </c>
      <c r="C83" s="26" t="s">
        <v>1634</v>
      </c>
      <c r="D83" s="78" t="s">
        <v>1650</v>
      </c>
      <c r="E83" s="78" t="s">
        <v>2001</v>
      </c>
      <c r="F83" s="5" t="s">
        <v>1141</v>
      </c>
      <c r="G83" s="26" t="s">
        <v>1650</v>
      </c>
      <c r="H83" s="12" t="s">
        <v>2197</v>
      </c>
      <c r="I83" s="5">
        <v>15.0</v>
      </c>
      <c r="J83" s="5"/>
      <c r="K83" s="79"/>
      <c r="L83" s="5" t="s">
        <v>1707</v>
      </c>
      <c r="M83" s="5" t="s">
        <v>2198</v>
      </c>
      <c r="N83" s="83" t="s">
        <v>2206</v>
      </c>
      <c r="O83" s="5"/>
      <c r="P83" s="5"/>
      <c r="Q83" s="5"/>
      <c r="R83" s="5"/>
      <c r="S83" s="80"/>
      <c r="T83" s="26" t="s">
        <v>2006</v>
      </c>
      <c r="U83" s="34" t="s">
        <v>22</v>
      </c>
      <c r="V83" s="81"/>
      <c r="W83" s="81"/>
      <c r="X83" s="12" t="s">
        <v>2200</v>
      </c>
      <c r="Y83" s="67"/>
      <c r="Z83" s="67"/>
      <c r="AA83" s="67"/>
      <c r="AB83" s="67"/>
      <c r="AC83" s="67"/>
      <c r="AD83" s="67"/>
      <c r="AE83" s="67"/>
      <c r="AF83" s="67"/>
      <c r="AG83" s="67"/>
      <c r="AH83" s="67"/>
    </row>
    <row r="84" ht="12.0" hidden="1" customHeight="1">
      <c r="A84" s="5" t="s">
        <v>2196</v>
      </c>
      <c r="B84" s="5">
        <v>15.0</v>
      </c>
      <c r="C84" s="26" t="s">
        <v>1634</v>
      </c>
      <c r="D84" s="78" t="s">
        <v>1650</v>
      </c>
      <c r="E84" s="78" t="s">
        <v>2001</v>
      </c>
      <c r="F84" s="5" t="s">
        <v>1141</v>
      </c>
      <c r="G84" s="26" t="s">
        <v>1650</v>
      </c>
      <c r="H84" s="12" t="s">
        <v>2197</v>
      </c>
      <c r="I84" s="5">
        <v>500.0</v>
      </c>
      <c r="J84" s="12" t="s">
        <v>2207</v>
      </c>
      <c r="K84" s="82">
        <v>1.0</v>
      </c>
      <c r="L84" s="5" t="s">
        <v>1654</v>
      </c>
      <c r="M84" s="5" t="s">
        <v>2208</v>
      </c>
      <c r="N84" s="80" t="s">
        <v>2209</v>
      </c>
      <c r="O84" s="5"/>
      <c r="P84" s="5"/>
      <c r="Q84" s="5"/>
      <c r="R84" s="5"/>
      <c r="S84" s="80"/>
      <c r="T84" s="26" t="s">
        <v>2006</v>
      </c>
      <c r="U84" s="34" t="s">
        <v>22</v>
      </c>
      <c r="V84" s="81"/>
      <c r="W84" s="81"/>
      <c r="X84" s="5"/>
      <c r="Y84" s="67"/>
      <c r="Z84" s="67"/>
      <c r="AA84" s="67"/>
      <c r="AB84" s="67"/>
      <c r="AC84" s="67"/>
      <c r="AD84" s="67"/>
      <c r="AE84" s="67"/>
      <c r="AF84" s="67"/>
      <c r="AG84" s="67"/>
      <c r="AH84" s="67"/>
    </row>
    <row r="85" ht="12.0" hidden="1" customHeight="1">
      <c r="A85" s="5" t="s">
        <v>2196</v>
      </c>
      <c r="B85" s="5">
        <v>16.0</v>
      </c>
      <c r="C85" s="26" t="s">
        <v>1634</v>
      </c>
      <c r="D85" s="78" t="s">
        <v>1650</v>
      </c>
      <c r="E85" s="78" t="s">
        <v>2001</v>
      </c>
      <c r="F85" s="5" t="s">
        <v>1141</v>
      </c>
      <c r="G85" s="26" t="s">
        <v>1650</v>
      </c>
      <c r="H85" s="12" t="s">
        <v>2197</v>
      </c>
      <c r="I85" s="5">
        <v>501.0</v>
      </c>
      <c r="J85" s="12" t="s">
        <v>2207</v>
      </c>
      <c r="K85" s="82">
        <v>2.0</v>
      </c>
      <c r="L85" s="5" t="s">
        <v>1654</v>
      </c>
      <c r="M85" s="5" t="s">
        <v>2208</v>
      </c>
      <c r="N85" s="80" t="s">
        <v>2210</v>
      </c>
      <c r="O85" s="5"/>
      <c r="P85" s="5"/>
      <c r="Q85" s="5"/>
      <c r="R85" s="5"/>
      <c r="S85" s="80"/>
      <c r="T85" s="26" t="s">
        <v>2006</v>
      </c>
      <c r="U85" s="34" t="s">
        <v>22</v>
      </c>
      <c r="V85" s="81"/>
      <c r="W85" s="81"/>
      <c r="X85" s="5"/>
      <c r="Y85" s="67"/>
      <c r="Z85" s="67"/>
      <c r="AA85" s="67"/>
      <c r="AB85" s="67"/>
      <c r="AC85" s="67"/>
      <c r="AD85" s="67"/>
      <c r="AE85" s="67"/>
      <c r="AF85" s="67"/>
      <c r="AG85" s="67"/>
      <c r="AH85" s="67"/>
    </row>
    <row r="86" ht="12.0" hidden="1" customHeight="1">
      <c r="A86" s="95" t="s">
        <v>2196</v>
      </c>
      <c r="B86" s="5">
        <v>17.0</v>
      </c>
      <c r="C86" s="26" t="s">
        <v>1634</v>
      </c>
      <c r="D86" s="78" t="s">
        <v>1650</v>
      </c>
      <c r="E86" s="78" t="s">
        <v>2001</v>
      </c>
      <c r="F86" s="5" t="s">
        <v>1141</v>
      </c>
      <c r="G86" s="26" t="s">
        <v>1650</v>
      </c>
      <c r="H86" s="12" t="s">
        <v>2197</v>
      </c>
      <c r="I86" s="5">
        <v>502.0</v>
      </c>
      <c r="J86" s="12" t="s">
        <v>2207</v>
      </c>
      <c r="K86" s="82">
        <v>3.0</v>
      </c>
      <c r="L86" s="5" t="s">
        <v>1654</v>
      </c>
      <c r="M86" s="5" t="s">
        <v>2208</v>
      </c>
      <c r="N86" s="80" t="s">
        <v>2211</v>
      </c>
      <c r="O86" s="5"/>
      <c r="P86" s="5"/>
      <c r="Q86" s="5"/>
      <c r="R86" s="5"/>
      <c r="S86" s="80"/>
      <c r="T86" s="26" t="s">
        <v>2006</v>
      </c>
      <c r="U86" s="34" t="s">
        <v>22</v>
      </c>
      <c r="V86" s="81"/>
      <c r="W86" s="81"/>
      <c r="X86" s="5"/>
      <c r="Y86" s="67"/>
      <c r="Z86" s="67"/>
      <c r="AA86" s="67"/>
      <c r="AB86" s="67"/>
      <c r="AC86" s="67"/>
      <c r="AD86" s="67"/>
      <c r="AE86" s="67"/>
      <c r="AF86" s="67"/>
      <c r="AG86" s="67"/>
      <c r="AH86" s="67"/>
    </row>
    <row r="87" ht="12.0" hidden="1" customHeight="1">
      <c r="A87" s="95" t="s">
        <v>2196</v>
      </c>
      <c r="B87" s="5">
        <v>18.0</v>
      </c>
      <c r="C87" s="26" t="s">
        <v>1634</v>
      </c>
      <c r="D87" s="78" t="s">
        <v>1650</v>
      </c>
      <c r="E87" s="78" t="s">
        <v>2001</v>
      </c>
      <c r="F87" s="5" t="s">
        <v>1141</v>
      </c>
      <c r="G87" s="26" t="s">
        <v>1650</v>
      </c>
      <c r="H87" s="12" t="s">
        <v>2197</v>
      </c>
      <c r="I87" s="5">
        <v>503.0</v>
      </c>
      <c r="J87" s="12" t="s">
        <v>2207</v>
      </c>
      <c r="K87" s="82">
        <v>4.0</v>
      </c>
      <c r="L87" s="5" t="s">
        <v>1654</v>
      </c>
      <c r="M87" s="5" t="s">
        <v>2208</v>
      </c>
      <c r="N87" s="80" t="s">
        <v>2212</v>
      </c>
      <c r="O87" s="5"/>
      <c r="P87" s="5"/>
      <c r="Q87" s="5"/>
      <c r="R87" s="5"/>
      <c r="S87" s="80"/>
      <c r="T87" s="26" t="s">
        <v>2006</v>
      </c>
      <c r="U87" s="34" t="s">
        <v>22</v>
      </c>
      <c r="V87" s="81"/>
      <c r="W87" s="81"/>
      <c r="X87" s="5"/>
      <c r="Y87" s="67"/>
      <c r="Z87" s="67"/>
      <c r="AA87" s="67"/>
      <c r="AB87" s="67"/>
      <c r="AC87" s="67"/>
      <c r="AD87" s="67"/>
      <c r="AE87" s="67"/>
      <c r="AF87" s="67"/>
      <c r="AG87" s="67"/>
      <c r="AH87" s="67"/>
    </row>
    <row r="88" ht="12.0" hidden="1" customHeight="1">
      <c r="A88" s="95" t="s">
        <v>2196</v>
      </c>
      <c r="B88" s="5">
        <v>19.0</v>
      </c>
      <c r="C88" s="26" t="s">
        <v>1634</v>
      </c>
      <c r="D88" s="78" t="s">
        <v>1650</v>
      </c>
      <c r="E88" s="78" t="s">
        <v>2001</v>
      </c>
      <c r="F88" s="5" t="s">
        <v>1141</v>
      </c>
      <c r="G88" s="26" t="s">
        <v>1650</v>
      </c>
      <c r="H88" s="5" t="s">
        <v>2213</v>
      </c>
      <c r="I88" s="5">
        <v>1.0</v>
      </c>
      <c r="J88" s="12" t="s">
        <v>2207</v>
      </c>
      <c r="K88" s="82">
        <v>5.0</v>
      </c>
      <c r="L88" s="5" t="s">
        <v>1654</v>
      </c>
      <c r="M88" s="5" t="s">
        <v>1402</v>
      </c>
      <c r="N88" s="80" t="s">
        <v>2214</v>
      </c>
      <c r="O88" s="5"/>
      <c r="P88" s="5"/>
      <c r="Q88" s="5"/>
      <c r="R88" s="5"/>
      <c r="S88" s="80"/>
      <c r="T88" s="26" t="s">
        <v>2006</v>
      </c>
      <c r="U88" s="34" t="s">
        <v>22</v>
      </c>
      <c r="V88" s="81"/>
      <c r="W88" s="81"/>
      <c r="X88" s="5"/>
      <c r="Y88" s="67"/>
      <c r="Z88" s="67"/>
      <c r="AA88" s="67"/>
      <c r="AB88" s="67"/>
      <c r="AC88" s="67"/>
      <c r="AD88" s="67"/>
      <c r="AE88" s="67"/>
      <c r="AF88" s="67"/>
      <c r="AG88" s="67"/>
      <c r="AH88" s="67"/>
    </row>
    <row r="89" ht="12.0" customHeight="1">
      <c r="A89" s="95" t="s">
        <v>2196</v>
      </c>
      <c r="B89" s="12">
        <v>20.0</v>
      </c>
      <c r="C89" s="26" t="s">
        <v>1634</v>
      </c>
      <c r="D89" s="78" t="s">
        <v>1650</v>
      </c>
      <c r="E89" s="78" t="s">
        <v>2059</v>
      </c>
      <c r="F89" s="5" t="s">
        <v>1141</v>
      </c>
      <c r="G89" s="26" t="s">
        <v>1650</v>
      </c>
      <c r="H89" s="12" t="s">
        <v>2215</v>
      </c>
      <c r="I89" s="12">
        <v>1.0</v>
      </c>
      <c r="J89" s="12" t="s">
        <v>2216</v>
      </c>
      <c r="K89" s="82">
        <v>1.0</v>
      </c>
      <c r="L89" s="5" t="s">
        <v>1654</v>
      </c>
      <c r="M89" s="12" t="s">
        <v>2208</v>
      </c>
      <c r="N89" s="83" t="s">
        <v>2217</v>
      </c>
      <c r="O89" s="5"/>
      <c r="P89" s="5"/>
      <c r="Q89" s="5"/>
      <c r="R89" s="5"/>
      <c r="S89" s="80"/>
      <c r="T89" s="26" t="s">
        <v>2006</v>
      </c>
      <c r="U89" s="34" t="s">
        <v>22</v>
      </c>
      <c r="V89" s="81"/>
      <c r="W89" s="81"/>
      <c r="X89" s="5"/>
      <c r="Y89" s="67"/>
      <c r="Z89" s="67"/>
      <c r="AA89" s="67"/>
      <c r="AB89" s="67"/>
      <c r="AC89" s="67"/>
      <c r="AD89" s="67"/>
      <c r="AE89" s="67"/>
      <c r="AF89" s="67"/>
      <c r="AG89" s="67"/>
      <c r="AH89" s="67"/>
    </row>
    <row r="90" ht="12.0" customHeight="1">
      <c r="A90" s="95" t="s">
        <v>2196</v>
      </c>
      <c r="B90" s="12">
        <v>22.0</v>
      </c>
      <c r="C90" s="26" t="s">
        <v>1634</v>
      </c>
      <c r="D90" s="78" t="s">
        <v>1650</v>
      </c>
      <c r="E90" s="78" t="s">
        <v>2059</v>
      </c>
      <c r="F90" s="5" t="s">
        <v>1141</v>
      </c>
      <c r="G90" s="26" t="s">
        <v>1650</v>
      </c>
      <c r="H90" s="12" t="s">
        <v>2215</v>
      </c>
      <c r="I90" s="12">
        <v>3.0</v>
      </c>
      <c r="J90" s="12" t="s">
        <v>2216</v>
      </c>
      <c r="K90" s="82">
        <v>3.0</v>
      </c>
      <c r="L90" s="5" t="s">
        <v>1654</v>
      </c>
      <c r="M90" s="12" t="s">
        <v>2208</v>
      </c>
      <c r="N90" s="83" t="s">
        <v>2217</v>
      </c>
      <c r="O90" s="5"/>
      <c r="P90" s="5"/>
      <c r="Q90" s="5"/>
      <c r="R90" s="5"/>
      <c r="S90" s="80"/>
      <c r="T90" s="26" t="s">
        <v>2006</v>
      </c>
      <c r="U90" s="34" t="s">
        <v>22</v>
      </c>
      <c r="V90" s="81"/>
      <c r="W90" s="81"/>
      <c r="X90" s="5"/>
      <c r="Y90" s="67"/>
      <c r="Z90" s="67"/>
      <c r="AA90" s="67"/>
      <c r="AB90" s="67"/>
      <c r="AC90" s="67"/>
      <c r="AD90" s="67"/>
      <c r="AE90" s="67"/>
      <c r="AF90" s="67"/>
      <c r="AG90" s="67"/>
      <c r="AH90" s="67"/>
    </row>
    <row r="91" ht="12.0" customHeight="1">
      <c r="A91" s="95" t="s">
        <v>2196</v>
      </c>
      <c r="B91" s="12">
        <v>23.0</v>
      </c>
      <c r="C91" s="26" t="s">
        <v>1634</v>
      </c>
      <c r="D91" s="78" t="s">
        <v>1650</v>
      </c>
      <c r="E91" s="78" t="s">
        <v>2059</v>
      </c>
      <c r="F91" s="5" t="s">
        <v>1141</v>
      </c>
      <c r="G91" s="26" t="s">
        <v>1650</v>
      </c>
      <c r="H91" s="12" t="s">
        <v>2215</v>
      </c>
      <c r="I91" s="12">
        <v>4.0</v>
      </c>
      <c r="J91" s="12" t="s">
        <v>2216</v>
      </c>
      <c r="K91" s="82">
        <v>4.0</v>
      </c>
      <c r="L91" s="5" t="s">
        <v>1654</v>
      </c>
      <c r="M91" s="12" t="s">
        <v>2208</v>
      </c>
      <c r="N91" s="83" t="s">
        <v>2217</v>
      </c>
      <c r="O91" s="5"/>
      <c r="P91" s="5"/>
      <c r="Q91" s="5"/>
      <c r="R91" s="5"/>
      <c r="S91" s="80"/>
      <c r="T91" s="26" t="s">
        <v>2006</v>
      </c>
      <c r="U91" s="34" t="s">
        <v>22</v>
      </c>
      <c r="V91" s="81"/>
      <c r="W91" s="81"/>
      <c r="X91" s="5"/>
      <c r="Y91" s="67"/>
      <c r="Z91" s="67"/>
      <c r="AA91" s="67"/>
      <c r="AB91" s="67"/>
      <c r="AC91" s="67"/>
      <c r="AD91" s="67"/>
      <c r="AE91" s="67"/>
      <c r="AF91" s="67"/>
      <c r="AG91" s="67"/>
      <c r="AH91" s="67"/>
    </row>
    <row r="92" ht="12.0" customHeight="1">
      <c r="A92" s="95" t="s">
        <v>2196</v>
      </c>
      <c r="B92" s="12">
        <v>24.0</v>
      </c>
      <c r="C92" s="26" t="s">
        <v>1634</v>
      </c>
      <c r="D92" s="78" t="s">
        <v>1650</v>
      </c>
      <c r="E92" s="78" t="s">
        <v>2059</v>
      </c>
      <c r="F92" s="5" t="s">
        <v>1141</v>
      </c>
      <c r="G92" s="26" t="s">
        <v>1650</v>
      </c>
      <c r="H92" s="12" t="s">
        <v>2215</v>
      </c>
      <c r="I92" s="12">
        <v>5.0</v>
      </c>
      <c r="J92" s="12" t="s">
        <v>2216</v>
      </c>
      <c r="K92" s="82">
        <v>5.0</v>
      </c>
      <c r="L92" s="5" t="s">
        <v>1654</v>
      </c>
      <c r="M92" s="12" t="s">
        <v>2208</v>
      </c>
      <c r="N92" s="83" t="s">
        <v>2217</v>
      </c>
      <c r="O92" s="5"/>
      <c r="P92" s="5"/>
      <c r="Q92" s="5"/>
      <c r="R92" s="5"/>
      <c r="S92" s="80"/>
      <c r="T92" s="26" t="s">
        <v>2006</v>
      </c>
      <c r="U92" s="34" t="s">
        <v>22</v>
      </c>
      <c r="V92" s="81"/>
      <c r="W92" s="81"/>
      <c r="X92" s="5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 ht="12.0" customHeight="1">
      <c r="A93" s="95" t="s">
        <v>2196</v>
      </c>
      <c r="B93" s="12">
        <v>25.0</v>
      </c>
      <c r="C93" s="26" t="s">
        <v>1634</v>
      </c>
      <c r="D93" s="78" t="s">
        <v>1650</v>
      </c>
      <c r="E93" s="78" t="s">
        <v>2059</v>
      </c>
      <c r="F93" s="5" t="s">
        <v>1141</v>
      </c>
      <c r="G93" s="26" t="s">
        <v>1650</v>
      </c>
      <c r="H93" s="12" t="s">
        <v>2215</v>
      </c>
      <c r="I93" s="12">
        <v>6.0</v>
      </c>
      <c r="J93" s="12" t="s">
        <v>2216</v>
      </c>
      <c r="K93" s="82">
        <v>6.0</v>
      </c>
      <c r="L93" s="5" t="s">
        <v>1654</v>
      </c>
      <c r="M93" s="12" t="s">
        <v>2208</v>
      </c>
      <c r="N93" s="83" t="s">
        <v>2217</v>
      </c>
      <c r="O93" s="5"/>
      <c r="P93" s="5"/>
      <c r="Q93" s="5"/>
      <c r="R93" s="5"/>
      <c r="S93" s="80"/>
      <c r="T93" s="26" t="s">
        <v>2006</v>
      </c>
      <c r="U93" s="34" t="s">
        <v>22</v>
      </c>
      <c r="V93" s="81"/>
      <c r="W93" s="81"/>
      <c r="X93" s="5"/>
      <c r="Y93" s="67"/>
      <c r="Z93" s="67"/>
      <c r="AA93" s="67"/>
      <c r="AB93" s="67"/>
      <c r="AC93" s="67"/>
      <c r="AD93" s="67"/>
      <c r="AE93" s="67"/>
      <c r="AF93" s="67"/>
      <c r="AG93" s="67"/>
      <c r="AH93" s="67"/>
    </row>
    <row r="94" ht="12.0" customHeight="1">
      <c r="A94" s="95" t="s">
        <v>2196</v>
      </c>
      <c r="B94" s="12">
        <v>26.0</v>
      </c>
      <c r="C94" s="26" t="s">
        <v>1634</v>
      </c>
      <c r="D94" s="78" t="s">
        <v>1650</v>
      </c>
      <c r="E94" s="78" t="s">
        <v>2059</v>
      </c>
      <c r="F94" s="5" t="s">
        <v>1141</v>
      </c>
      <c r="G94" s="26" t="s">
        <v>1650</v>
      </c>
      <c r="H94" s="12" t="s">
        <v>2215</v>
      </c>
      <c r="I94" s="12">
        <v>7.0</v>
      </c>
      <c r="J94" s="12" t="s">
        <v>2218</v>
      </c>
      <c r="K94" s="82">
        <v>1.0</v>
      </c>
      <c r="L94" s="5" t="s">
        <v>1654</v>
      </c>
      <c r="M94" s="12" t="s">
        <v>2219</v>
      </c>
      <c r="N94" s="94" t="s">
        <v>2220</v>
      </c>
      <c r="O94" s="5"/>
      <c r="P94" s="5"/>
      <c r="Q94" s="5"/>
      <c r="R94" s="5"/>
      <c r="S94" s="80"/>
      <c r="T94" s="26" t="s">
        <v>2006</v>
      </c>
      <c r="U94" s="34" t="s">
        <v>22</v>
      </c>
      <c r="V94" s="81"/>
      <c r="W94" s="81"/>
      <c r="X94" s="5"/>
      <c r="Y94" s="67"/>
      <c r="Z94" s="67"/>
      <c r="AA94" s="67"/>
      <c r="AB94" s="67"/>
      <c r="AC94" s="67"/>
      <c r="AD94" s="67"/>
      <c r="AE94" s="67"/>
      <c r="AF94" s="67"/>
      <c r="AG94" s="67"/>
      <c r="AH94" s="67"/>
    </row>
    <row r="95" ht="12.0" hidden="1" customHeight="1">
      <c r="A95" s="12" t="s">
        <v>2007</v>
      </c>
      <c r="B95" s="5">
        <v>1.0</v>
      </c>
      <c r="C95" s="26" t="s">
        <v>1634</v>
      </c>
      <c r="D95" s="78" t="s">
        <v>2007</v>
      </c>
      <c r="E95" s="78" t="s">
        <v>2001</v>
      </c>
      <c r="F95" s="5" t="s">
        <v>1141</v>
      </c>
      <c r="G95" s="26" t="s">
        <v>1531</v>
      </c>
      <c r="H95" s="5" t="s">
        <v>2079</v>
      </c>
      <c r="I95" s="5">
        <v>457.0</v>
      </c>
      <c r="J95" s="5"/>
      <c r="K95" s="79"/>
      <c r="L95" s="5" t="s">
        <v>2221</v>
      </c>
      <c r="M95" s="12" t="s">
        <v>2222</v>
      </c>
      <c r="N95" s="83" t="s">
        <v>2223</v>
      </c>
      <c r="O95" s="5" t="s">
        <v>2079</v>
      </c>
      <c r="P95" s="12">
        <v>395.0</v>
      </c>
      <c r="Q95" s="5" t="s">
        <v>2221</v>
      </c>
      <c r="R95" s="5" t="s">
        <v>2224</v>
      </c>
      <c r="S95" s="83" t="s">
        <v>2225</v>
      </c>
      <c r="T95" s="26" t="s">
        <v>2006</v>
      </c>
      <c r="U95" s="34" t="s">
        <v>22</v>
      </c>
      <c r="V95" s="81"/>
      <c r="W95" s="81"/>
      <c r="X95" s="12" t="s">
        <v>2226</v>
      </c>
      <c r="Y95" s="67"/>
      <c r="Z95" s="67"/>
      <c r="AA95" s="67"/>
      <c r="AB95" s="67"/>
      <c r="AC95" s="67"/>
      <c r="AD95" s="67"/>
      <c r="AE95" s="67"/>
      <c r="AF95" s="67"/>
      <c r="AG95" s="67"/>
      <c r="AH95" s="67"/>
    </row>
    <row r="96" ht="12.0" hidden="1" customHeight="1">
      <c r="A96" s="12" t="s">
        <v>2007</v>
      </c>
      <c r="B96" s="12">
        <v>7.0</v>
      </c>
      <c r="C96" s="26" t="s">
        <v>1634</v>
      </c>
      <c r="D96" s="78" t="s">
        <v>2007</v>
      </c>
      <c r="E96" s="78" t="s">
        <v>2001</v>
      </c>
      <c r="F96" s="12" t="s">
        <v>1141</v>
      </c>
      <c r="G96" s="26" t="s">
        <v>1531</v>
      </c>
      <c r="H96" s="12" t="s">
        <v>2227</v>
      </c>
      <c r="I96" s="12">
        <v>1.0</v>
      </c>
      <c r="J96" s="5"/>
      <c r="K96" s="79"/>
      <c r="L96" s="12" t="s">
        <v>1707</v>
      </c>
      <c r="M96" s="12" t="s">
        <v>2228</v>
      </c>
      <c r="N96" s="93" t="s">
        <v>2229</v>
      </c>
      <c r="O96" s="5"/>
      <c r="P96" s="12"/>
      <c r="Q96" s="5"/>
      <c r="R96" s="5"/>
      <c r="S96" s="84"/>
      <c r="T96" s="26" t="s">
        <v>2006</v>
      </c>
      <c r="U96" s="34" t="s">
        <v>22</v>
      </c>
      <c r="V96" s="81"/>
      <c r="W96" s="81"/>
      <c r="X96" s="12"/>
      <c r="Y96" s="67"/>
      <c r="Z96" s="67"/>
      <c r="AA96" s="67"/>
      <c r="AB96" s="67"/>
      <c r="AC96" s="67"/>
      <c r="AD96" s="67"/>
      <c r="AE96" s="67"/>
      <c r="AF96" s="67"/>
      <c r="AG96" s="67"/>
      <c r="AH96" s="67"/>
    </row>
    <row r="97" ht="12.0" hidden="1" customHeight="1">
      <c r="A97" s="12" t="s">
        <v>2007</v>
      </c>
      <c r="B97" s="12">
        <v>10.0</v>
      </c>
      <c r="C97" s="26" t="s">
        <v>1634</v>
      </c>
      <c r="D97" s="78" t="s">
        <v>2007</v>
      </c>
      <c r="E97" s="78" t="s">
        <v>2001</v>
      </c>
      <c r="F97" s="12" t="s">
        <v>1141</v>
      </c>
      <c r="G97" s="26" t="s">
        <v>1531</v>
      </c>
      <c r="H97" s="12" t="s">
        <v>2230</v>
      </c>
      <c r="I97" s="12">
        <v>65.0</v>
      </c>
      <c r="J97" s="5"/>
      <c r="K97" s="79"/>
      <c r="L97" s="12" t="s">
        <v>2231</v>
      </c>
      <c r="M97" s="12" t="s">
        <v>2232</v>
      </c>
      <c r="N97" s="83" t="s">
        <v>2233</v>
      </c>
      <c r="O97" s="5"/>
      <c r="P97" s="12"/>
      <c r="Q97" s="5"/>
      <c r="R97" s="5"/>
      <c r="S97" s="84"/>
      <c r="T97" s="26" t="s">
        <v>2006</v>
      </c>
      <c r="U97" s="34" t="s">
        <v>22</v>
      </c>
      <c r="V97" s="81"/>
      <c r="W97" s="81"/>
      <c r="X97" s="12"/>
      <c r="Y97" s="67"/>
      <c r="Z97" s="67"/>
      <c r="AA97" s="67"/>
      <c r="AB97" s="67"/>
      <c r="AC97" s="67"/>
      <c r="AD97" s="67"/>
      <c r="AE97" s="67"/>
      <c r="AF97" s="67"/>
      <c r="AG97" s="67"/>
      <c r="AH97" s="67"/>
    </row>
    <row r="98" ht="12.0" customHeight="1">
      <c r="A98" s="12" t="s">
        <v>2007</v>
      </c>
      <c r="B98" s="12">
        <v>13.0</v>
      </c>
      <c r="C98" s="26" t="s">
        <v>1634</v>
      </c>
      <c r="D98" s="78" t="s">
        <v>2007</v>
      </c>
      <c r="E98" s="78" t="s">
        <v>2059</v>
      </c>
      <c r="F98" s="12" t="s">
        <v>1141</v>
      </c>
      <c r="G98" s="26" t="s">
        <v>1531</v>
      </c>
      <c r="H98" s="12" t="s">
        <v>2234</v>
      </c>
      <c r="I98" s="12">
        <v>22.0</v>
      </c>
      <c r="J98" s="12" t="s">
        <v>2235</v>
      </c>
      <c r="K98" s="82">
        <v>3.0</v>
      </c>
      <c r="L98" s="12" t="s">
        <v>2236</v>
      </c>
      <c r="M98" s="12" t="s">
        <v>2237</v>
      </c>
      <c r="N98" s="83" t="s">
        <v>2238</v>
      </c>
      <c r="O98" s="5"/>
      <c r="P98" s="12"/>
      <c r="Q98" s="5"/>
      <c r="R98" s="5"/>
      <c r="S98" s="84"/>
      <c r="T98" s="26" t="s">
        <v>2006</v>
      </c>
      <c r="U98" s="34" t="s">
        <v>22</v>
      </c>
      <c r="V98" s="81"/>
      <c r="W98" s="81"/>
      <c r="X98" s="12"/>
      <c r="Y98" s="67"/>
      <c r="Z98" s="67"/>
      <c r="AA98" s="67"/>
      <c r="AB98" s="67"/>
      <c r="AC98" s="67"/>
      <c r="AD98" s="67"/>
      <c r="AE98" s="67"/>
      <c r="AF98" s="67"/>
      <c r="AG98" s="67"/>
      <c r="AH98" s="67"/>
    </row>
    <row r="99" ht="12.0" hidden="1" customHeight="1">
      <c r="A99" s="12" t="s">
        <v>2007</v>
      </c>
      <c r="B99" s="12">
        <v>14.0</v>
      </c>
      <c r="C99" s="26" t="s">
        <v>1634</v>
      </c>
      <c r="D99" s="78" t="s">
        <v>2007</v>
      </c>
      <c r="E99" s="78" t="s">
        <v>2001</v>
      </c>
      <c r="F99" s="12" t="s">
        <v>1141</v>
      </c>
      <c r="G99" s="26" t="s">
        <v>1531</v>
      </c>
      <c r="H99" s="12" t="s">
        <v>2007</v>
      </c>
      <c r="I99" s="12">
        <v>586.0</v>
      </c>
      <c r="J99" s="5"/>
      <c r="K99" s="79"/>
      <c r="L99" s="12" t="s">
        <v>2239</v>
      </c>
      <c r="M99" s="12" t="s">
        <v>2240</v>
      </c>
      <c r="N99" s="83" t="s">
        <v>2241</v>
      </c>
      <c r="O99" s="5"/>
      <c r="P99" s="12"/>
      <c r="Q99" s="5"/>
      <c r="R99" s="5"/>
      <c r="S99" s="84"/>
      <c r="T99" s="26" t="s">
        <v>2006</v>
      </c>
      <c r="U99" s="34" t="s">
        <v>22</v>
      </c>
      <c r="V99" s="81"/>
      <c r="W99" s="81"/>
      <c r="X99" s="12"/>
      <c r="Y99" s="67"/>
      <c r="Z99" s="67"/>
      <c r="AA99" s="67"/>
      <c r="AB99" s="67"/>
      <c r="AC99" s="67"/>
      <c r="AD99" s="67"/>
      <c r="AE99" s="67"/>
      <c r="AF99" s="67"/>
      <c r="AG99" s="67"/>
      <c r="AH99" s="67"/>
    </row>
    <row r="100" ht="12.0" customHeight="1">
      <c r="A100" s="12" t="s">
        <v>2007</v>
      </c>
      <c r="B100" s="12">
        <v>16.0</v>
      </c>
      <c r="C100" s="26" t="s">
        <v>1634</v>
      </c>
      <c r="D100" s="78" t="s">
        <v>2007</v>
      </c>
      <c r="E100" s="78" t="s">
        <v>2059</v>
      </c>
      <c r="F100" s="5" t="s">
        <v>1141</v>
      </c>
      <c r="G100" s="26" t="s">
        <v>1531</v>
      </c>
      <c r="H100" s="5" t="s">
        <v>2079</v>
      </c>
      <c r="I100" s="12">
        <v>698.0</v>
      </c>
      <c r="J100" s="12" t="s">
        <v>2242</v>
      </c>
      <c r="K100" s="82" t="s">
        <v>2243</v>
      </c>
      <c r="L100" s="5" t="s">
        <v>2081</v>
      </c>
      <c r="M100" s="12" t="s">
        <v>2244</v>
      </c>
      <c r="N100" s="83" t="s">
        <v>2245</v>
      </c>
      <c r="O100" s="5" t="s">
        <v>2079</v>
      </c>
      <c r="P100" s="12">
        <v>699.0</v>
      </c>
      <c r="Q100" s="5" t="s">
        <v>2081</v>
      </c>
      <c r="R100" s="12" t="s">
        <v>2244</v>
      </c>
      <c r="S100" s="83" t="s">
        <v>2245</v>
      </c>
      <c r="T100" s="26" t="s">
        <v>2006</v>
      </c>
      <c r="U100" s="34" t="s">
        <v>22</v>
      </c>
      <c r="V100" s="81"/>
      <c r="W100" s="81"/>
      <c r="X100" s="12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 ht="12.0" customHeight="1">
      <c r="A101" s="5" t="s">
        <v>2007</v>
      </c>
      <c r="B101" s="12">
        <v>22.0</v>
      </c>
      <c r="C101" s="26" t="s">
        <v>1634</v>
      </c>
      <c r="D101" s="78" t="s">
        <v>2007</v>
      </c>
      <c r="E101" s="78" t="s">
        <v>2059</v>
      </c>
      <c r="F101" s="5" t="s">
        <v>1141</v>
      </c>
      <c r="G101" s="26" t="s">
        <v>1531</v>
      </c>
      <c r="H101" s="12" t="s">
        <v>2007</v>
      </c>
      <c r="I101" s="12">
        <v>613.0</v>
      </c>
      <c r="J101" s="12" t="s">
        <v>2246</v>
      </c>
      <c r="K101" s="82">
        <v>6.0</v>
      </c>
      <c r="L101" s="12" t="s">
        <v>1554</v>
      </c>
      <c r="M101" s="5" t="s">
        <v>2158</v>
      </c>
      <c r="N101" s="83" t="s">
        <v>2247</v>
      </c>
      <c r="O101" s="5" t="s">
        <v>2248</v>
      </c>
      <c r="P101" s="12" t="s">
        <v>2249</v>
      </c>
      <c r="Q101" s="12" t="s">
        <v>2250</v>
      </c>
      <c r="R101" s="12" t="s">
        <v>2251</v>
      </c>
      <c r="S101" s="94" t="s">
        <v>2252</v>
      </c>
      <c r="T101" s="26" t="s">
        <v>2006</v>
      </c>
      <c r="U101" s="34" t="s">
        <v>22</v>
      </c>
      <c r="V101" s="81"/>
      <c r="W101" s="81"/>
      <c r="X101" s="12" t="s">
        <v>2253</v>
      </c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</row>
    <row r="102" ht="12.0" customHeight="1">
      <c r="A102" s="12" t="s">
        <v>2007</v>
      </c>
      <c r="B102" s="12">
        <v>23.0</v>
      </c>
      <c r="C102" s="26" t="s">
        <v>1634</v>
      </c>
      <c r="D102" s="78" t="s">
        <v>2007</v>
      </c>
      <c r="E102" s="78" t="s">
        <v>2059</v>
      </c>
      <c r="F102" s="12" t="s">
        <v>1141</v>
      </c>
      <c r="G102" s="26" t="s">
        <v>1531</v>
      </c>
      <c r="H102" s="12" t="s">
        <v>2007</v>
      </c>
      <c r="I102" s="12">
        <v>614.0</v>
      </c>
      <c r="J102" s="12" t="s">
        <v>2246</v>
      </c>
      <c r="K102" s="82">
        <v>7.0</v>
      </c>
      <c r="L102" s="12" t="s">
        <v>1554</v>
      </c>
      <c r="M102" s="5" t="s">
        <v>2158</v>
      </c>
      <c r="N102" s="83" t="s">
        <v>2254</v>
      </c>
      <c r="O102" s="12" t="s">
        <v>2255</v>
      </c>
      <c r="P102" s="12">
        <v>154.0</v>
      </c>
      <c r="Q102" s="12" t="s">
        <v>2256</v>
      </c>
      <c r="R102" s="12" t="s">
        <v>2257</v>
      </c>
      <c r="S102" s="83" t="s">
        <v>2258</v>
      </c>
      <c r="T102" s="26" t="s">
        <v>2006</v>
      </c>
      <c r="U102" s="34" t="s">
        <v>22</v>
      </c>
      <c r="V102" s="81"/>
      <c r="W102" s="81"/>
      <c r="X102" s="12" t="s">
        <v>2259</v>
      </c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 ht="12.0" customHeight="1">
      <c r="A103" s="12" t="s">
        <v>2007</v>
      </c>
      <c r="B103" s="12">
        <v>24.0</v>
      </c>
      <c r="C103" s="26" t="s">
        <v>1634</v>
      </c>
      <c r="D103" s="78" t="s">
        <v>2007</v>
      </c>
      <c r="E103" s="78" t="s">
        <v>2059</v>
      </c>
      <c r="F103" s="12" t="s">
        <v>1141</v>
      </c>
      <c r="G103" s="26" t="s">
        <v>1531</v>
      </c>
      <c r="H103" s="12" t="s">
        <v>2007</v>
      </c>
      <c r="I103" s="12">
        <v>615.0</v>
      </c>
      <c r="J103" s="12" t="s">
        <v>2246</v>
      </c>
      <c r="K103" s="82">
        <v>8.0</v>
      </c>
      <c r="L103" s="12" t="s">
        <v>1554</v>
      </c>
      <c r="M103" s="5" t="s">
        <v>2158</v>
      </c>
      <c r="N103" s="83" t="s">
        <v>2254</v>
      </c>
      <c r="O103" s="12" t="s">
        <v>2255</v>
      </c>
      <c r="P103" s="12">
        <v>155.0</v>
      </c>
      <c r="Q103" s="12" t="s">
        <v>2256</v>
      </c>
      <c r="R103" s="12" t="s">
        <v>2257</v>
      </c>
      <c r="S103" s="83" t="s">
        <v>2260</v>
      </c>
      <c r="T103" s="26" t="s">
        <v>2006</v>
      </c>
      <c r="U103" s="34" t="s">
        <v>22</v>
      </c>
      <c r="V103" s="81"/>
      <c r="W103" s="81"/>
      <c r="X103" s="12" t="s">
        <v>2261</v>
      </c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</row>
    <row r="104" ht="12.0" customHeight="1">
      <c r="A104" s="5" t="s">
        <v>2007</v>
      </c>
      <c r="B104" s="5">
        <v>29.0</v>
      </c>
      <c r="C104" s="26" t="s">
        <v>1634</v>
      </c>
      <c r="D104" s="78" t="s">
        <v>2007</v>
      </c>
      <c r="E104" s="78" t="s">
        <v>2059</v>
      </c>
      <c r="F104" s="5" t="s">
        <v>1141</v>
      </c>
      <c r="G104" s="26" t="s">
        <v>1531</v>
      </c>
      <c r="H104" s="5" t="s">
        <v>2248</v>
      </c>
      <c r="I104" s="5">
        <v>44.0</v>
      </c>
      <c r="J104" s="12" t="s">
        <v>2262</v>
      </c>
      <c r="K104" s="82" t="s">
        <v>2243</v>
      </c>
      <c r="L104" s="5" t="s">
        <v>2263</v>
      </c>
      <c r="M104" s="5" t="s">
        <v>2251</v>
      </c>
      <c r="N104" s="80" t="s">
        <v>2264</v>
      </c>
      <c r="O104" s="5" t="s">
        <v>2248</v>
      </c>
      <c r="P104" s="12">
        <v>45.0</v>
      </c>
      <c r="Q104" s="5" t="s">
        <v>2263</v>
      </c>
      <c r="R104" s="5" t="s">
        <v>2251</v>
      </c>
      <c r="S104" s="83" t="s">
        <v>2265</v>
      </c>
      <c r="T104" s="26" t="s">
        <v>2006</v>
      </c>
      <c r="U104" s="34" t="s">
        <v>22</v>
      </c>
      <c r="V104" s="81"/>
      <c r="W104" s="81"/>
      <c r="X104" s="5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</row>
    <row r="105" ht="12.0" customHeight="1">
      <c r="A105" s="12" t="s">
        <v>2007</v>
      </c>
      <c r="B105" s="12">
        <v>30.0</v>
      </c>
      <c r="C105" s="26" t="s">
        <v>1634</v>
      </c>
      <c r="D105" s="78" t="s">
        <v>2007</v>
      </c>
      <c r="E105" s="78" t="s">
        <v>2059</v>
      </c>
      <c r="F105" s="12" t="s">
        <v>1141</v>
      </c>
      <c r="G105" s="26" t="s">
        <v>1531</v>
      </c>
      <c r="H105" s="12" t="s">
        <v>2007</v>
      </c>
      <c r="I105" s="12">
        <v>620.0</v>
      </c>
      <c r="J105" s="12" t="s">
        <v>2266</v>
      </c>
      <c r="K105" s="82" t="s">
        <v>2171</v>
      </c>
      <c r="L105" s="12" t="s">
        <v>1587</v>
      </c>
      <c r="M105" s="12" t="s">
        <v>2267</v>
      </c>
      <c r="N105" s="83" t="s">
        <v>2268</v>
      </c>
      <c r="O105" s="12" t="s">
        <v>2007</v>
      </c>
      <c r="P105" s="12">
        <v>621.0</v>
      </c>
      <c r="Q105" s="12" t="s">
        <v>1587</v>
      </c>
      <c r="R105" s="12" t="s">
        <v>2267</v>
      </c>
      <c r="S105" s="93" t="s">
        <v>2268</v>
      </c>
      <c r="T105" s="26" t="s">
        <v>2006</v>
      </c>
      <c r="U105" s="34" t="s">
        <v>22</v>
      </c>
      <c r="V105" s="81"/>
      <c r="W105" s="81"/>
      <c r="X105" s="5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</row>
    <row r="106" ht="12.0" customHeight="1">
      <c r="A106" s="12" t="s">
        <v>2007</v>
      </c>
      <c r="B106" s="12">
        <v>35.0</v>
      </c>
      <c r="C106" s="26" t="s">
        <v>1634</v>
      </c>
      <c r="D106" s="78" t="s">
        <v>2007</v>
      </c>
      <c r="E106" s="78" t="s">
        <v>2059</v>
      </c>
      <c r="F106" s="12" t="s">
        <v>1141</v>
      </c>
      <c r="G106" s="26" t="s">
        <v>1531</v>
      </c>
      <c r="H106" s="12" t="s">
        <v>2007</v>
      </c>
      <c r="I106" s="12">
        <v>630.0</v>
      </c>
      <c r="J106" s="12" t="s">
        <v>2269</v>
      </c>
      <c r="K106" s="82">
        <v>5.0</v>
      </c>
      <c r="L106" s="12" t="s">
        <v>2270</v>
      </c>
      <c r="M106" s="12" t="s">
        <v>2271</v>
      </c>
      <c r="N106" s="83" t="s">
        <v>2272</v>
      </c>
      <c r="O106" s="5"/>
      <c r="P106" s="12"/>
      <c r="Q106" s="5"/>
      <c r="R106" s="5"/>
      <c r="S106" s="84"/>
      <c r="T106" s="26" t="s">
        <v>2006</v>
      </c>
      <c r="U106" s="34" t="s">
        <v>22</v>
      </c>
      <c r="V106" s="81"/>
      <c r="W106" s="81"/>
      <c r="X106" s="12" t="s">
        <v>2273</v>
      </c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 ht="12.0" customHeight="1">
      <c r="A107" s="12" t="s">
        <v>2007</v>
      </c>
      <c r="B107" s="12">
        <v>36.0</v>
      </c>
      <c r="C107" s="26" t="s">
        <v>1634</v>
      </c>
      <c r="D107" s="78" t="s">
        <v>2007</v>
      </c>
      <c r="E107" s="78" t="s">
        <v>2059</v>
      </c>
      <c r="F107" s="12" t="s">
        <v>1141</v>
      </c>
      <c r="G107" s="26" t="s">
        <v>1531</v>
      </c>
      <c r="H107" s="12" t="s">
        <v>2274</v>
      </c>
      <c r="I107" s="12">
        <v>1.0</v>
      </c>
      <c r="J107" s="12"/>
      <c r="K107" s="82"/>
      <c r="L107" s="12" t="s">
        <v>1561</v>
      </c>
      <c r="M107" s="12" t="s">
        <v>2158</v>
      </c>
      <c r="N107" s="83" t="s">
        <v>2275</v>
      </c>
      <c r="O107" s="5"/>
      <c r="P107" s="12"/>
      <c r="Q107" s="5"/>
      <c r="R107" s="5"/>
      <c r="S107" s="84"/>
      <c r="T107" s="26" t="s">
        <v>2006</v>
      </c>
      <c r="U107" s="34" t="s">
        <v>22</v>
      </c>
      <c r="V107" s="81"/>
      <c r="W107" s="81"/>
      <c r="X107" s="12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</row>
    <row r="108" ht="12.0" hidden="1" customHeight="1">
      <c r="A108" s="5" t="s">
        <v>2007</v>
      </c>
      <c r="B108" s="12">
        <v>40.0</v>
      </c>
      <c r="C108" s="26" t="s">
        <v>1634</v>
      </c>
      <c r="D108" s="78" t="s">
        <v>2007</v>
      </c>
      <c r="E108" s="78" t="s">
        <v>2001</v>
      </c>
      <c r="F108" s="5" t="s">
        <v>1141</v>
      </c>
      <c r="G108" s="26" t="s">
        <v>1531</v>
      </c>
      <c r="H108" s="5" t="s">
        <v>2079</v>
      </c>
      <c r="I108" s="12">
        <v>821.0</v>
      </c>
      <c r="J108" s="12"/>
      <c r="K108" s="82"/>
      <c r="L108" s="12" t="s">
        <v>2276</v>
      </c>
      <c r="M108" s="12" t="s">
        <v>2277</v>
      </c>
      <c r="N108" s="83" t="s">
        <v>2278</v>
      </c>
      <c r="O108" s="5"/>
      <c r="P108" s="12"/>
      <c r="Q108" s="5"/>
      <c r="R108" s="12"/>
      <c r="S108" s="84"/>
      <c r="T108" s="26" t="s">
        <v>2006</v>
      </c>
      <c r="U108" s="34" t="s">
        <v>22</v>
      </c>
      <c r="V108" s="81"/>
      <c r="W108" s="81"/>
      <c r="X108" s="12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</row>
    <row r="109" ht="12.0" hidden="1" customHeight="1">
      <c r="A109" s="12" t="s">
        <v>2007</v>
      </c>
      <c r="B109" s="12">
        <v>41.0</v>
      </c>
      <c r="C109" s="26" t="s">
        <v>1634</v>
      </c>
      <c r="D109" s="78" t="s">
        <v>2007</v>
      </c>
      <c r="E109" s="78" t="s">
        <v>2001</v>
      </c>
      <c r="F109" s="12" t="s">
        <v>1141</v>
      </c>
      <c r="G109" s="26" t="s">
        <v>1531</v>
      </c>
      <c r="H109" s="12" t="s">
        <v>2079</v>
      </c>
      <c r="I109" s="12">
        <v>822.0</v>
      </c>
      <c r="J109" s="12"/>
      <c r="K109" s="82"/>
      <c r="L109" s="12" t="s">
        <v>2276</v>
      </c>
      <c r="M109" s="12" t="s">
        <v>2279</v>
      </c>
      <c r="N109" s="83" t="s">
        <v>2280</v>
      </c>
      <c r="O109" s="5"/>
      <c r="P109" s="12"/>
      <c r="Q109" s="5"/>
      <c r="R109" s="12"/>
      <c r="S109" s="84"/>
      <c r="T109" s="26" t="s">
        <v>2006</v>
      </c>
      <c r="U109" s="34" t="s">
        <v>22</v>
      </c>
      <c r="V109" s="81"/>
      <c r="W109" s="81"/>
      <c r="X109" s="12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</row>
    <row r="110" ht="12.0" hidden="1" customHeight="1">
      <c r="A110" s="5" t="s">
        <v>2007</v>
      </c>
      <c r="B110" s="12">
        <v>42.0</v>
      </c>
      <c r="C110" s="26" t="s">
        <v>1634</v>
      </c>
      <c r="D110" s="78" t="s">
        <v>2007</v>
      </c>
      <c r="E110" s="78" t="s">
        <v>2001</v>
      </c>
      <c r="F110" s="5" t="s">
        <v>1141</v>
      </c>
      <c r="G110" s="26" t="s">
        <v>1531</v>
      </c>
      <c r="H110" s="5" t="s">
        <v>2079</v>
      </c>
      <c r="I110" s="12">
        <v>823.0</v>
      </c>
      <c r="J110" s="12"/>
      <c r="K110" s="82"/>
      <c r="L110" s="12" t="s">
        <v>2276</v>
      </c>
      <c r="M110" s="12" t="s">
        <v>2281</v>
      </c>
      <c r="N110" s="83" t="s">
        <v>2282</v>
      </c>
      <c r="O110" s="5"/>
      <c r="P110" s="12"/>
      <c r="Q110" s="5"/>
      <c r="R110" s="12"/>
      <c r="S110" s="84"/>
      <c r="T110" s="26" t="s">
        <v>2006</v>
      </c>
      <c r="U110" s="34" t="s">
        <v>22</v>
      </c>
      <c r="V110" s="81"/>
      <c r="W110" s="81"/>
      <c r="X110" s="12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</row>
    <row r="111" ht="12.0" hidden="1" customHeight="1">
      <c r="A111" s="12" t="s">
        <v>2283</v>
      </c>
      <c r="B111" s="12">
        <v>14.0</v>
      </c>
      <c r="C111" s="26" t="s">
        <v>1634</v>
      </c>
      <c r="D111" s="78" t="s">
        <v>2007</v>
      </c>
      <c r="E111" s="78" t="s">
        <v>2001</v>
      </c>
      <c r="F111" s="5" t="s">
        <v>1141</v>
      </c>
      <c r="G111" s="26" t="s">
        <v>1531</v>
      </c>
      <c r="H111" s="12" t="s">
        <v>2255</v>
      </c>
      <c r="I111" s="12">
        <v>89.0</v>
      </c>
      <c r="J111" s="12" t="s">
        <v>2284</v>
      </c>
      <c r="K111" s="82" t="s">
        <v>2171</v>
      </c>
      <c r="L111" s="12" t="s">
        <v>2010</v>
      </c>
      <c r="M111" s="12" t="s">
        <v>2285</v>
      </c>
      <c r="N111" s="83" t="s">
        <v>2286</v>
      </c>
      <c r="O111" s="12" t="s">
        <v>2255</v>
      </c>
      <c r="P111" s="12">
        <v>90.0</v>
      </c>
      <c r="Q111" s="12" t="s">
        <v>2010</v>
      </c>
      <c r="R111" s="12" t="s">
        <v>2285</v>
      </c>
      <c r="S111" s="83" t="s">
        <v>2287</v>
      </c>
      <c r="T111" s="42" t="s">
        <v>2003</v>
      </c>
      <c r="U111" s="49" t="s">
        <v>22</v>
      </c>
      <c r="V111" s="90"/>
      <c r="W111" s="90"/>
      <c r="X111" s="12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</row>
    <row r="112" ht="12.0" customHeight="1">
      <c r="A112" s="12" t="s">
        <v>2283</v>
      </c>
      <c r="B112" s="12">
        <v>18.0</v>
      </c>
      <c r="C112" s="26" t="s">
        <v>1634</v>
      </c>
      <c r="D112" s="78" t="s">
        <v>2007</v>
      </c>
      <c r="E112" s="78" t="s">
        <v>2059</v>
      </c>
      <c r="F112" s="5" t="s">
        <v>1141</v>
      </c>
      <c r="G112" s="26" t="s">
        <v>1531</v>
      </c>
      <c r="H112" s="5" t="s">
        <v>2079</v>
      </c>
      <c r="I112" s="12">
        <v>700.0</v>
      </c>
      <c r="J112" s="12" t="s">
        <v>2288</v>
      </c>
      <c r="K112" s="82">
        <v>1.0</v>
      </c>
      <c r="L112" s="12" t="s">
        <v>2081</v>
      </c>
      <c r="M112" s="12" t="s">
        <v>2085</v>
      </c>
      <c r="N112" s="83" t="s">
        <v>2289</v>
      </c>
      <c r="O112" s="5"/>
      <c r="P112" s="12"/>
      <c r="Q112" s="5"/>
      <c r="R112" s="12"/>
      <c r="S112" s="84"/>
      <c r="T112" s="42" t="s">
        <v>2003</v>
      </c>
      <c r="U112" s="49" t="s">
        <v>22</v>
      </c>
      <c r="V112" s="90"/>
      <c r="W112" s="90"/>
      <c r="X112" s="12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</row>
    <row r="113" ht="12.0" customHeight="1">
      <c r="A113" s="12" t="s">
        <v>2283</v>
      </c>
      <c r="B113" s="12">
        <v>19.0</v>
      </c>
      <c r="C113" s="26" t="s">
        <v>1634</v>
      </c>
      <c r="D113" s="78" t="s">
        <v>2007</v>
      </c>
      <c r="E113" s="78" t="s">
        <v>2059</v>
      </c>
      <c r="F113" s="5" t="s">
        <v>1141</v>
      </c>
      <c r="G113" s="26" t="s">
        <v>1531</v>
      </c>
      <c r="H113" s="5" t="s">
        <v>2079</v>
      </c>
      <c r="I113" s="12">
        <v>701.0</v>
      </c>
      <c r="J113" s="12" t="s">
        <v>2288</v>
      </c>
      <c r="K113" s="82" t="s">
        <v>2290</v>
      </c>
      <c r="L113" s="12" t="s">
        <v>2081</v>
      </c>
      <c r="M113" s="12" t="s">
        <v>2085</v>
      </c>
      <c r="N113" s="83" t="s">
        <v>2291</v>
      </c>
      <c r="O113" s="12" t="s">
        <v>2292</v>
      </c>
      <c r="P113" s="12">
        <v>33.0</v>
      </c>
      <c r="Q113" s="12" t="s">
        <v>2081</v>
      </c>
      <c r="R113" s="12" t="s">
        <v>2293</v>
      </c>
      <c r="S113" s="83" t="s">
        <v>2294</v>
      </c>
      <c r="T113" s="42" t="s">
        <v>2003</v>
      </c>
      <c r="U113" s="49" t="s">
        <v>22</v>
      </c>
      <c r="V113" s="90"/>
      <c r="W113" s="90"/>
      <c r="X113" s="12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</row>
    <row r="114" ht="12.0" hidden="1" customHeight="1">
      <c r="A114" s="5" t="s">
        <v>2295</v>
      </c>
      <c r="B114" s="12">
        <v>5.0</v>
      </c>
      <c r="C114" s="26" t="s">
        <v>1634</v>
      </c>
      <c r="D114" s="78" t="s">
        <v>2091</v>
      </c>
      <c r="E114" s="78" t="s">
        <v>2001</v>
      </c>
      <c r="F114" s="5" t="s">
        <v>1141</v>
      </c>
      <c r="G114" s="26" t="s">
        <v>1531</v>
      </c>
      <c r="H114" s="12" t="s">
        <v>1635</v>
      </c>
      <c r="I114" s="12">
        <v>7.0</v>
      </c>
      <c r="J114" s="5"/>
      <c r="K114" s="79"/>
      <c r="L114" s="12" t="s">
        <v>2092</v>
      </c>
      <c r="M114" s="12" t="s">
        <v>2296</v>
      </c>
      <c r="N114" s="83" t="s">
        <v>2297</v>
      </c>
      <c r="O114" s="5"/>
      <c r="P114" s="5"/>
      <c r="Q114" s="5"/>
      <c r="R114" s="5"/>
      <c r="S114" s="80"/>
      <c r="T114" s="26" t="s">
        <v>2006</v>
      </c>
      <c r="U114" s="34" t="s">
        <v>22</v>
      </c>
      <c r="V114" s="81"/>
      <c r="W114" s="81"/>
      <c r="X114" s="5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</row>
    <row r="115" ht="12.0" hidden="1" customHeight="1">
      <c r="A115" s="5" t="s">
        <v>2295</v>
      </c>
      <c r="B115" s="12">
        <v>7.0</v>
      </c>
      <c r="C115" s="26" t="s">
        <v>1634</v>
      </c>
      <c r="D115" s="78" t="s">
        <v>2091</v>
      </c>
      <c r="E115" s="78" t="s">
        <v>2001</v>
      </c>
      <c r="F115" s="5" t="s">
        <v>1141</v>
      </c>
      <c r="G115" s="26" t="s">
        <v>1531</v>
      </c>
      <c r="H115" s="5" t="s">
        <v>2096</v>
      </c>
      <c r="I115" s="12">
        <v>28.0</v>
      </c>
      <c r="J115" s="5"/>
      <c r="K115" s="79"/>
      <c r="L115" s="5" t="s">
        <v>2099</v>
      </c>
      <c r="M115" s="5" t="s">
        <v>2100</v>
      </c>
      <c r="N115" s="83" t="s">
        <v>2298</v>
      </c>
      <c r="O115" s="5"/>
      <c r="P115" s="5"/>
      <c r="Q115" s="5"/>
      <c r="R115" s="5"/>
      <c r="S115" s="80"/>
      <c r="T115" s="26" t="s">
        <v>2006</v>
      </c>
      <c r="U115" s="34" t="s">
        <v>22</v>
      </c>
      <c r="V115" s="81"/>
      <c r="W115" s="81"/>
      <c r="X115" s="5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</row>
    <row r="116" ht="12.0" hidden="1" customHeight="1">
      <c r="A116" s="5" t="s">
        <v>2295</v>
      </c>
      <c r="B116" s="12">
        <v>15.0</v>
      </c>
      <c r="C116" s="26" t="s">
        <v>1634</v>
      </c>
      <c r="D116" s="78" t="s">
        <v>2091</v>
      </c>
      <c r="E116" s="78" t="s">
        <v>2001</v>
      </c>
      <c r="F116" s="5" t="s">
        <v>1141</v>
      </c>
      <c r="G116" s="26" t="s">
        <v>1531</v>
      </c>
      <c r="H116" s="5" t="s">
        <v>2096</v>
      </c>
      <c r="I116" s="12">
        <v>34.0</v>
      </c>
      <c r="J116" s="5"/>
      <c r="K116" s="79"/>
      <c r="L116" s="5" t="s">
        <v>2099</v>
      </c>
      <c r="M116" s="5" t="s">
        <v>2100</v>
      </c>
      <c r="N116" s="83" t="s">
        <v>2299</v>
      </c>
      <c r="O116" s="5"/>
      <c r="P116" s="5"/>
      <c r="Q116" s="5"/>
      <c r="R116" s="5"/>
      <c r="S116" s="80"/>
      <c r="T116" s="26" t="s">
        <v>2006</v>
      </c>
      <c r="U116" s="34" t="s">
        <v>22</v>
      </c>
      <c r="V116" s="81"/>
      <c r="W116" s="81"/>
      <c r="X116" s="5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</row>
    <row r="117" ht="12.0" hidden="1" customHeight="1">
      <c r="A117" s="5" t="s">
        <v>2295</v>
      </c>
      <c r="B117" s="12">
        <v>16.0</v>
      </c>
      <c r="C117" s="26" t="s">
        <v>1634</v>
      </c>
      <c r="D117" s="78" t="s">
        <v>2091</v>
      </c>
      <c r="E117" s="78" t="s">
        <v>2001</v>
      </c>
      <c r="F117" s="5" t="s">
        <v>1141</v>
      </c>
      <c r="G117" s="26" t="s">
        <v>1531</v>
      </c>
      <c r="H117" s="5" t="s">
        <v>2096</v>
      </c>
      <c r="I117" s="12">
        <v>44.0</v>
      </c>
      <c r="J117" s="5"/>
      <c r="K117" s="79"/>
      <c r="L117" s="5" t="s">
        <v>2099</v>
      </c>
      <c r="M117" s="5" t="s">
        <v>2100</v>
      </c>
      <c r="N117" s="83" t="s">
        <v>2300</v>
      </c>
      <c r="O117" s="5"/>
      <c r="P117" s="5"/>
      <c r="Q117" s="5"/>
      <c r="R117" s="5"/>
      <c r="S117" s="80"/>
      <c r="T117" s="26" t="s">
        <v>2006</v>
      </c>
      <c r="U117" s="34" t="s">
        <v>22</v>
      </c>
      <c r="V117" s="81"/>
      <c r="W117" s="81"/>
      <c r="X117" s="5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</row>
    <row r="118" ht="12.0" hidden="1" customHeight="1">
      <c r="A118" s="5" t="s">
        <v>2295</v>
      </c>
      <c r="B118" s="5">
        <v>17.0</v>
      </c>
      <c r="C118" s="26" t="s">
        <v>1634</v>
      </c>
      <c r="D118" s="78" t="s">
        <v>2091</v>
      </c>
      <c r="E118" s="78" t="s">
        <v>2001</v>
      </c>
      <c r="F118" s="5" t="s">
        <v>1141</v>
      </c>
      <c r="G118" s="26" t="s">
        <v>1531</v>
      </c>
      <c r="H118" s="5" t="s">
        <v>2096</v>
      </c>
      <c r="I118" s="5">
        <v>49.0</v>
      </c>
      <c r="J118" s="5"/>
      <c r="K118" s="79"/>
      <c r="L118" s="5" t="s">
        <v>2099</v>
      </c>
      <c r="M118" s="5" t="s">
        <v>2100</v>
      </c>
      <c r="N118" s="80" t="s">
        <v>2301</v>
      </c>
      <c r="O118" s="5"/>
      <c r="P118" s="5"/>
      <c r="Q118" s="5"/>
      <c r="R118" s="5"/>
      <c r="S118" s="80"/>
      <c r="T118" s="26" t="s">
        <v>2006</v>
      </c>
      <c r="U118" s="34" t="s">
        <v>22</v>
      </c>
      <c r="V118" s="81"/>
      <c r="W118" s="81"/>
      <c r="X118" s="5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 ht="12.0" hidden="1" customHeight="1">
      <c r="A119" s="5" t="s">
        <v>2295</v>
      </c>
      <c r="B119" s="12">
        <v>18.0</v>
      </c>
      <c r="C119" s="26" t="s">
        <v>1634</v>
      </c>
      <c r="D119" s="78" t="s">
        <v>2091</v>
      </c>
      <c r="E119" s="78" t="s">
        <v>2001</v>
      </c>
      <c r="F119" s="5" t="s">
        <v>1141</v>
      </c>
      <c r="G119" s="26" t="s">
        <v>1531</v>
      </c>
      <c r="H119" s="5" t="s">
        <v>2096</v>
      </c>
      <c r="I119" s="12">
        <v>50.0</v>
      </c>
      <c r="J119" s="5"/>
      <c r="K119" s="79"/>
      <c r="L119" s="5" t="s">
        <v>2099</v>
      </c>
      <c r="M119" s="5" t="s">
        <v>2100</v>
      </c>
      <c r="N119" s="83" t="s">
        <v>2302</v>
      </c>
      <c r="O119" s="5"/>
      <c r="P119" s="5"/>
      <c r="Q119" s="5"/>
      <c r="R119" s="5"/>
      <c r="S119" s="80"/>
      <c r="T119" s="26" t="s">
        <v>2006</v>
      </c>
      <c r="U119" s="34" t="s">
        <v>22</v>
      </c>
      <c r="V119" s="81"/>
      <c r="W119" s="81"/>
      <c r="X119" s="5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 ht="12.0" hidden="1" customHeight="1">
      <c r="A120" s="5" t="s">
        <v>2295</v>
      </c>
      <c r="B120" s="12">
        <v>20.0</v>
      </c>
      <c r="C120" s="26" t="s">
        <v>1634</v>
      </c>
      <c r="D120" s="78" t="s">
        <v>2091</v>
      </c>
      <c r="E120" s="78" t="s">
        <v>2001</v>
      </c>
      <c r="F120" s="5" t="s">
        <v>1141</v>
      </c>
      <c r="G120" s="26" t="s">
        <v>1531</v>
      </c>
      <c r="H120" s="12" t="s">
        <v>1635</v>
      </c>
      <c r="I120" s="12">
        <v>15.0</v>
      </c>
      <c r="J120" s="5"/>
      <c r="K120" s="79"/>
      <c r="L120" s="12" t="s">
        <v>2303</v>
      </c>
      <c r="M120" s="12" t="s">
        <v>1637</v>
      </c>
      <c r="N120" s="83" t="s">
        <v>2304</v>
      </c>
      <c r="O120" s="5"/>
      <c r="P120" s="5"/>
      <c r="Q120" s="5"/>
      <c r="R120" s="5"/>
      <c r="S120" s="80"/>
      <c r="T120" s="26" t="s">
        <v>2006</v>
      </c>
      <c r="U120" s="34" t="s">
        <v>22</v>
      </c>
      <c r="V120" s="81"/>
      <c r="W120" s="81"/>
      <c r="X120" s="5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</row>
    <row r="121" ht="12.0" hidden="1" customHeight="1">
      <c r="A121" s="5" t="s">
        <v>2295</v>
      </c>
      <c r="B121" s="5">
        <v>21.0</v>
      </c>
      <c r="C121" s="26" t="s">
        <v>1634</v>
      </c>
      <c r="D121" s="78" t="s">
        <v>2091</v>
      </c>
      <c r="E121" s="78" t="s">
        <v>2001</v>
      </c>
      <c r="F121" s="5" t="s">
        <v>1141</v>
      </c>
      <c r="G121" s="26" t="s">
        <v>1531</v>
      </c>
      <c r="H121" s="5" t="s">
        <v>2096</v>
      </c>
      <c r="I121" s="5">
        <v>43.0</v>
      </c>
      <c r="J121" s="5"/>
      <c r="K121" s="79"/>
      <c r="L121" s="5" t="s">
        <v>2099</v>
      </c>
      <c r="M121" s="5" t="s">
        <v>2100</v>
      </c>
      <c r="N121" s="80" t="s">
        <v>2305</v>
      </c>
      <c r="O121" s="5"/>
      <c r="P121" s="5"/>
      <c r="Q121" s="5"/>
      <c r="R121" s="5"/>
      <c r="S121" s="80"/>
      <c r="T121" s="26" t="s">
        <v>2006</v>
      </c>
      <c r="U121" s="34" t="s">
        <v>22</v>
      </c>
      <c r="V121" s="81"/>
      <c r="W121" s="81"/>
      <c r="X121" s="5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</row>
    <row r="122" ht="12.0" hidden="1" customHeight="1">
      <c r="A122" s="5" t="s">
        <v>2295</v>
      </c>
      <c r="B122" s="5">
        <v>24.0</v>
      </c>
      <c r="C122" s="26" t="s">
        <v>1634</v>
      </c>
      <c r="D122" s="78" t="s">
        <v>2091</v>
      </c>
      <c r="E122" s="78" t="s">
        <v>2001</v>
      </c>
      <c r="F122" s="5" t="s">
        <v>1141</v>
      </c>
      <c r="G122" s="26" t="s">
        <v>1531</v>
      </c>
      <c r="H122" s="5" t="s">
        <v>2096</v>
      </c>
      <c r="I122" s="5">
        <v>51.0</v>
      </c>
      <c r="J122" s="5"/>
      <c r="K122" s="79"/>
      <c r="L122" s="5" t="s">
        <v>2306</v>
      </c>
      <c r="M122" s="5" t="s">
        <v>2307</v>
      </c>
      <c r="N122" s="80" t="s">
        <v>2308</v>
      </c>
      <c r="O122" s="5"/>
      <c r="P122" s="5"/>
      <c r="Q122" s="5"/>
      <c r="R122" s="5"/>
      <c r="S122" s="80"/>
      <c r="T122" s="26" t="s">
        <v>2006</v>
      </c>
      <c r="U122" s="34" t="s">
        <v>22</v>
      </c>
      <c r="V122" s="81"/>
      <c r="W122" s="81"/>
      <c r="X122" s="5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</row>
    <row r="123" ht="12.0" hidden="1" customHeight="1">
      <c r="A123" s="5" t="s">
        <v>2295</v>
      </c>
      <c r="B123" s="5">
        <v>25.0</v>
      </c>
      <c r="C123" s="26" t="s">
        <v>1634</v>
      </c>
      <c r="D123" s="78" t="s">
        <v>2091</v>
      </c>
      <c r="E123" s="78" t="s">
        <v>2001</v>
      </c>
      <c r="F123" s="5" t="s">
        <v>1141</v>
      </c>
      <c r="G123" s="26" t="s">
        <v>1531</v>
      </c>
      <c r="H123" s="5" t="s">
        <v>2295</v>
      </c>
      <c r="I123" s="5">
        <v>1.0</v>
      </c>
      <c r="J123" s="5"/>
      <c r="K123" s="79"/>
      <c r="L123" s="5" t="s">
        <v>2041</v>
      </c>
      <c r="M123" s="5" t="s">
        <v>2309</v>
      </c>
      <c r="N123" s="80" t="s">
        <v>2310</v>
      </c>
      <c r="O123" s="5"/>
      <c r="P123" s="5"/>
      <c r="Q123" s="5"/>
      <c r="R123" s="5"/>
      <c r="S123" s="80"/>
      <c r="T123" s="26" t="s">
        <v>2006</v>
      </c>
      <c r="U123" s="34" t="s">
        <v>22</v>
      </c>
      <c r="V123" s="81"/>
      <c r="W123" s="81"/>
      <c r="X123" s="5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</row>
    <row r="124" ht="12.0" hidden="1" customHeight="1">
      <c r="A124" s="5" t="s">
        <v>2295</v>
      </c>
      <c r="B124" s="5">
        <v>26.0</v>
      </c>
      <c r="C124" s="26" t="s">
        <v>1634</v>
      </c>
      <c r="D124" s="78" t="s">
        <v>2091</v>
      </c>
      <c r="E124" s="78" t="s">
        <v>2001</v>
      </c>
      <c r="F124" s="5" t="s">
        <v>1141</v>
      </c>
      <c r="G124" s="26" t="s">
        <v>1531</v>
      </c>
      <c r="H124" s="5" t="s">
        <v>2295</v>
      </c>
      <c r="I124" s="5">
        <v>2.0</v>
      </c>
      <c r="J124" s="5"/>
      <c r="K124" s="79"/>
      <c r="L124" s="5" t="s">
        <v>2041</v>
      </c>
      <c r="M124" s="5" t="s">
        <v>2309</v>
      </c>
      <c r="N124" s="80" t="s">
        <v>2311</v>
      </c>
      <c r="O124" s="5"/>
      <c r="P124" s="5"/>
      <c r="Q124" s="5"/>
      <c r="R124" s="5"/>
      <c r="S124" s="80"/>
      <c r="T124" s="26" t="s">
        <v>2006</v>
      </c>
      <c r="U124" s="34" t="s">
        <v>22</v>
      </c>
      <c r="V124" s="81"/>
      <c r="W124" s="81"/>
      <c r="X124" s="5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 ht="12.0" hidden="1" customHeight="1">
      <c r="A125" s="5" t="s">
        <v>2295</v>
      </c>
      <c r="B125" s="12">
        <v>28.0</v>
      </c>
      <c r="C125" s="26" t="s">
        <v>1634</v>
      </c>
      <c r="D125" s="78" t="s">
        <v>2091</v>
      </c>
      <c r="E125" s="78" t="s">
        <v>2001</v>
      </c>
      <c r="F125" s="5" t="s">
        <v>1141</v>
      </c>
      <c r="G125" s="26" t="s">
        <v>1531</v>
      </c>
      <c r="H125" s="5" t="s">
        <v>2295</v>
      </c>
      <c r="I125" s="12">
        <v>4.0</v>
      </c>
      <c r="J125" s="5"/>
      <c r="K125" s="79"/>
      <c r="L125" s="12" t="s">
        <v>2312</v>
      </c>
      <c r="M125" s="5" t="s">
        <v>2041</v>
      </c>
      <c r="N125" s="83" t="s">
        <v>2313</v>
      </c>
      <c r="O125" s="5"/>
      <c r="P125" s="5"/>
      <c r="Q125" s="5"/>
      <c r="R125" s="5"/>
      <c r="S125" s="80"/>
      <c r="T125" s="26" t="s">
        <v>2006</v>
      </c>
      <c r="U125" s="34" t="s">
        <v>22</v>
      </c>
      <c r="V125" s="81"/>
      <c r="W125" s="81"/>
      <c r="X125" s="12" t="s">
        <v>2314</v>
      </c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</row>
    <row r="126" ht="12.0" hidden="1" customHeight="1">
      <c r="A126" s="5" t="s">
        <v>2295</v>
      </c>
      <c r="B126" s="12">
        <v>30.0</v>
      </c>
      <c r="C126" s="26" t="s">
        <v>1634</v>
      </c>
      <c r="D126" s="78" t="s">
        <v>2091</v>
      </c>
      <c r="E126" s="78" t="s">
        <v>2001</v>
      </c>
      <c r="F126" s="5" t="s">
        <v>1141</v>
      </c>
      <c r="G126" s="26" t="s">
        <v>1531</v>
      </c>
      <c r="H126" s="12" t="s">
        <v>2315</v>
      </c>
      <c r="I126" s="12">
        <v>1.0</v>
      </c>
      <c r="J126" s="5"/>
      <c r="K126" s="79"/>
      <c r="L126" s="12" t="s">
        <v>2316</v>
      </c>
      <c r="M126" s="12" t="s">
        <v>2317</v>
      </c>
      <c r="N126" s="83" t="s">
        <v>2318</v>
      </c>
      <c r="O126" s="5"/>
      <c r="P126" s="5"/>
      <c r="Q126" s="5"/>
      <c r="R126" s="5"/>
      <c r="S126" s="80"/>
      <c r="T126" s="26" t="s">
        <v>2006</v>
      </c>
      <c r="U126" s="34" t="s">
        <v>22</v>
      </c>
      <c r="V126" s="81"/>
      <c r="W126" s="81"/>
      <c r="X126" s="5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</row>
    <row r="127" ht="12.0" hidden="1" customHeight="1">
      <c r="A127" s="5" t="s">
        <v>2295</v>
      </c>
      <c r="B127" s="12">
        <v>31.0</v>
      </c>
      <c r="C127" s="26" t="s">
        <v>1634</v>
      </c>
      <c r="D127" s="78" t="s">
        <v>2091</v>
      </c>
      <c r="E127" s="78" t="s">
        <v>2001</v>
      </c>
      <c r="F127" s="5" t="s">
        <v>1141</v>
      </c>
      <c r="G127" s="26" t="s">
        <v>1531</v>
      </c>
      <c r="H127" s="12" t="s">
        <v>2315</v>
      </c>
      <c r="I127" s="12">
        <v>2.0</v>
      </c>
      <c r="J127" s="5"/>
      <c r="K127" s="79"/>
      <c r="L127" s="12" t="s">
        <v>2316</v>
      </c>
      <c r="M127" s="12" t="s">
        <v>2317</v>
      </c>
      <c r="N127" s="83" t="s">
        <v>2319</v>
      </c>
      <c r="O127" s="5"/>
      <c r="P127" s="5"/>
      <c r="Q127" s="5"/>
      <c r="R127" s="5"/>
      <c r="S127" s="80"/>
      <c r="T127" s="26" t="s">
        <v>2006</v>
      </c>
      <c r="U127" s="34" t="s">
        <v>22</v>
      </c>
      <c r="V127" s="81"/>
      <c r="W127" s="81"/>
      <c r="X127" s="5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</row>
    <row r="128" ht="12.0" hidden="1" customHeight="1">
      <c r="A128" s="5" t="s">
        <v>2295</v>
      </c>
      <c r="B128" s="12">
        <v>32.0</v>
      </c>
      <c r="C128" s="26" t="s">
        <v>1634</v>
      </c>
      <c r="D128" s="78" t="s">
        <v>2091</v>
      </c>
      <c r="E128" s="78" t="s">
        <v>2001</v>
      </c>
      <c r="F128" s="5" t="s">
        <v>1141</v>
      </c>
      <c r="G128" s="26" t="s">
        <v>1531</v>
      </c>
      <c r="H128" s="12" t="s">
        <v>2315</v>
      </c>
      <c r="I128" s="12">
        <v>3.0</v>
      </c>
      <c r="J128" s="5"/>
      <c r="K128" s="79"/>
      <c r="L128" s="12" t="s">
        <v>2316</v>
      </c>
      <c r="M128" s="12" t="s">
        <v>2317</v>
      </c>
      <c r="N128" s="83" t="s">
        <v>2320</v>
      </c>
      <c r="O128" s="5"/>
      <c r="P128" s="5"/>
      <c r="Q128" s="5"/>
      <c r="R128" s="5"/>
      <c r="S128" s="80"/>
      <c r="T128" s="26" t="s">
        <v>2006</v>
      </c>
      <c r="U128" s="34" t="s">
        <v>22</v>
      </c>
      <c r="V128" s="81"/>
      <c r="W128" s="81"/>
      <c r="X128" s="5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</row>
    <row r="129" ht="12.0" hidden="1" customHeight="1">
      <c r="A129" s="5" t="s">
        <v>2295</v>
      </c>
      <c r="B129" s="12">
        <v>33.0</v>
      </c>
      <c r="C129" s="26" t="s">
        <v>1634</v>
      </c>
      <c r="D129" s="78" t="s">
        <v>2091</v>
      </c>
      <c r="E129" s="78" t="s">
        <v>2001</v>
      </c>
      <c r="F129" s="5" t="s">
        <v>1141</v>
      </c>
      <c r="G129" s="26" t="s">
        <v>1531</v>
      </c>
      <c r="H129" s="12" t="s">
        <v>2315</v>
      </c>
      <c r="I129" s="12">
        <v>4.0</v>
      </c>
      <c r="J129" s="5"/>
      <c r="K129" s="79"/>
      <c r="L129" s="12" t="s">
        <v>2316</v>
      </c>
      <c r="M129" s="12" t="s">
        <v>2317</v>
      </c>
      <c r="N129" s="83" t="s">
        <v>2321</v>
      </c>
      <c r="O129" s="5"/>
      <c r="P129" s="5"/>
      <c r="Q129" s="5"/>
      <c r="R129" s="5"/>
      <c r="S129" s="80"/>
      <c r="T129" s="26" t="s">
        <v>2006</v>
      </c>
      <c r="U129" s="34" t="s">
        <v>22</v>
      </c>
      <c r="V129" s="81"/>
      <c r="W129" s="81"/>
      <c r="X129" s="5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</row>
    <row r="130" ht="12.0" hidden="1" customHeight="1">
      <c r="A130" s="5" t="s">
        <v>2295</v>
      </c>
      <c r="B130" s="12">
        <v>34.0</v>
      </c>
      <c r="C130" s="26" t="s">
        <v>1634</v>
      </c>
      <c r="D130" s="78" t="s">
        <v>2091</v>
      </c>
      <c r="E130" s="78" t="s">
        <v>2001</v>
      </c>
      <c r="F130" s="5" t="s">
        <v>1141</v>
      </c>
      <c r="G130" s="26" t="s">
        <v>1531</v>
      </c>
      <c r="H130" s="12" t="s">
        <v>2315</v>
      </c>
      <c r="I130" s="12">
        <v>5.0</v>
      </c>
      <c r="J130" s="5"/>
      <c r="K130" s="79"/>
      <c r="L130" s="12" t="s">
        <v>2316</v>
      </c>
      <c r="M130" s="12" t="s">
        <v>2317</v>
      </c>
      <c r="N130" s="83" t="s">
        <v>2322</v>
      </c>
      <c r="O130" s="5"/>
      <c r="P130" s="5"/>
      <c r="Q130" s="5"/>
      <c r="R130" s="5"/>
      <c r="S130" s="80"/>
      <c r="T130" s="26" t="s">
        <v>2006</v>
      </c>
      <c r="U130" s="34" t="s">
        <v>22</v>
      </c>
      <c r="V130" s="81"/>
      <c r="W130" s="81"/>
      <c r="X130" s="5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 ht="12.0" hidden="1" customHeight="1">
      <c r="A131" s="5" t="s">
        <v>2295</v>
      </c>
      <c r="B131" s="12">
        <v>35.0</v>
      </c>
      <c r="C131" s="26" t="s">
        <v>1634</v>
      </c>
      <c r="D131" s="78" t="s">
        <v>2091</v>
      </c>
      <c r="E131" s="78" t="s">
        <v>2001</v>
      </c>
      <c r="F131" s="5" t="s">
        <v>1141</v>
      </c>
      <c r="G131" s="26" t="s">
        <v>1531</v>
      </c>
      <c r="H131" s="12" t="s">
        <v>2315</v>
      </c>
      <c r="I131" s="12">
        <v>6.0</v>
      </c>
      <c r="J131" s="5"/>
      <c r="K131" s="79"/>
      <c r="L131" s="12" t="s">
        <v>2316</v>
      </c>
      <c r="M131" s="12" t="s">
        <v>2317</v>
      </c>
      <c r="N131" s="83" t="s">
        <v>2323</v>
      </c>
      <c r="O131" s="5"/>
      <c r="P131" s="5"/>
      <c r="Q131" s="5"/>
      <c r="R131" s="5"/>
      <c r="S131" s="80"/>
      <c r="T131" s="26" t="s">
        <v>2006</v>
      </c>
      <c r="U131" s="34" t="s">
        <v>22</v>
      </c>
      <c r="V131" s="81"/>
      <c r="W131" s="81"/>
      <c r="X131" s="5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</row>
    <row r="132" ht="12.0" hidden="1" customHeight="1">
      <c r="A132" s="5" t="s">
        <v>2295</v>
      </c>
      <c r="B132" s="12">
        <v>36.0</v>
      </c>
      <c r="C132" s="26" t="s">
        <v>1634</v>
      </c>
      <c r="D132" s="78" t="s">
        <v>2091</v>
      </c>
      <c r="E132" s="78" t="s">
        <v>2001</v>
      </c>
      <c r="F132" s="5" t="s">
        <v>1141</v>
      </c>
      <c r="G132" s="26" t="s">
        <v>1531</v>
      </c>
      <c r="H132" s="12" t="s">
        <v>2315</v>
      </c>
      <c r="I132" s="12">
        <v>7.0</v>
      </c>
      <c r="J132" s="5"/>
      <c r="K132" s="79"/>
      <c r="L132" s="12" t="s">
        <v>2316</v>
      </c>
      <c r="M132" s="12" t="s">
        <v>2317</v>
      </c>
      <c r="N132" s="83" t="s">
        <v>2324</v>
      </c>
      <c r="O132" s="5"/>
      <c r="P132" s="5"/>
      <c r="Q132" s="5"/>
      <c r="R132" s="5"/>
      <c r="S132" s="80"/>
      <c r="T132" s="26" t="s">
        <v>2006</v>
      </c>
      <c r="U132" s="34" t="s">
        <v>22</v>
      </c>
      <c r="V132" s="81"/>
      <c r="W132" s="81"/>
      <c r="X132" s="5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</row>
    <row r="133" ht="12.0" hidden="1" customHeight="1">
      <c r="A133" s="5" t="s">
        <v>2295</v>
      </c>
      <c r="B133" s="12">
        <v>37.0</v>
      </c>
      <c r="C133" s="26" t="s">
        <v>1634</v>
      </c>
      <c r="D133" s="78" t="s">
        <v>2091</v>
      </c>
      <c r="E133" s="78" t="s">
        <v>2001</v>
      </c>
      <c r="F133" s="5" t="s">
        <v>1141</v>
      </c>
      <c r="G133" s="26" t="s">
        <v>1531</v>
      </c>
      <c r="H133" s="12" t="s">
        <v>2315</v>
      </c>
      <c r="I133" s="12">
        <v>8.0</v>
      </c>
      <c r="J133" s="5"/>
      <c r="K133" s="79"/>
      <c r="L133" s="12" t="s">
        <v>2316</v>
      </c>
      <c r="M133" s="12" t="s">
        <v>2317</v>
      </c>
      <c r="N133" s="83" t="s">
        <v>2325</v>
      </c>
      <c r="O133" s="5"/>
      <c r="P133" s="5"/>
      <c r="Q133" s="5"/>
      <c r="R133" s="5"/>
      <c r="S133" s="80"/>
      <c r="T133" s="26" t="s">
        <v>2006</v>
      </c>
      <c r="U133" s="34" t="s">
        <v>22</v>
      </c>
      <c r="V133" s="81"/>
      <c r="W133" s="81"/>
      <c r="X133" s="5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</row>
    <row r="134" ht="12.0" hidden="1" customHeight="1">
      <c r="A134" s="12" t="s">
        <v>2326</v>
      </c>
      <c r="B134" s="12">
        <v>2.0</v>
      </c>
      <c r="C134" s="26" t="s">
        <v>1634</v>
      </c>
      <c r="D134" s="78" t="s">
        <v>2091</v>
      </c>
      <c r="E134" s="78" t="s">
        <v>2001</v>
      </c>
      <c r="F134" s="5" t="s">
        <v>1141</v>
      </c>
      <c r="G134" s="26" t="s">
        <v>1531</v>
      </c>
      <c r="H134" s="12" t="s">
        <v>2327</v>
      </c>
      <c r="I134" s="12">
        <v>4.0</v>
      </c>
      <c r="J134" s="5"/>
      <c r="K134" s="79"/>
      <c r="L134" s="5" t="s">
        <v>2041</v>
      </c>
      <c r="M134" s="5" t="s">
        <v>2309</v>
      </c>
      <c r="N134" s="83" t="s">
        <v>2328</v>
      </c>
      <c r="O134" s="5"/>
      <c r="P134" s="5"/>
      <c r="Q134" s="5"/>
      <c r="R134" s="5"/>
      <c r="S134" s="80"/>
      <c r="T134" s="42" t="s">
        <v>2003</v>
      </c>
      <c r="U134" s="34" t="s">
        <v>22</v>
      </c>
      <c r="V134" s="81"/>
      <c r="W134" s="81"/>
      <c r="X134" s="5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</row>
    <row r="135" ht="12.0" hidden="1" customHeight="1">
      <c r="A135" s="12" t="s">
        <v>2326</v>
      </c>
      <c r="B135" s="12">
        <v>4.0</v>
      </c>
      <c r="C135" s="26" t="s">
        <v>1634</v>
      </c>
      <c r="D135" s="78" t="s">
        <v>2091</v>
      </c>
      <c r="E135" s="78" t="s">
        <v>2001</v>
      </c>
      <c r="F135" s="5" t="s">
        <v>1141</v>
      </c>
      <c r="G135" s="26" t="s">
        <v>1531</v>
      </c>
      <c r="H135" s="12" t="s">
        <v>2327</v>
      </c>
      <c r="I135" s="12">
        <v>10.0</v>
      </c>
      <c r="J135" s="5"/>
      <c r="K135" s="79"/>
      <c r="L135" s="5" t="s">
        <v>2041</v>
      </c>
      <c r="M135" s="5" t="s">
        <v>2309</v>
      </c>
      <c r="N135" s="83" t="s">
        <v>2329</v>
      </c>
      <c r="O135" s="5"/>
      <c r="P135" s="5"/>
      <c r="Q135" s="5"/>
      <c r="R135" s="5"/>
      <c r="S135" s="80"/>
      <c r="T135" s="42" t="s">
        <v>2003</v>
      </c>
      <c r="U135" s="34" t="s">
        <v>22</v>
      </c>
      <c r="V135" s="81"/>
      <c r="W135" s="81"/>
      <c r="X135" s="5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</row>
    <row r="136" ht="12.0" hidden="1" customHeight="1">
      <c r="A136" s="12" t="s">
        <v>2326</v>
      </c>
      <c r="B136" s="12">
        <v>6.0</v>
      </c>
      <c r="C136" s="26" t="s">
        <v>1634</v>
      </c>
      <c r="D136" s="78" t="s">
        <v>2091</v>
      </c>
      <c r="E136" s="78" t="s">
        <v>2001</v>
      </c>
      <c r="F136" s="5" t="s">
        <v>1141</v>
      </c>
      <c r="G136" s="26" t="s">
        <v>1531</v>
      </c>
      <c r="H136" s="12" t="s">
        <v>2327</v>
      </c>
      <c r="I136" s="12">
        <v>16.0</v>
      </c>
      <c r="J136" s="5"/>
      <c r="K136" s="79"/>
      <c r="L136" s="5" t="s">
        <v>2041</v>
      </c>
      <c r="M136" s="12" t="s">
        <v>2330</v>
      </c>
      <c r="N136" s="83" t="s">
        <v>2331</v>
      </c>
      <c r="O136" s="5"/>
      <c r="P136" s="5"/>
      <c r="Q136" s="5"/>
      <c r="R136" s="5"/>
      <c r="S136" s="80"/>
      <c r="T136" s="42" t="s">
        <v>2003</v>
      </c>
      <c r="U136" s="34" t="s">
        <v>22</v>
      </c>
      <c r="V136" s="81"/>
      <c r="W136" s="81"/>
      <c r="X136" s="5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</row>
    <row r="137" ht="12.0" hidden="1" customHeight="1">
      <c r="A137" s="12" t="s">
        <v>2326</v>
      </c>
      <c r="B137" s="12">
        <v>7.0</v>
      </c>
      <c r="C137" s="26" t="s">
        <v>1634</v>
      </c>
      <c r="D137" s="78" t="s">
        <v>2091</v>
      </c>
      <c r="E137" s="78" t="s">
        <v>2001</v>
      </c>
      <c r="F137" s="5" t="s">
        <v>1141</v>
      </c>
      <c r="G137" s="26" t="s">
        <v>1531</v>
      </c>
      <c r="H137" s="12" t="s">
        <v>2327</v>
      </c>
      <c r="I137" s="12">
        <v>23.0</v>
      </c>
      <c r="J137" s="5"/>
      <c r="K137" s="79"/>
      <c r="L137" s="5" t="s">
        <v>2041</v>
      </c>
      <c r="M137" s="12" t="s">
        <v>2332</v>
      </c>
      <c r="N137" s="83" t="s">
        <v>2333</v>
      </c>
      <c r="O137" s="5"/>
      <c r="P137" s="5"/>
      <c r="Q137" s="5"/>
      <c r="R137" s="5"/>
      <c r="S137" s="80"/>
      <c r="T137" s="42" t="s">
        <v>2003</v>
      </c>
      <c r="U137" s="34" t="s">
        <v>22</v>
      </c>
      <c r="V137" s="81"/>
      <c r="W137" s="81"/>
      <c r="X137" s="5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</row>
    <row r="138" ht="12.0" hidden="1" customHeight="1">
      <c r="A138" s="12" t="s">
        <v>2326</v>
      </c>
      <c r="B138" s="12">
        <v>8.0</v>
      </c>
      <c r="C138" s="26" t="s">
        <v>1634</v>
      </c>
      <c r="D138" s="78" t="s">
        <v>2091</v>
      </c>
      <c r="E138" s="78" t="s">
        <v>2001</v>
      </c>
      <c r="F138" s="5" t="s">
        <v>1141</v>
      </c>
      <c r="G138" s="26" t="s">
        <v>1531</v>
      </c>
      <c r="H138" s="12" t="s">
        <v>2327</v>
      </c>
      <c r="I138" s="12">
        <v>12.0</v>
      </c>
      <c r="J138" s="5"/>
      <c r="K138" s="79"/>
      <c r="L138" s="5" t="s">
        <v>2041</v>
      </c>
      <c r="M138" s="12" t="s">
        <v>2330</v>
      </c>
      <c r="N138" s="83" t="s">
        <v>2334</v>
      </c>
      <c r="O138" s="5"/>
      <c r="P138" s="5"/>
      <c r="Q138" s="5"/>
      <c r="R138" s="5"/>
      <c r="S138" s="80"/>
      <c r="T138" s="42" t="s">
        <v>2003</v>
      </c>
      <c r="U138" s="34" t="s">
        <v>22</v>
      </c>
      <c r="V138" s="81"/>
      <c r="W138" s="81"/>
      <c r="X138" s="5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</row>
    <row r="139" ht="12.0" hidden="1" customHeight="1">
      <c r="A139" s="12" t="s">
        <v>2326</v>
      </c>
      <c r="B139" s="12">
        <v>9.0</v>
      </c>
      <c r="C139" s="26" t="s">
        <v>1634</v>
      </c>
      <c r="D139" s="78" t="s">
        <v>2091</v>
      </c>
      <c r="E139" s="78" t="s">
        <v>2001</v>
      </c>
      <c r="F139" s="5" t="s">
        <v>1141</v>
      </c>
      <c r="G139" s="26" t="s">
        <v>1531</v>
      </c>
      <c r="H139" s="5" t="s">
        <v>2096</v>
      </c>
      <c r="I139" s="12">
        <v>4.0</v>
      </c>
      <c r="J139" s="5"/>
      <c r="K139" s="79"/>
      <c r="L139" s="5" t="s">
        <v>2041</v>
      </c>
      <c r="M139" s="5" t="s">
        <v>2309</v>
      </c>
      <c r="N139" s="83" t="s">
        <v>2335</v>
      </c>
      <c r="O139" s="5"/>
      <c r="P139" s="5"/>
      <c r="Q139" s="5"/>
      <c r="R139" s="5"/>
      <c r="S139" s="80"/>
      <c r="T139" s="42" t="s">
        <v>2003</v>
      </c>
      <c r="U139" s="34" t="s">
        <v>22</v>
      </c>
      <c r="V139" s="81"/>
      <c r="W139" s="81"/>
      <c r="X139" s="5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</row>
    <row r="140" ht="12.0" hidden="1" customHeight="1">
      <c r="A140" s="12" t="s">
        <v>2326</v>
      </c>
      <c r="B140" s="12">
        <v>11.0</v>
      </c>
      <c r="C140" s="26" t="s">
        <v>1634</v>
      </c>
      <c r="D140" s="78" t="s">
        <v>2091</v>
      </c>
      <c r="E140" s="78" t="s">
        <v>2001</v>
      </c>
      <c r="F140" s="5" t="s">
        <v>1141</v>
      </c>
      <c r="G140" s="26" t="s">
        <v>1531</v>
      </c>
      <c r="H140" s="5" t="s">
        <v>2096</v>
      </c>
      <c r="I140" s="12">
        <v>9.0</v>
      </c>
      <c r="J140" s="5"/>
      <c r="K140" s="79"/>
      <c r="L140" s="5" t="s">
        <v>2041</v>
      </c>
      <c r="M140" s="5" t="s">
        <v>2309</v>
      </c>
      <c r="N140" s="83" t="s">
        <v>2336</v>
      </c>
      <c r="O140" s="5"/>
      <c r="P140" s="5"/>
      <c r="Q140" s="5"/>
      <c r="R140" s="5"/>
      <c r="S140" s="80"/>
      <c r="T140" s="42" t="s">
        <v>2003</v>
      </c>
      <c r="U140" s="34" t="s">
        <v>22</v>
      </c>
      <c r="V140" s="81"/>
      <c r="W140" s="81"/>
      <c r="X140" s="5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</row>
    <row r="141" ht="12.0" hidden="1" customHeight="1">
      <c r="A141" s="12" t="s">
        <v>2326</v>
      </c>
      <c r="B141" s="12">
        <v>12.0</v>
      </c>
      <c r="C141" s="26" t="s">
        <v>1634</v>
      </c>
      <c r="D141" s="78" t="s">
        <v>2091</v>
      </c>
      <c r="E141" s="78" t="s">
        <v>2001</v>
      </c>
      <c r="F141" s="5" t="s">
        <v>1141</v>
      </c>
      <c r="G141" s="26" t="s">
        <v>1531</v>
      </c>
      <c r="H141" s="5" t="s">
        <v>2096</v>
      </c>
      <c r="I141" s="12">
        <v>5.0</v>
      </c>
      <c r="J141" s="5"/>
      <c r="K141" s="79"/>
      <c r="L141" s="5" t="s">
        <v>2041</v>
      </c>
      <c r="M141" s="5" t="s">
        <v>2309</v>
      </c>
      <c r="N141" s="83" t="s">
        <v>2337</v>
      </c>
      <c r="O141" s="5"/>
      <c r="P141" s="5"/>
      <c r="Q141" s="5"/>
      <c r="R141" s="5"/>
      <c r="S141" s="80"/>
      <c r="T141" s="42" t="s">
        <v>2003</v>
      </c>
      <c r="U141" s="34" t="s">
        <v>22</v>
      </c>
      <c r="V141" s="81"/>
      <c r="W141" s="81"/>
      <c r="X141" s="5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</row>
    <row r="142" ht="12.0" hidden="1" customHeight="1">
      <c r="A142" s="12" t="s">
        <v>2326</v>
      </c>
      <c r="B142" s="12">
        <v>13.0</v>
      </c>
      <c r="C142" s="26" t="s">
        <v>1634</v>
      </c>
      <c r="D142" s="78" t="s">
        <v>2091</v>
      </c>
      <c r="E142" s="78" t="s">
        <v>2001</v>
      </c>
      <c r="F142" s="5" t="s">
        <v>1141</v>
      </c>
      <c r="G142" s="26" t="s">
        <v>1531</v>
      </c>
      <c r="H142" s="5" t="s">
        <v>2096</v>
      </c>
      <c r="I142" s="12">
        <v>18.0</v>
      </c>
      <c r="J142" s="5"/>
      <c r="K142" s="79"/>
      <c r="L142" s="12" t="s">
        <v>2099</v>
      </c>
      <c r="M142" s="12" t="s">
        <v>1637</v>
      </c>
      <c r="N142" s="83" t="s">
        <v>2338</v>
      </c>
      <c r="O142" s="5"/>
      <c r="P142" s="5"/>
      <c r="Q142" s="5"/>
      <c r="R142" s="5"/>
      <c r="S142" s="80"/>
      <c r="T142" s="42" t="s">
        <v>2003</v>
      </c>
      <c r="U142" s="34" t="s">
        <v>22</v>
      </c>
      <c r="V142" s="81"/>
      <c r="W142" s="81"/>
      <c r="X142" s="5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</row>
    <row r="143" ht="12.0" hidden="1" customHeight="1">
      <c r="A143" s="12" t="s">
        <v>2326</v>
      </c>
      <c r="B143" s="12">
        <v>15.0</v>
      </c>
      <c r="C143" s="26" t="s">
        <v>1634</v>
      </c>
      <c r="D143" s="78" t="s">
        <v>2091</v>
      </c>
      <c r="E143" s="78" t="s">
        <v>2001</v>
      </c>
      <c r="F143" s="5" t="s">
        <v>1141</v>
      </c>
      <c r="G143" s="26" t="s">
        <v>1531</v>
      </c>
      <c r="H143" s="5" t="s">
        <v>2096</v>
      </c>
      <c r="I143" s="12">
        <v>11.0</v>
      </c>
      <c r="J143" s="5"/>
      <c r="K143" s="79"/>
      <c r="L143" s="5" t="s">
        <v>2041</v>
      </c>
      <c r="M143" s="5" t="s">
        <v>2309</v>
      </c>
      <c r="N143" s="83" t="s">
        <v>2339</v>
      </c>
      <c r="O143" s="5"/>
      <c r="P143" s="5"/>
      <c r="Q143" s="5"/>
      <c r="R143" s="5"/>
      <c r="S143" s="80"/>
      <c r="T143" s="42" t="s">
        <v>2003</v>
      </c>
      <c r="U143" s="34" t="s">
        <v>22</v>
      </c>
      <c r="V143" s="81"/>
      <c r="W143" s="81"/>
      <c r="X143" s="5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</row>
    <row r="144" ht="12.0" hidden="1" customHeight="1">
      <c r="A144" s="12" t="s">
        <v>2326</v>
      </c>
      <c r="B144" s="12">
        <v>17.0</v>
      </c>
      <c r="C144" s="26" t="s">
        <v>1634</v>
      </c>
      <c r="D144" s="78" t="s">
        <v>2091</v>
      </c>
      <c r="E144" s="78" t="s">
        <v>2001</v>
      </c>
      <c r="F144" s="5" t="s">
        <v>1141</v>
      </c>
      <c r="G144" s="26" t="s">
        <v>1531</v>
      </c>
      <c r="H144" s="12" t="s">
        <v>2327</v>
      </c>
      <c r="I144" s="12">
        <v>8.0</v>
      </c>
      <c r="J144" s="5"/>
      <c r="K144" s="79"/>
      <c r="L144" s="12" t="s">
        <v>2340</v>
      </c>
      <c r="M144" s="5" t="s">
        <v>2309</v>
      </c>
      <c r="N144" s="83" t="s">
        <v>2341</v>
      </c>
      <c r="O144" s="5"/>
      <c r="P144" s="5"/>
      <c r="Q144" s="5"/>
      <c r="R144" s="5"/>
      <c r="S144" s="80"/>
      <c r="T144" s="42" t="s">
        <v>2003</v>
      </c>
      <c r="U144" s="34" t="s">
        <v>22</v>
      </c>
      <c r="V144" s="81"/>
      <c r="W144" s="81"/>
      <c r="X144" s="5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</row>
    <row r="145" ht="12.0" hidden="1" customHeight="1">
      <c r="A145" s="12" t="s">
        <v>2326</v>
      </c>
      <c r="B145" s="12">
        <v>19.0</v>
      </c>
      <c r="C145" s="26" t="s">
        <v>1634</v>
      </c>
      <c r="D145" s="78" t="s">
        <v>2091</v>
      </c>
      <c r="E145" s="78" t="s">
        <v>2001</v>
      </c>
      <c r="F145" s="5" t="s">
        <v>1141</v>
      </c>
      <c r="G145" s="26" t="s">
        <v>1531</v>
      </c>
      <c r="H145" s="5" t="s">
        <v>2096</v>
      </c>
      <c r="I145" s="12">
        <v>23.0</v>
      </c>
      <c r="J145" s="5"/>
      <c r="K145" s="79"/>
      <c r="L145" s="12" t="s">
        <v>2099</v>
      </c>
      <c r="M145" s="12" t="s">
        <v>2100</v>
      </c>
      <c r="N145" s="83" t="s">
        <v>2342</v>
      </c>
      <c r="O145" s="5"/>
      <c r="P145" s="5"/>
      <c r="Q145" s="5"/>
      <c r="R145" s="5"/>
      <c r="S145" s="80"/>
      <c r="T145" s="42" t="s">
        <v>2003</v>
      </c>
      <c r="U145" s="34" t="s">
        <v>22</v>
      </c>
      <c r="V145" s="81"/>
      <c r="W145" s="81"/>
      <c r="X145" s="5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</row>
    <row r="146" ht="12.0" hidden="1" customHeight="1">
      <c r="A146" s="12" t="s">
        <v>2326</v>
      </c>
      <c r="B146" s="12">
        <v>20.0</v>
      </c>
      <c r="C146" s="26" t="s">
        <v>1634</v>
      </c>
      <c r="D146" s="78" t="s">
        <v>2091</v>
      </c>
      <c r="E146" s="78" t="s">
        <v>2001</v>
      </c>
      <c r="F146" s="5" t="s">
        <v>1141</v>
      </c>
      <c r="G146" s="26" t="s">
        <v>1531</v>
      </c>
      <c r="H146" s="5" t="s">
        <v>2096</v>
      </c>
      <c r="I146" s="12">
        <v>26.0</v>
      </c>
      <c r="J146" s="5"/>
      <c r="K146" s="79"/>
      <c r="L146" s="12" t="s">
        <v>2099</v>
      </c>
      <c r="M146" s="5" t="s">
        <v>2309</v>
      </c>
      <c r="N146" s="83" t="s">
        <v>2343</v>
      </c>
      <c r="O146" s="5"/>
      <c r="P146" s="5"/>
      <c r="Q146" s="5"/>
      <c r="R146" s="5"/>
      <c r="S146" s="80"/>
      <c r="T146" s="42"/>
      <c r="U146" s="34"/>
      <c r="V146" s="81"/>
      <c r="W146" s="81"/>
      <c r="X146" s="5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</row>
    <row r="147" ht="12.0" hidden="1" customHeight="1">
      <c r="A147" s="5" t="s">
        <v>1560</v>
      </c>
      <c r="B147" s="12">
        <v>1.0</v>
      </c>
      <c r="C147" s="26" t="s">
        <v>1634</v>
      </c>
      <c r="D147" s="78" t="s">
        <v>2007</v>
      </c>
      <c r="E147" s="78" t="s">
        <v>2001</v>
      </c>
      <c r="F147" s="5" t="s">
        <v>1141</v>
      </c>
      <c r="G147" s="26" t="s">
        <v>1531</v>
      </c>
      <c r="H147" s="5" t="s">
        <v>2344</v>
      </c>
      <c r="I147" s="12">
        <v>1.0</v>
      </c>
      <c r="J147" s="12" t="s">
        <v>2345</v>
      </c>
      <c r="K147" s="82">
        <v>1.0</v>
      </c>
      <c r="L147" s="5" t="s">
        <v>1561</v>
      </c>
      <c r="M147" s="5" t="s">
        <v>1561</v>
      </c>
      <c r="N147" s="83" t="s">
        <v>2346</v>
      </c>
      <c r="O147" s="5"/>
      <c r="P147" s="5"/>
      <c r="Q147" s="5"/>
      <c r="R147" s="5"/>
      <c r="S147" s="80"/>
      <c r="T147" s="26"/>
      <c r="U147" s="34"/>
      <c r="V147" s="81"/>
      <c r="W147" s="81"/>
      <c r="X147" s="5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</row>
    <row r="148" ht="12.0" hidden="1" customHeight="1">
      <c r="A148" s="5" t="s">
        <v>1560</v>
      </c>
      <c r="B148" s="5">
        <v>2.0</v>
      </c>
      <c r="C148" s="26" t="s">
        <v>1634</v>
      </c>
      <c r="D148" s="78" t="s">
        <v>2007</v>
      </c>
      <c r="E148" s="78" t="s">
        <v>2001</v>
      </c>
      <c r="F148" s="5" t="s">
        <v>1141</v>
      </c>
      <c r="G148" s="26" t="s">
        <v>1531</v>
      </c>
      <c r="H148" s="5" t="s">
        <v>2344</v>
      </c>
      <c r="I148" s="5">
        <v>2.0</v>
      </c>
      <c r="J148" s="12" t="s">
        <v>2345</v>
      </c>
      <c r="K148" s="82">
        <v>2.0</v>
      </c>
      <c r="L148" s="5" t="s">
        <v>1561</v>
      </c>
      <c r="M148" s="5" t="s">
        <v>1561</v>
      </c>
      <c r="N148" s="80" t="s">
        <v>2347</v>
      </c>
      <c r="O148" s="5"/>
      <c r="P148" s="5"/>
      <c r="Q148" s="5"/>
      <c r="R148" s="5"/>
      <c r="S148" s="80"/>
      <c r="T148" s="26" t="s">
        <v>2006</v>
      </c>
      <c r="U148" s="34" t="s">
        <v>22</v>
      </c>
      <c r="V148" s="81"/>
      <c r="W148" s="81"/>
      <c r="X148" s="5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</row>
    <row r="149" ht="12.0" hidden="1" customHeight="1">
      <c r="A149" s="5" t="s">
        <v>1560</v>
      </c>
      <c r="B149" s="5">
        <v>3.0</v>
      </c>
      <c r="C149" s="26" t="s">
        <v>1634</v>
      </c>
      <c r="D149" s="78" t="s">
        <v>2007</v>
      </c>
      <c r="E149" s="78" t="s">
        <v>2001</v>
      </c>
      <c r="F149" s="5" t="s">
        <v>1141</v>
      </c>
      <c r="G149" s="26" t="s">
        <v>1531</v>
      </c>
      <c r="H149" s="5" t="s">
        <v>2344</v>
      </c>
      <c r="I149" s="5">
        <v>3.0</v>
      </c>
      <c r="J149" s="12" t="s">
        <v>2345</v>
      </c>
      <c r="K149" s="82">
        <v>3.0</v>
      </c>
      <c r="L149" s="5" t="s">
        <v>1561</v>
      </c>
      <c r="M149" s="5" t="s">
        <v>1561</v>
      </c>
      <c r="N149" s="80" t="s">
        <v>2348</v>
      </c>
      <c r="O149" s="5"/>
      <c r="P149" s="5"/>
      <c r="Q149" s="5"/>
      <c r="R149" s="5"/>
      <c r="S149" s="80"/>
      <c r="T149" s="26" t="s">
        <v>2006</v>
      </c>
      <c r="U149" s="34" t="s">
        <v>22</v>
      </c>
      <c r="V149" s="81"/>
      <c r="W149" s="81"/>
      <c r="X149" s="5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</row>
    <row r="150" ht="12.0" hidden="1" customHeight="1">
      <c r="A150" s="5" t="s">
        <v>1560</v>
      </c>
      <c r="B150" s="5">
        <v>4.0</v>
      </c>
      <c r="C150" s="26" t="s">
        <v>1634</v>
      </c>
      <c r="D150" s="78" t="s">
        <v>2007</v>
      </c>
      <c r="E150" s="78" t="s">
        <v>2001</v>
      </c>
      <c r="F150" s="5" t="s">
        <v>1141</v>
      </c>
      <c r="G150" s="26" t="s">
        <v>1531</v>
      </c>
      <c r="H150" s="5" t="s">
        <v>2344</v>
      </c>
      <c r="I150" s="5">
        <v>4.0</v>
      </c>
      <c r="J150" s="12" t="s">
        <v>2345</v>
      </c>
      <c r="K150" s="82">
        <v>4.0</v>
      </c>
      <c r="L150" s="5" t="s">
        <v>1561</v>
      </c>
      <c r="M150" s="5" t="s">
        <v>1561</v>
      </c>
      <c r="N150" s="80" t="s">
        <v>2349</v>
      </c>
      <c r="O150" s="5"/>
      <c r="P150" s="5"/>
      <c r="Q150" s="5"/>
      <c r="R150" s="5"/>
      <c r="S150" s="80"/>
      <c r="T150" s="26" t="s">
        <v>2006</v>
      </c>
      <c r="U150" s="34" t="s">
        <v>22</v>
      </c>
      <c r="V150" s="81"/>
      <c r="W150" s="81"/>
      <c r="X150" s="5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</row>
    <row r="151" ht="12.0" hidden="1" customHeight="1">
      <c r="A151" s="12" t="s">
        <v>2350</v>
      </c>
      <c r="B151" s="5">
        <v>1.0</v>
      </c>
      <c r="C151" s="26" t="s">
        <v>1634</v>
      </c>
      <c r="D151" s="78" t="s">
        <v>2036</v>
      </c>
      <c r="E151" s="78" t="s">
        <v>2001</v>
      </c>
      <c r="F151" s="5" t="s">
        <v>1141</v>
      </c>
      <c r="G151" s="26" t="s">
        <v>1531</v>
      </c>
      <c r="H151" s="5" t="s">
        <v>2351</v>
      </c>
      <c r="I151" s="5">
        <v>2.0</v>
      </c>
      <c r="J151" s="5"/>
      <c r="K151" s="79"/>
      <c r="L151" s="5" t="s">
        <v>1402</v>
      </c>
      <c r="M151" s="5" t="s">
        <v>1402</v>
      </c>
      <c r="N151" s="80" t="s">
        <v>2352</v>
      </c>
      <c r="O151" s="5"/>
      <c r="P151" s="5"/>
      <c r="Q151" s="5"/>
      <c r="R151" s="5"/>
      <c r="S151" s="80"/>
      <c r="T151" s="26" t="s">
        <v>2006</v>
      </c>
      <c r="U151" s="34" t="s">
        <v>22</v>
      </c>
      <c r="V151" s="81"/>
      <c r="W151" s="81"/>
      <c r="X151" s="91" t="s">
        <v>2353</v>
      </c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</row>
    <row r="152" ht="12.0" hidden="1" customHeight="1">
      <c r="A152" s="12" t="s">
        <v>2350</v>
      </c>
      <c r="B152" s="5">
        <v>4.0</v>
      </c>
      <c r="C152" s="26" t="s">
        <v>1634</v>
      </c>
      <c r="D152" s="78" t="s">
        <v>2036</v>
      </c>
      <c r="E152" s="78" t="s">
        <v>2001</v>
      </c>
      <c r="F152" s="5" t="s">
        <v>1141</v>
      </c>
      <c r="G152" s="26" t="s">
        <v>1531</v>
      </c>
      <c r="H152" s="5" t="s">
        <v>2351</v>
      </c>
      <c r="I152" s="5">
        <v>14.0</v>
      </c>
      <c r="J152" s="5"/>
      <c r="K152" s="79"/>
      <c r="L152" s="5" t="s">
        <v>1402</v>
      </c>
      <c r="M152" s="5" t="s">
        <v>1402</v>
      </c>
      <c r="N152" s="80" t="s">
        <v>2354</v>
      </c>
      <c r="O152" s="5"/>
      <c r="P152" s="5"/>
      <c r="Q152" s="5"/>
      <c r="R152" s="5"/>
      <c r="S152" s="80"/>
      <c r="T152" s="26" t="s">
        <v>2006</v>
      </c>
      <c r="U152" s="34" t="s">
        <v>22</v>
      </c>
      <c r="V152" s="81"/>
      <c r="W152" s="81"/>
      <c r="X152" s="91" t="s">
        <v>2353</v>
      </c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</row>
    <row r="153" ht="12.0" hidden="1" customHeight="1">
      <c r="A153" s="5" t="s">
        <v>2350</v>
      </c>
      <c r="B153" s="5">
        <v>6.0</v>
      </c>
      <c r="C153" s="26" t="s">
        <v>1634</v>
      </c>
      <c r="D153" s="78" t="s">
        <v>2036</v>
      </c>
      <c r="E153" s="78" t="s">
        <v>2001</v>
      </c>
      <c r="F153" s="5" t="s">
        <v>1141</v>
      </c>
      <c r="G153" s="26" t="s">
        <v>1531</v>
      </c>
      <c r="H153" s="5" t="s">
        <v>2350</v>
      </c>
      <c r="I153" s="5">
        <v>1.0</v>
      </c>
      <c r="J153" s="5"/>
      <c r="K153" s="79"/>
      <c r="L153" s="5" t="s">
        <v>1402</v>
      </c>
      <c r="M153" s="5" t="s">
        <v>1402</v>
      </c>
      <c r="N153" s="80" t="s">
        <v>2355</v>
      </c>
      <c r="O153" s="5"/>
      <c r="P153" s="5"/>
      <c r="Q153" s="5"/>
      <c r="R153" s="5"/>
      <c r="S153" s="80"/>
      <c r="T153" s="26" t="s">
        <v>2006</v>
      </c>
      <c r="U153" s="34" t="s">
        <v>22</v>
      </c>
      <c r="V153" s="81"/>
      <c r="W153" s="81"/>
      <c r="X153" s="5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</row>
    <row r="154" ht="12.0" hidden="1" customHeight="1">
      <c r="A154" s="12" t="s">
        <v>2356</v>
      </c>
      <c r="B154" s="12">
        <v>1.0</v>
      </c>
      <c r="C154" s="26" t="s">
        <v>1634</v>
      </c>
      <c r="D154" s="78" t="s">
        <v>2036</v>
      </c>
      <c r="E154" s="78" t="s">
        <v>2001</v>
      </c>
      <c r="F154" s="5" t="s">
        <v>1141</v>
      </c>
      <c r="G154" s="26" t="s">
        <v>1531</v>
      </c>
      <c r="H154" s="12" t="s">
        <v>2357</v>
      </c>
      <c r="I154" s="12">
        <v>23.0</v>
      </c>
      <c r="J154" s="5"/>
      <c r="K154" s="79"/>
      <c r="L154" s="12" t="s">
        <v>2358</v>
      </c>
      <c r="M154" s="12" t="s">
        <v>2359</v>
      </c>
      <c r="N154" s="83" t="s">
        <v>2360</v>
      </c>
      <c r="O154" s="12" t="s">
        <v>2350</v>
      </c>
      <c r="P154" s="12">
        <v>5.0</v>
      </c>
      <c r="Q154" s="12" t="s">
        <v>2361</v>
      </c>
      <c r="R154" s="12" t="s">
        <v>2362</v>
      </c>
      <c r="S154" s="83" t="s">
        <v>2363</v>
      </c>
      <c r="T154" s="42" t="s">
        <v>2003</v>
      </c>
      <c r="U154" s="34" t="s">
        <v>22</v>
      </c>
      <c r="V154" s="81"/>
      <c r="W154" s="81"/>
      <c r="X154" s="12" t="s">
        <v>2364</v>
      </c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</row>
    <row r="155" ht="12.0" customHeight="1">
      <c r="A155" s="5" t="s">
        <v>2365</v>
      </c>
      <c r="B155" s="5">
        <v>2.0</v>
      </c>
      <c r="C155" s="26" t="s">
        <v>1634</v>
      </c>
      <c r="D155" s="78" t="s">
        <v>2007</v>
      </c>
      <c r="E155" s="78" t="s">
        <v>2059</v>
      </c>
      <c r="F155" s="5" t="s">
        <v>1141</v>
      </c>
      <c r="G155" s="26" t="s">
        <v>1531</v>
      </c>
      <c r="H155" s="5" t="s">
        <v>2366</v>
      </c>
      <c r="I155" s="5">
        <v>2.0</v>
      </c>
      <c r="J155" s="12" t="s">
        <v>2367</v>
      </c>
      <c r="K155" s="79">
        <v>2.0</v>
      </c>
      <c r="L155" s="5" t="s">
        <v>1554</v>
      </c>
      <c r="M155" s="5" t="s">
        <v>1555</v>
      </c>
      <c r="N155" s="83" t="s">
        <v>2368</v>
      </c>
      <c r="O155" s="5"/>
      <c r="P155" s="5"/>
      <c r="Q155" s="5"/>
      <c r="R155" s="5"/>
      <c r="S155" s="80"/>
      <c r="T155" s="26" t="s">
        <v>2006</v>
      </c>
      <c r="U155" s="34" t="s">
        <v>22</v>
      </c>
      <c r="V155" s="81"/>
      <c r="W155" s="81"/>
      <c r="X155" s="5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</row>
    <row r="156" ht="12.0" customHeight="1">
      <c r="A156" s="5" t="s">
        <v>2365</v>
      </c>
      <c r="B156" s="5">
        <v>3.0</v>
      </c>
      <c r="C156" s="26" t="s">
        <v>1634</v>
      </c>
      <c r="D156" s="78" t="s">
        <v>2007</v>
      </c>
      <c r="E156" s="78" t="s">
        <v>2059</v>
      </c>
      <c r="F156" s="5" t="s">
        <v>1141</v>
      </c>
      <c r="G156" s="26" t="s">
        <v>1531</v>
      </c>
      <c r="H156" s="5" t="s">
        <v>2366</v>
      </c>
      <c r="I156" s="5">
        <v>3.0</v>
      </c>
      <c r="J156" s="12" t="s">
        <v>2367</v>
      </c>
      <c r="K156" s="82" t="s">
        <v>2369</v>
      </c>
      <c r="L156" s="5" t="s">
        <v>1554</v>
      </c>
      <c r="M156" s="5" t="s">
        <v>1555</v>
      </c>
      <c r="N156" s="83" t="s">
        <v>2368</v>
      </c>
      <c r="O156" s="5" t="s">
        <v>2366</v>
      </c>
      <c r="P156" s="12">
        <v>4.0</v>
      </c>
      <c r="Q156" s="5" t="s">
        <v>1554</v>
      </c>
      <c r="R156" s="5" t="s">
        <v>1555</v>
      </c>
      <c r="S156" s="83" t="s">
        <v>2368</v>
      </c>
      <c r="T156" s="26" t="s">
        <v>2006</v>
      </c>
      <c r="U156" s="34" t="s">
        <v>22</v>
      </c>
      <c r="V156" s="81"/>
      <c r="W156" s="81"/>
      <c r="X156" s="5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</row>
    <row r="157" ht="12.0" customHeight="1">
      <c r="A157" s="5" t="s">
        <v>2365</v>
      </c>
      <c r="B157" s="5">
        <v>4.0</v>
      </c>
      <c r="C157" s="26" t="s">
        <v>1634</v>
      </c>
      <c r="D157" s="78" t="s">
        <v>2007</v>
      </c>
      <c r="E157" s="78" t="s">
        <v>2059</v>
      </c>
      <c r="F157" s="5" t="s">
        <v>1141</v>
      </c>
      <c r="G157" s="26" t="s">
        <v>1531</v>
      </c>
      <c r="H157" s="5" t="s">
        <v>2366</v>
      </c>
      <c r="I157" s="12">
        <v>5.0</v>
      </c>
      <c r="J157" s="12" t="s">
        <v>2367</v>
      </c>
      <c r="K157" s="82" t="s">
        <v>2370</v>
      </c>
      <c r="L157" s="5" t="s">
        <v>1554</v>
      </c>
      <c r="M157" s="5" t="s">
        <v>1555</v>
      </c>
      <c r="N157" s="83" t="s">
        <v>2368</v>
      </c>
      <c r="O157" s="5" t="s">
        <v>2366</v>
      </c>
      <c r="P157" s="12">
        <v>6.0</v>
      </c>
      <c r="Q157" s="5" t="s">
        <v>1554</v>
      </c>
      <c r="R157" s="5" t="s">
        <v>1555</v>
      </c>
      <c r="S157" s="83" t="s">
        <v>2368</v>
      </c>
      <c r="T157" s="26" t="s">
        <v>2006</v>
      </c>
      <c r="U157" s="34" t="s">
        <v>22</v>
      </c>
      <c r="V157" s="81"/>
      <c r="W157" s="81"/>
      <c r="X157" s="5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</row>
    <row r="158" ht="12.0" hidden="1" customHeight="1">
      <c r="A158" s="5" t="s">
        <v>2371</v>
      </c>
      <c r="B158" s="5">
        <v>20.0</v>
      </c>
      <c r="C158" s="26" t="s">
        <v>1634</v>
      </c>
      <c r="D158" s="78" t="s">
        <v>2051</v>
      </c>
      <c r="E158" s="78" t="s">
        <v>2001</v>
      </c>
      <c r="F158" s="5" t="s">
        <v>1141</v>
      </c>
      <c r="G158" s="26" t="s">
        <v>2372</v>
      </c>
      <c r="H158" s="5" t="s">
        <v>2373</v>
      </c>
      <c r="I158" s="5">
        <v>123.0</v>
      </c>
      <c r="J158" s="5"/>
      <c r="K158" s="79"/>
      <c r="L158" s="5" t="s">
        <v>2374</v>
      </c>
      <c r="M158" s="5" t="s">
        <v>2375</v>
      </c>
      <c r="N158" s="80" t="s">
        <v>2376</v>
      </c>
      <c r="O158" s="5"/>
      <c r="P158" s="5"/>
      <c r="Q158" s="5"/>
      <c r="R158" s="5"/>
      <c r="S158" s="80"/>
      <c r="T158" s="26" t="s">
        <v>2006</v>
      </c>
      <c r="U158" s="34" t="s">
        <v>22</v>
      </c>
      <c r="V158" s="81"/>
      <c r="W158" s="81"/>
      <c r="X158" s="5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</row>
    <row r="159" ht="12.0" hidden="1" customHeight="1">
      <c r="A159" s="5" t="s">
        <v>2371</v>
      </c>
      <c r="B159" s="5">
        <v>21.0</v>
      </c>
      <c r="C159" s="26" t="s">
        <v>1634</v>
      </c>
      <c r="D159" s="78" t="s">
        <v>2051</v>
      </c>
      <c r="E159" s="78" t="s">
        <v>2001</v>
      </c>
      <c r="F159" s="5" t="s">
        <v>1141</v>
      </c>
      <c r="G159" s="26" t="s">
        <v>2372</v>
      </c>
      <c r="H159" s="5" t="s">
        <v>2373</v>
      </c>
      <c r="I159" s="5">
        <v>35.0</v>
      </c>
      <c r="J159" s="5"/>
      <c r="K159" s="79"/>
      <c r="L159" s="5" t="s">
        <v>2377</v>
      </c>
      <c r="M159" s="5" t="s">
        <v>2375</v>
      </c>
      <c r="N159" s="80" t="s">
        <v>2378</v>
      </c>
      <c r="O159" s="5"/>
      <c r="P159" s="5"/>
      <c r="Q159" s="5"/>
      <c r="R159" s="5"/>
      <c r="S159" s="80"/>
      <c r="T159" s="26" t="s">
        <v>2006</v>
      </c>
      <c r="U159" s="34" t="s">
        <v>22</v>
      </c>
      <c r="V159" s="81"/>
      <c r="W159" s="81"/>
      <c r="X159" s="5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</row>
    <row r="160" ht="12.0" customHeight="1">
      <c r="A160" s="5" t="s">
        <v>2379</v>
      </c>
      <c r="B160" s="12">
        <v>3.0</v>
      </c>
      <c r="C160" s="26" t="s">
        <v>1634</v>
      </c>
      <c r="D160" s="78" t="s">
        <v>2380</v>
      </c>
      <c r="E160" s="78" t="s">
        <v>2059</v>
      </c>
      <c r="F160" s="5" t="s">
        <v>1141</v>
      </c>
      <c r="G160" s="26" t="s">
        <v>1650</v>
      </c>
      <c r="H160" s="5" t="s">
        <v>2381</v>
      </c>
      <c r="I160" s="12">
        <v>3.0</v>
      </c>
      <c r="J160" s="12" t="s">
        <v>2382</v>
      </c>
      <c r="K160" s="82">
        <v>3.0</v>
      </c>
      <c r="L160" s="5" t="s">
        <v>2081</v>
      </c>
      <c r="M160" s="5" t="s">
        <v>2383</v>
      </c>
      <c r="N160" s="83" t="s">
        <v>2384</v>
      </c>
      <c r="O160" s="5"/>
      <c r="P160" s="5"/>
      <c r="Q160" s="5"/>
      <c r="R160" s="5"/>
      <c r="S160" s="80"/>
      <c r="T160" s="26" t="s">
        <v>2006</v>
      </c>
      <c r="U160" s="34" t="s">
        <v>22</v>
      </c>
      <c r="V160" s="81"/>
      <c r="W160" s="81"/>
      <c r="X160" s="5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</row>
    <row r="161" ht="12.0" hidden="1" customHeight="1">
      <c r="A161" s="5" t="s">
        <v>2379</v>
      </c>
      <c r="B161" s="12">
        <v>4.0</v>
      </c>
      <c r="C161" s="26" t="s">
        <v>1634</v>
      </c>
      <c r="D161" s="78" t="s">
        <v>2380</v>
      </c>
      <c r="E161" s="78" t="s">
        <v>2001</v>
      </c>
      <c r="F161" s="5" t="s">
        <v>1141</v>
      </c>
      <c r="G161" s="26" t="s">
        <v>1650</v>
      </c>
      <c r="H161" s="5" t="s">
        <v>2381</v>
      </c>
      <c r="I161" s="12">
        <v>4.0</v>
      </c>
      <c r="J161" s="12" t="s">
        <v>2385</v>
      </c>
      <c r="K161" s="82">
        <v>1.0</v>
      </c>
      <c r="L161" s="5" t="s">
        <v>2081</v>
      </c>
      <c r="M161" s="5" t="s">
        <v>2383</v>
      </c>
      <c r="N161" s="83" t="s">
        <v>2386</v>
      </c>
      <c r="O161" s="5"/>
      <c r="P161" s="5"/>
      <c r="Q161" s="5"/>
      <c r="R161" s="5"/>
      <c r="S161" s="80"/>
      <c r="T161" s="26" t="s">
        <v>2006</v>
      </c>
      <c r="U161" s="34" t="s">
        <v>22</v>
      </c>
      <c r="V161" s="81"/>
      <c r="W161" s="81"/>
      <c r="X161" s="5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</row>
    <row r="162" ht="12.0" hidden="1" customHeight="1">
      <c r="A162" s="5" t="s">
        <v>2379</v>
      </c>
      <c r="B162" s="12">
        <v>5.0</v>
      </c>
      <c r="C162" s="26" t="s">
        <v>1634</v>
      </c>
      <c r="D162" s="78" t="s">
        <v>2380</v>
      </c>
      <c r="E162" s="78" t="s">
        <v>2001</v>
      </c>
      <c r="F162" s="12" t="s">
        <v>1141</v>
      </c>
      <c r="G162" s="42" t="s">
        <v>1650</v>
      </c>
      <c r="H162" s="5" t="s">
        <v>2381</v>
      </c>
      <c r="I162" s="12">
        <v>5.0</v>
      </c>
      <c r="J162" s="12" t="s">
        <v>2385</v>
      </c>
      <c r="K162" s="82">
        <v>2.0</v>
      </c>
      <c r="L162" s="5" t="s">
        <v>2081</v>
      </c>
      <c r="M162" s="5" t="s">
        <v>2383</v>
      </c>
      <c r="N162" s="83" t="s">
        <v>2387</v>
      </c>
      <c r="O162" s="5"/>
      <c r="P162" s="5"/>
      <c r="Q162" s="5"/>
      <c r="R162" s="5"/>
      <c r="S162" s="80"/>
      <c r="T162" s="26" t="s">
        <v>2006</v>
      </c>
      <c r="U162" s="34" t="s">
        <v>22</v>
      </c>
      <c r="V162" s="81"/>
      <c r="W162" s="81"/>
      <c r="X162" s="5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</row>
    <row r="163" ht="12.0" hidden="1" customHeight="1">
      <c r="A163" s="5" t="s">
        <v>2379</v>
      </c>
      <c r="B163" s="12">
        <v>6.0</v>
      </c>
      <c r="C163" s="26" t="s">
        <v>1634</v>
      </c>
      <c r="D163" s="78" t="s">
        <v>2380</v>
      </c>
      <c r="E163" s="78" t="s">
        <v>2001</v>
      </c>
      <c r="F163" s="5" t="s">
        <v>1141</v>
      </c>
      <c r="G163" s="26" t="s">
        <v>1650</v>
      </c>
      <c r="H163" s="5" t="s">
        <v>2381</v>
      </c>
      <c r="I163" s="12">
        <v>6.0</v>
      </c>
      <c r="J163" s="12" t="s">
        <v>2385</v>
      </c>
      <c r="K163" s="82">
        <v>3.0</v>
      </c>
      <c r="L163" s="5" t="s">
        <v>2081</v>
      </c>
      <c r="M163" s="5" t="s">
        <v>2383</v>
      </c>
      <c r="N163" s="83" t="s">
        <v>2388</v>
      </c>
      <c r="O163" s="5"/>
      <c r="P163" s="5"/>
      <c r="Q163" s="5"/>
      <c r="R163" s="5"/>
      <c r="S163" s="80"/>
      <c r="T163" s="26" t="s">
        <v>2006</v>
      </c>
      <c r="U163" s="34" t="s">
        <v>22</v>
      </c>
      <c r="V163" s="81"/>
      <c r="W163" s="81"/>
      <c r="X163" s="5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</row>
    <row r="164" ht="12.0" customHeight="1">
      <c r="A164" s="5" t="s">
        <v>2379</v>
      </c>
      <c r="B164" s="5">
        <v>8.0</v>
      </c>
      <c r="C164" s="26" t="s">
        <v>1634</v>
      </c>
      <c r="D164" s="78" t="s">
        <v>2380</v>
      </c>
      <c r="E164" s="78" t="s">
        <v>2059</v>
      </c>
      <c r="F164" s="5" t="s">
        <v>1141</v>
      </c>
      <c r="G164" s="26" t="s">
        <v>1650</v>
      </c>
      <c r="H164" s="5" t="s">
        <v>2381</v>
      </c>
      <c r="I164" s="5">
        <v>8.0</v>
      </c>
      <c r="J164" s="12" t="s">
        <v>2389</v>
      </c>
      <c r="K164" s="82">
        <v>2.0</v>
      </c>
      <c r="L164" s="5" t="s">
        <v>2081</v>
      </c>
      <c r="M164" s="5" t="s">
        <v>2383</v>
      </c>
      <c r="N164" s="83" t="s">
        <v>2390</v>
      </c>
      <c r="O164" s="5"/>
      <c r="P164" s="5"/>
      <c r="Q164" s="5"/>
      <c r="R164" s="5"/>
      <c r="S164" s="80"/>
      <c r="T164" s="26" t="s">
        <v>2006</v>
      </c>
      <c r="U164" s="34" t="s">
        <v>22</v>
      </c>
      <c r="V164" s="81"/>
      <c r="W164" s="81"/>
      <c r="X164" s="5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</row>
    <row r="165" ht="12.0" hidden="1" customHeight="1">
      <c r="A165" s="5" t="s">
        <v>2379</v>
      </c>
      <c r="B165" s="12">
        <v>10.0</v>
      </c>
      <c r="C165" s="26" t="s">
        <v>1634</v>
      </c>
      <c r="D165" s="78" t="s">
        <v>2380</v>
      </c>
      <c r="E165" s="78" t="s">
        <v>2001</v>
      </c>
      <c r="F165" s="5" t="s">
        <v>1141</v>
      </c>
      <c r="G165" s="26" t="s">
        <v>1650</v>
      </c>
      <c r="H165" s="5" t="s">
        <v>2381</v>
      </c>
      <c r="I165" s="12">
        <v>10.0</v>
      </c>
      <c r="J165" s="5"/>
      <c r="K165" s="79"/>
      <c r="L165" s="5" t="s">
        <v>2081</v>
      </c>
      <c r="M165" s="5" t="s">
        <v>2383</v>
      </c>
      <c r="N165" s="83" t="s">
        <v>2391</v>
      </c>
      <c r="O165" s="5"/>
      <c r="P165" s="5"/>
      <c r="Q165" s="5"/>
      <c r="R165" s="5"/>
      <c r="S165" s="80"/>
      <c r="T165" s="26" t="s">
        <v>2006</v>
      </c>
      <c r="U165" s="34" t="s">
        <v>22</v>
      </c>
      <c r="V165" s="81"/>
      <c r="W165" s="81"/>
      <c r="X165" s="5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</row>
    <row r="166" ht="12.0" customHeight="1">
      <c r="A166" s="5" t="s">
        <v>2379</v>
      </c>
      <c r="B166" s="5">
        <v>11.0</v>
      </c>
      <c r="C166" s="26" t="s">
        <v>1634</v>
      </c>
      <c r="D166" s="78" t="s">
        <v>2380</v>
      </c>
      <c r="E166" s="78" t="s">
        <v>2059</v>
      </c>
      <c r="F166" s="5" t="s">
        <v>1141</v>
      </c>
      <c r="G166" s="26" t="s">
        <v>1650</v>
      </c>
      <c r="H166" s="5" t="s">
        <v>2381</v>
      </c>
      <c r="I166" s="5">
        <v>11.0</v>
      </c>
      <c r="J166" s="12" t="s">
        <v>2392</v>
      </c>
      <c r="K166" s="82">
        <v>1.0</v>
      </c>
      <c r="L166" s="5" t="s">
        <v>2081</v>
      </c>
      <c r="M166" s="5" t="s">
        <v>2383</v>
      </c>
      <c r="N166" s="80" t="s">
        <v>2393</v>
      </c>
      <c r="O166" s="5"/>
      <c r="P166" s="5"/>
      <c r="Q166" s="5"/>
      <c r="R166" s="5"/>
      <c r="S166" s="80"/>
      <c r="T166" s="26" t="s">
        <v>2006</v>
      </c>
      <c r="U166" s="34" t="s">
        <v>22</v>
      </c>
      <c r="V166" s="81"/>
      <c r="W166" s="81"/>
      <c r="X166" s="5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</row>
    <row r="167" ht="12.0" customHeight="1">
      <c r="A167" s="5" t="s">
        <v>2379</v>
      </c>
      <c r="B167" s="5">
        <v>12.0</v>
      </c>
      <c r="C167" s="26" t="s">
        <v>1634</v>
      </c>
      <c r="D167" s="78" t="s">
        <v>2380</v>
      </c>
      <c r="E167" s="78" t="s">
        <v>2059</v>
      </c>
      <c r="F167" s="5" t="s">
        <v>1141</v>
      </c>
      <c r="G167" s="26" t="s">
        <v>1650</v>
      </c>
      <c r="H167" s="5" t="s">
        <v>2381</v>
      </c>
      <c r="I167" s="5">
        <v>12.0</v>
      </c>
      <c r="J167" s="12" t="s">
        <v>2392</v>
      </c>
      <c r="K167" s="82">
        <v>2.0</v>
      </c>
      <c r="L167" s="5" t="s">
        <v>2081</v>
      </c>
      <c r="M167" s="5" t="s">
        <v>2383</v>
      </c>
      <c r="N167" s="80" t="s">
        <v>2394</v>
      </c>
      <c r="O167" s="5"/>
      <c r="P167" s="5"/>
      <c r="Q167" s="5"/>
      <c r="R167" s="5"/>
      <c r="S167" s="80"/>
      <c r="T167" s="26" t="s">
        <v>2006</v>
      </c>
      <c r="U167" s="34" t="s">
        <v>22</v>
      </c>
      <c r="V167" s="96"/>
      <c r="W167" s="96"/>
      <c r="X167" s="9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</row>
    <row r="168" ht="12.0" hidden="1" customHeight="1">
      <c r="A168" s="5" t="s">
        <v>2395</v>
      </c>
      <c r="B168" s="12">
        <v>6.0</v>
      </c>
      <c r="C168" s="26" t="s">
        <v>1634</v>
      </c>
      <c r="D168" s="78" t="s">
        <v>2134</v>
      </c>
      <c r="E168" s="78" t="s">
        <v>2001</v>
      </c>
      <c r="F168" s="5" t="s">
        <v>1141</v>
      </c>
      <c r="G168" s="26" t="s">
        <v>1531</v>
      </c>
      <c r="H168" s="12" t="s">
        <v>2396</v>
      </c>
      <c r="I168" s="12">
        <v>1.0</v>
      </c>
      <c r="J168" s="5"/>
      <c r="K168" s="79"/>
      <c r="L168" s="12" t="s">
        <v>2136</v>
      </c>
      <c r="M168" s="12" t="s">
        <v>2309</v>
      </c>
      <c r="N168" s="98" t="s">
        <v>2397</v>
      </c>
      <c r="O168" s="5"/>
      <c r="P168" s="5"/>
      <c r="Q168" s="5"/>
      <c r="R168" s="5"/>
      <c r="S168" s="80"/>
      <c r="T168" s="26" t="s">
        <v>2006</v>
      </c>
      <c r="U168" s="34" t="s">
        <v>22</v>
      </c>
      <c r="V168" s="96"/>
      <c r="W168" s="96"/>
      <c r="X168" s="9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</row>
    <row r="169" ht="12.0" hidden="1" customHeight="1">
      <c r="A169" s="5" t="s">
        <v>2395</v>
      </c>
      <c r="B169" s="12">
        <v>10.0</v>
      </c>
      <c r="C169" s="26" t="s">
        <v>1634</v>
      </c>
      <c r="D169" s="78" t="s">
        <v>2134</v>
      </c>
      <c r="E169" s="78" t="s">
        <v>2001</v>
      </c>
      <c r="F169" s="5" t="s">
        <v>1141</v>
      </c>
      <c r="G169" s="26" t="s">
        <v>1531</v>
      </c>
      <c r="H169" s="12" t="s">
        <v>2398</v>
      </c>
      <c r="I169" s="12">
        <v>127.0</v>
      </c>
      <c r="J169" s="5"/>
      <c r="K169" s="79"/>
      <c r="L169" s="12" t="s">
        <v>2399</v>
      </c>
      <c r="M169" s="12" t="s">
        <v>2400</v>
      </c>
      <c r="N169" s="98" t="s">
        <v>2401</v>
      </c>
      <c r="O169" s="5"/>
      <c r="P169" s="5"/>
      <c r="Q169" s="5"/>
      <c r="R169" s="5"/>
      <c r="S169" s="80"/>
      <c r="T169" s="26" t="s">
        <v>2006</v>
      </c>
      <c r="U169" s="34" t="s">
        <v>22</v>
      </c>
      <c r="V169" s="96"/>
      <c r="W169" s="96"/>
      <c r="X169" s="9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</row>
    <row r="170" ht="12.0" customHeight="1">
      <c r="A170" s="5" t="s">
        <v>2395</v>
      </c>
      <c r="B170" s="12">
        <v>11.0</v>
      </c>
      <c r="C170" s="26" t="s">
        <v>1634</v>
      </c>
      <c r="D170" s="78" t="s">
        <v>2134</v>
      </c>
      <c r="E170" s="78" t="s">
        <v>2059</v>
      </c>
      <c r="F170" s="5" t="s">
        <v>1141</v>
      </c>
      <c r="G170" s="26" t="s">
        <v>1531</v>
      </c>
      <c r="H170" s="12" t="s">
        <v>2402</v>
      </c>
      <c r="I170" s="12">
        <v>177.0</v>
      </c>
      <c r="J170" s="12" t="s">
        <v>2403</v>
      </c>
      <c r="K170" s="82">
        <v>1.0</v>
      </c>
      <c r="L170" s="12" t="s">
        <v>2136</v>
      </c>
      <c r="M170" s="12" t="s">
        <v>2404</v>
      </c>
      <c r="N170" s="83" t="s">
        <v>2405</v>
      </c>
      <c r="O170" s="5"/>
      <c r="P170" s="5"/>
      <c r="Q170" s="5"/>
      <c r="R170" s="5"/>
      <c r="S170" s="80"/>
      <c r="T170" s="26" t="s">
        <v>2006</v>
      </c>
      <c r="U170" s="34" t="s">
        <v>22</v>
      </c>
      <c r="V170" s="96"/>
      <c r="W170" s="96"/>
      <c r="X170" s="9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</row>
    <row r="171" ht="12.0" customHeight="1">
      <c r="A171" s="5" t="s">
        <v>2395</v>
      </c>
      <c r="B171" s="12">
        <v>13.0</v>
      </c>
      <c r="C171" s="26" t="s">
        <v>1634</v>
      </c>
      <c r="D171" s="78" t="s">
        <v>2134</v>
      </c>
      <c r="E171" s="78" t="s">
        <v>2059</v>
      </c>
      <c r="F171" s="5" t="s">
        <v>1141</v>
      </c>
      <c r="G171" s="26" t="s">
        <v>1531</v>
      </c>
      <c r="H171" s="12" t="s">
        <v>2406</v>
      </c>
      <c r="I171" s="12">
        <v>38.0</v>
      </c>
      <c r="J171" s="12" t="s">
        <v>2407</v>
      </c>
      <c r="K171" s="82">
        <v>2.0</v>
      </c>
      <c r="L171" s="12" t="s">
        <v>2408</v>
      </c>
      <c r="M171" s="12" t="s">
        <v>2404</v>
      </c>
      <c r="N171" s="83" t="s">
        <v>2409</v>
      </c>
      <c r="O171" s="5"/>
      <c r="P171" s="5"/>
      <c r="Q171" s="5"/>
      <c r="R171" s="5"/>
      <c r="S171" s="80"/>
      <c r="T171" s="26" t="s">
        <v>2006</v>
      </c>
      <c r="U171" s="34" t="s">
        <v>22</v>
      </c>
      <c r="V171" s="96"/>
      <c r="W171" s="96"/>
      <c r="X171" s="9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</row>
    <row r="172" ht="12.0" hidden="1" customHeight="1">
      <c r="A172" s="5" t="s">
        <v>2395</v>
      </c>
      <c r="B172" s="12">
        <v>14.0</v>
      </c>
      <c r="C172" s="26" t="s">
        <v>1634</v>
      </c>
      <c r="D172" s="78" t="s">
        <v>2134</v>
      </c>
      <c r="E172" s="78" t="s">
        <v>2001</v>
      </c>
      <c r="F172" s="5" t="s">
        <v>1141</v>
      </c>
      <c r="G172" s="26" t="s">
        <v>1531</v>
      </c>
      <c r="H172" s="12" t="s">
        <v>2398</v>
      </c>
      <c r="I172" s="12">
        <v>125.0</v>
      </c>
      <c r="J172" s="5"/>
      <c r="K172" s="79"/>
      <c r="L172" s="12" t="s">
        <v>2410</v>
      </c>
      <c r="M172" s="12" t="s">
        <v>2411</v>
      </c>
      <c r="N172" s="83" t="s">
        <v>2412</v>
      </c>
      <c r="O172" s="5"/>
      <c r="P172" s="5"/>
      <c r="Q172" s="5"/>
      <c r="R172" s="5"/>
      <c r="S172" s="80"/>
      <c r="T172" s="26" t="s">
        <v>2006</v>
      </c>
      <c r="U172" s="34" t="s">
        <v>22</v>
      </c>
      <c r="V172" s="96"/>
      <c r="W172" s="96"/>
      <c r="X172" s="9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</row>
    <row r="173" ht="12.0" hidden="1" customHeight="1">
      <c r="A173" s="5" t="s">
        <v>2395</v>
      </c>
      <c r="B173" s="5">
        <v>15.0</v>
      </c>
      <c r="C173" s="26" t="s">
        <v>1634</v>
      </c>
      <c r="D173" s="78" t="s">
        <v>2134</v>
      </c>
      <c r="E173" s="78" t="s">
        <v>2001</v>
      </c>
      <c r="F173" s="5" t="s">
        <v>1141</v>
      </c>
      <c r="G173" s="26" t="s">
        <v>1531</v>
      </c>
      <c r="H173" s="5" t="s">
        <v>2413</v>
      </c>
      <c r="I173" s="5">
        <v>7.0</v>
      </c>
      <c r="J173" s="5"/>
      <c r="K173" s="79"/>
      <c r="L173" s="5" t="s">
        <v>2414</v>
      </c>
      <c r="M173" s="5" t="s">
        <v>2400</v>
      </c>
      <c r="N173" s="83" t="s">
        <v>2415</v>
      </c>
      <c r="O173" s="5"/>
      <c r="P173" s="5"/>
      <c r="Q173" s="5"/>
      <c r="R173" s="5"/>
      <c r="S173" s="80"/>
      <c r="T173" s="26" t="s">
        <v>2006</v>
      </c>
      <c r="U173" s="34" t="s">
        <v>22</v>
      </c>
      <c r="V173" s="96"/>
      <c r="W173" s="96"/>
      <c r="X173" s="9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</row>
    <row r="174" ht="12.0" customHeight="1">
      <c r="A174" s="5" t="s">
        <v>2395</v>
      </c>
      <c r="B174" s="5">
        <v>16.0</v>
      </c>
      <c r="C174" s="26" t="s">
        <v>1634</v>
      </c>
      <c r="D174" s="78" t="s">
        <v>2416</v>
      </c>
      <c r="E174" s="78" t="s">
        <v>2059</v>
      </c>
      <c r="F174" s="5" t="s">
        <v>1141</v>
      </c>
      <c r="G174" s="26" t="s">
        <v>1531</v>
      </c>
      <c r="H174" s="5" t="s">
        <v>2417</v>
      </c>
      <c r="I174" s="5">
        <v>1.0</v>
      </c>
      <c r="J174" s="12" t="s">
        <v>2418</v>
      </c>
      <c r="K174" s="79">
        <v>1.0</v>
      </c>
      <c r="L174" s="5" t="s">
        <v>1707</v>
      </c>
      <c r="M174" s="5" t="s">
        <v>2198</v>
      </c>
      <c r="N174" s="80" t="s">
        <v>2419</v>
      </c>
      <c r="O174" s="5"/>
      <c r="P174" s="5"/>
      <c r="Q174" s="5"/>
      <c r="R174" s="5"/>
      <c r="S174" s="80"/>
      <c r="T174" s="26" t="s">
        <v>2006</v>
      </c>
      <c r="U174" s="34" t="s">
        <v>22</v>
      </c>
      <c r="V174" s="96"/>
      <c r="W174" s="96"/>
      <c r="X174" s="9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</row>
    <row r="175" ht="12.0" customHeight="1">
      <c r="A175" s="5" t="s">
        <v>2395</v>
      </c>
      <c r="B175" s="5">
        <v>17.0</v>
      </c>
      <c r="C175" s="26" t="s">
        <v>1634</v>
      </c>
      <c r="D175" s="78" t="s">
        <v>2416</v>
      </c>
      <c r="E175" s="78" t="s">
        <v>2059</v>
      </c>
      <c r="F175" s="5" t="s">
        <v>1141</v>
      </c>
      <c r="G175" s="26" t="s">
        <v>1531</v>
      </c>
      <c r="H175" s="5" t="s">
        <v>2417</v>
      </c>
      <c r="I175" s="5">
        <v>2.0</v>
      </c>
      <c r="J175" s="12" t="s">
        <v>2418</v>
      </c>
      <c r="K175" s="79">
        <v>2.0</v>
      </c>
      <c r="L175" s="5" t="s">
        <v>1707</v>
      </c>
      <c r="M175" s="5" t="s">
        <v>2198</v>
      </c>
      <c r="N175" s="80" t="s">
        <v>2420</v>
      </c>
      <c r="O175" s="5"/>
      <c r="P175" s="5"/>
      <c r="Q175" s="5"/>
      <c r="R175" s="5"/>
      <c r="S175" s="80"/>
      <c r="T175" s="26" t="s">
        <v>2006</v>
      </c>
      <c r="U175" s="34" t="s">
        <v>22</v>
      </c>
      <c r="V175" s="96"/>
      <c r="W175" s="96"/>
      <c r="X175" s="9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</row>
    <row r="176" ht="12.0" customHeight="1">
      <c r="A176" s="5" t="s">
        <v>2395</v>
      </c>
      <c r="B176" s="5">
        <v>19.0</v>
      </c>
      <c r="C176" s="26" t="s">
        <v>1634</v>
      </c>
      <c r="D176" s="78" t="s">
        <v>2416</v>
      </c>
      <c r="E176" s="78" t="s">
        <v>2059</v>
      </c>
      <c r="F176" s="5" t="s">
        <v>1141</v>
      </c>
      <c r="G176" s="26" t="s">
        <v>1531</v>
      </c>
      <c r="H176" s="5" t="s">
        <v>2417</v>
      </c>
      <c r="I176" s="5">
        <v>4.0</v>
      </c>
      <c r="J176" s="12" t="s">
        <v>2418</v>
      </c>
      <c r="K176" s="79">
        <v>4.0</v>
      </c>
      <c r="L176" s="5" t="s">
        <v>1707</v>
      </c>
      <c r="M176" s="5" t="s">
        <v>2198</v>
      </c>
      <c r="N176" s="80" t="s">
        <v>2421</v>
      </c>
      <c r="O176" s="5"/>
      <c r="P176" s="5"/>
      <c r="Q176" s="5"/>
      <c r="R176" s="5"/>
      <c r="S176" s="80"/>
      <c r="T176" s="26" t="s">
        <v>2006</v>
      </c>
      <c r="U176" s="34" t="s">
        <v>22</v>
      </c>
      <c r="V176" s="96"/>
      <c r="W176" s="96"/>
      <c r="X176" s="9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</row>
    <row r="177" ht="12.0" hidden="1" customHeight="1">
      <c r="A177" s="5" t="s">
        <v>2395</v>
      </c>
      <c r="B177" s="5">
        <v>21.0</v>
      </c>
      <c r="C177" s="26" t="s">
        <v>1634</v>
      </c>
      <c r="D177" s="78" t="s">
        <v>2134</v>
      </c>
      <c r="E177" s="78" t="s">
        <v>2001</v>
      </c>
      <c r="F177" s="5" t="s">
        <v>1141</v>
      </c>
      <c r="G177" s="26" t="s">
        <v>1531</v>
      </c>
      <c r="H177" s="5" t="s">
        <v>2139</v>
      </c>
      <c r="I177" s="5">
        <v>2.0</v>
      </c>
      <c r="J177" s="12" t="s">
        <v>2140</v>
      </c>
      <c r="K177" s="79">
        <v>2.0</v>
      </c>
      <c r="L177" s="5" t="s">
        <v>2141</v>
      </c>
      <c r="M177" s="5" t="s">
        <v>2142</v>
      </c>
      <c r="N177" s="80" t="s">
        <v>2422</v>
      </c>
      <c r="O177" s="5"/>
      <c r="P177" s="5"/>
      <c r="Q177" s="5"/>
      <c r="R177" s="5"/>
      <c r="S177" s="80"/>
      <c r="T177" s="26" t="s">
        <v>2006</v>
      </c>
      <c r="U177" s="34" t="s">
        <v>22</v>
      </c>
      <c r="V177" s="96"/>
      <c r="W177" s="96"/>
      <c r="X177" s="9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</row>
    <row r="178" ht="12.0" hidden="1" customHeight="1">
      <c r="A178" s="5" t="s">
        <v>2395</v>
      </c>
      <c r="B178" s="5">
        <v>22.0</v>
      </c>
      <c r="C178" s="26" t="s">
        <v>1634</v>
      </c>
      <c r="D178" s="78" t="s">
        <v>2134</v>
      </c>
      <c r="E178" s="78" t="s">
        <v>2001</v>
      </c>
      <c r="F178" s="5" t="s">
        <v>1141</v>
      </c>
      <c r="G178" s="26" t="s">
        <v>1531</v>
      </c>
      <c r="H178" s="5" t="s">
        <v>2139</v>
      </c>
      <c r="I178" s="5">
        <v>3.0</v>
      </c>
      <c r="J178" s="12" t="s">
        <v>2140</v>
      </c>
      <c r="K178" s="79">
        <v>3.0</v>
      </c>
      <c r="L178" s="5" t="s">
        <v>2141</v>
      </c>
      <c r="M178" s="5" t="s">
        <v>2142</v>
      </c>
      <c r="N178" s="80" t="s">
        <v>2423</v>
      </c>
      <c r="O178" s="5"/>
      <c r="P178" s="5"/>
      <c r="Q178" s="5"/>
      <c r="R178" s="5"/>
      <c r="S178" s="80"/>
      <c r="T178" s="26" t="s">
        <v>2006</v>
      </c>
      <c r="U178" s="34" t="s">
        <v>22</v>
      </c>
      <c r="V178" s="96"/>
      <c r="W178" s="96"/>
      <c r="X178" s="9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</row>
    <row r="179" ht="12.0" hidden="1" customHeight="1">
      <c r="A179" s="5" t="s">
        <v>2395</v>
      </c>
      <c r="B179" s="5">
        <v>23.0</v>
      </c>
      <c r="C179" s="26" t="s">
        <v>1634</v>
      </c>
      <c r="D179" s="78" t="s">
        <v>2134</v>
      </c>
      <c r="E179" s="78" t="s">
        <v>2001</v>
      </c>
      <c r="F179" s="5" t="s">
        <v>1141</v>
      </c>
      <c r="G179" s="26" t="s">
        <v>1531</v>
      </c>
      <c r="H179" s="5" t="s">
        <v>2139</v>
      </c>
      <c r="I179" s="5">
        <v>4.0</v>
      </c>
      <c r="J179" s="12" t="s">
        <v>2140</v>
      </c>
      <c r="K179" s="79">
        <v>4.0</v>
      </c>
      <c r="L179" s="5" t="s">
        <v>2141</v>
      </c>
      <c r="M179" s="5" t="s">
        <v>2142</v>
      </c>
      <c r="N179" s="80" t="s">
        <v>2424</v>
      </c>
      <c r="O179" s="5"/>
      <c r="P179" s="5"/>
      <c r="Q179" s="5"/>
      <c r="R179" s="5"/>
      <c r="S179" s="80"/>
      <c r="T179" s="26" t="s">
        <v>2006</v>
      </c>
      <c r="U179" s="34" t="s">
        <v>22</v>
      </c>
      <c r="V179" s="96"/>
      <c r="W179" s="96"/>
      <c r="X179" s="9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</row>
    <row r="180" ht="12.0" hidden="1" customHeight="1">
      <c r="A180" s="5" t="s">
        <v>2395</v>
      </c>
      <c r="B180" s="5">
        <v>24.0</v>
      </c>
      <c r="C180" s="26" t="s">
        <v>1634</v>
      </c>
      <c r="D180" s="78" t="s">
        <v>2134</v>
      </c>
      <c r="E180" s="78" t="s">
        <v>2001</v>
      </c>
      <c r="F180" s="5" t="s">
        <v>1141</v>
      </c>
      <c r="G180" s="26" t="s">
        <v>1531</v>
      </c>
      <c r="H180" s="5" t="s">
        <v>2139</v>
      </c>
      <c r="I180" s="5">
        <v>5.0</v>
      </c>
      <c r="J180" s="12" t="s">
        <v>2140</v>
      </c>
      <c r="K180" s="79">
        <v>5.0</v>
      </c>
      <c r="L180" s="5" t="s">
        <v>2141</v>
      </c>
      <c r="M180" s="5" t="s">
        <v>2142</v>
      </c>
      <c r="N180" s="80" t="s">
        <v>2425</v>
      </c>
      <c r="O180" s="5"/>
      <c r="P180" s="5"/>
      <c r="Q180" s="5"/>
      <c r="R180" s="5"/>
      <c r="S180" s="80"/>
      <c r="T180" s="26" t="s">
        <v>2006</v>
      </c>
      <c r="U180" s="34" t="s">
        <v>22</v>
      </c>
      <c r="V180" s="96"/>
      <c r="W180" s="96"/>
      <c r="X180" s="9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</row>
    <row r="181" ht="12.0" hidden="1" customHeight="1">
      <c r="A181" s="5" t="s">
        <v>2395</v>
      </c>
      <c r="B181" s="12">
        <v>25.0</v>
      </c>
      <c r="C181" s="26" t="s">
        <v>1634</v>
      </c>
      <c r="D181" s="78" t="s">
        <v>2134</v>
      </c>
      <c r="E181" s="78" t="s">
        <v>2001</v>
      </c>
      <c r="F181" s="5" t="s">
        <v>1141</v>
      </c>
      <c r="G181" s="26" t="s">
        <v>1531</v>
      </c>
      <c r="H181" s="5" t="s">
        <v>2139</v>
      </c>
      <c r="I181" s="12">
        <v>6.0</v>
      </c>
      <c r="J181" s="12" t="s">
        <v>2140</v>
      </c>
      <c r="K181" s="82" t="s">
        <v>2290</v>
      </c>
      <c r="L181" s="5" t="s">
        <v>2141</v>
      </c>
      <c r="M181" s="5" t="s">
        <v>2142</v>
      </c>
      <c r="N181" s="83" t="s">
        <v>2143</v>
      </c>
      <c r="O181" s="5" t="s">
        <v>2139</v>
      </c>
      <c r="P181" s="12">
        <v>7.0</v>
      </c>
      <c r="Q181" s="5" t="s">
        <v>2141</v>
      </c>
      <c r="R181" s="5" t="s">
        <v>2142</v>
      </c>
      <c r="S181" s="83" t="s">
        <v>2143</v>
      </c>
      <c r="T181" s="26" t="s">
        <v>2006</v>
      </c>
      <c r="U181" s="34" t="s">
        <v>22</v>
      </c>
      <c r="V181" s="96"/>
      <c r="W181" s="96"/>
      <c r="X181" s="9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</row>
    <row r="182" ht="12.0" hidden="1" customHeight="1">
      <c r="A182" s="5" t="s">
        <v>2426</v>
      </c>
      <c r="B182" s="5">
        <v>1.0</v>
      </c>
      <c r="C182" s="26" t="s">
        <v>1634</v>
      </c>
      <c r="D182" s="78" t="s">
        <v>2134</v>
      </c>
      <c r="E182" s="78" t="s">
        <v>2001</v>
      </c>
      <c r="F182" s="5" t="s">
        <v>1141</v>
      </c>
      <c r="G182" s="26" t="s">
        <v>1531</v>
      </c>
      <c r="H182" s="5" t="s">
        <v>2427</v>
      </c>
      <c r="I182" s="5">
        <v>26.0</v>
      </c>
      <c r="J182" s="5"/>
      <c r="K182" s="79"/>
      <c r="L182" s="5" t="s">
        <v>2428</v>
      </c>
      <c r="M182" s="5" t="s">
        <v>2429</v>
      </c>
      <c r="N182" s="80" t="s">
        <v>2430</v>
      </c>
      <c r="O182" s="5"/>
      <c r="P182" s="5"/>
      <c r="Q182" s="5"/>
      <c r="R182" s="5"/>
      <c r="S182" s="80"/>
      <c r="T182" s="26" t="s">
        <v>2006</v>
      </c>
      <c r="U182" s="34" t="s">
        <v>22</v>
      </c>
      <c r="V182" s="96"/>
      <c r="W182" s="96"/>
      <c r="X182" s="9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</row>
    <row r="183" ht="12.0" hidden="1" customHeight="1">
      <c r="A183" s="5" t="s">
        <v>2357</v>
      </c>
      <c r="B183" s="5">
        <v>2.0</v>
      </c>
      <c r="C183" s="26" t="s">
        <v>1634</v>
      </c>
      <c r="D183" s="78" t="s">
        <v>2036</v>
      </c>
      <c r="E183" s="78" t="s">
        <v>2001</v>
      </c>
      <c r="F183" s="5" t="s">
        <v>1141</v>
      </c>
      <c r="G183" s="26" t="s">
        <v>1531</v>
      </c>
      <c r="H183" s="5" t="s">
        <v>2357</v>
      </c>
      <c r="I183" s="5">
        <v>2.0</v>
      </c>
      <c r="J183" s="5"/>
      <c r="K183" s="79"/>
      <c r="L183" s="5" t="s">
        <v>2431</v>
      </c>
      <c r="M183" s="5" t="s">
        <v>2432</v>
      </c>
      <c r="N183" s="80" t="s">
        <v>2433</v>
      </c>
      <c r="O183" s="5"/>
      <c r="P183" s="5"/>
      <c r="Q183" s="5"/>
      <c r="R183" s="5"/>
      <c r="S183" s="80"/>
      <c r="T183" s="26" t="s">
        <v>2006</v>
      </c>
      <c r="U183" s="34" t="s">
        <v>22</v>
      </c>
      <c r="V183" s="96"/>
      <c r="W183" s="96"/>
      <c r="X183" s="9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</row>
    <row r="184" ht="12.0" hidden="1" customHeight="1">
      <c r="A184" s="5" t="s">
        <v>2357</v>
      </c>
      <c r="B184" s="12">
        <v>21.0</v>
      </c>
      <c r="C184" s="26" t="s">
        <v>1634</v>
      </c>
      <c r="D184" s="78" t="s">
        <v>2036</v>
      </c>
      <c r="E184" s="78" t="s">
        <v>2001</v>
      </c>
      <c r="F184" s="5" t="s">
        <v>1141</v>
      </c>
      <c r="G184" s="26" t="s">
        <v>1531</v>
      </c>
      <c r="H184" s="5" t="s">
        <v>2357</v>
      </c>
      <c r="I184" s="12">
        <v>27.0</v>
      </c>
      <c r="J184" s="5"/>
      <c r="K184" s="79"/>
      <c r="L184" s="12" t="s">
        <v>2434</v>
      </c>
      <c r="M184" s="12" t="s">
        <v>2435</v>
      </c>
      <c r="N184" s="83" t="s">
        <v>2436</v>
      </c>
      <c r="O184" s="5"/>
      <c r="P184" s="5"/>
      <c r="Q184" s="5"/>
      <c r="R184" s="5"/>
      <c r="S184" s="80"/>
      <c r="T184" s="26"/>
      <c r="U184" s="34"/>
      <c r="V184" s="96"/>
      <c r="W184" s="96"/>
      <c r="X184" s="9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</row>
    <row r="185" ht="12.0" hidden="1" customHeight="1">
      <c r="A185" s="12" t="s">
        <v>2437</v>
      </c>
      <c r="B185" s="12">
        <v>1.0</v>
      </c>
      <c r="C185" s="26" t="s">
        <v>1634</v>
      </c>
      <c r="D185" s="78" t="s">
        <v>2051</v>
      </c>
      <c r="E185" s="78" t="s">
        <v>2001</v>
      </c>
      <c r="F185" s="5" t="s">
        <v>1141</v>
      </c>
      <c r="G185" s="42" t="s">
        <v>2438</v>
      </c>
      <c r="H185" s="12" t="s">
        <v>2439</v>
      </c>
      <c r="I185" s="12">
        <v>157.0</v>
      </c>
      <c r="J185" s="12"/>
      <c r="K185" s="5"/>
      <c r="L185" s="12" t="s">
        <v>2440</v>
      </c>
      <c r="M185" s="12" t="s">
        <v>2441</v>
      </c>
      <c r="N185" s="83" t="s">
        <v>2442</v>
      </c>
      <c r="O185" s="5"/>
      <c r="P185" s="5"/>
      <c r="Q185" s="5"/>
      <c r="R185" s="5"/>
      <c r="S185" s="80"/>
      <c r="T185" s="42" t="s">
        <v>2003</v>
      </c>
      <c r="U185" s="34" t="s">
        <v>22</v>
      </c>
      <c r="V185" s="96"/>
      <c r="W185" s="96"/>
      <c r="X185" s="78" t="s">
        <v>2443</v>
      </c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</row>
    <row r="186" ht="12.0" customHeight="1">
      <c r="A186" s="12" t="s">
        <v>2437</v>
      </c>
      <c r="B186" s="12">
        <v>3.0</v>
      </c>
      <c r="C186" s="26" t="s">
        <v>1634</v>
      </c>
      <c r="D186" s="78" t="s">
        <v>2051</v>
      </c>
      <c r="E186" s="78" t="s">
        <v>2059</v>
      </c>
      <c r="F186" s="5" t="s">
        <v>1141</v>
      </c>
      <c r="G186" s="42" t="s">
        <v>2438</v>
      </c>
      <c r="H186" s="12" t="s">
        <v>2439</v>
      </c>
      <c r="I186" s="12">
        <v>164.0</v>
      </c>
      <c r="J186" s="12" t="s">
        <v>2444</v>
      </c>
      <c r="K186" s="12">
        <v>2.0</v>
      </c>
      <c r="L186" s="12" t="s">
        <v>2440</v>
      </c>
      <c r="M186" s="12" t="s">
        <v>2441</v>
      </c>
      <c r="N186" s="83" t="s">
        <v>2445</v>
      </c>
      <c r="O186" s="5"/>
      <c r="P186" s="5"/>
      <c r="Q186" s="5"/>
      <c r="R186" s="5"/>
      <c r="S186" s="80"/>
      <c r="T186" s="42" t="s">
        <v>2003</v>
      </c>
      <c r="U186" s="34" t="s">
        <v>22</v>
      </c>
      <c r="V186" s="96"/>
      <c r="W186" s="96"/>
      <c r="X186" s="9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</row>
    <row r="187" ht="12.0" hidden="1" customHeight="1">
      <c r="A187" s="12" t="s">
        <v>2437</v>
      </c>
      <c r="B187" s="12">
        <v>4.0</v>
      </c>
      <c r="C187" s="26" t="s">
        <v>1634</v>
      </c>
      <c r="D187" s="78" t="s">
        <v>2051</v>
      </c>
      <c r="E187" s="78" t="s">
        <v>2001</v>
      </c>
      <c r="F187" s="5" t="s">
        <v>1141</v>
      </c>
      <c r="G187" s="42" t="s">
        <v>2438</v>
      </c>
      <c r="H187" s="12" t="s">
        <v>2439</v>
      </c>
      <c r="I187" s="12">
        <v>166.0</v>
      </c>
      <c r="J187" s="12" t="s">
        <v>2446</v>
      </c>
      <c r="K187" s="12">
        <v>1.0</v>
      </c>
      <c r="L187" s="12" t="s">
        <v>2440</v>
      </c>
      <c r="M187" s="12" t="s">
        <v>2441</v>
      </c>
      <c r="N187" s="83" t="s">
        <v>2447</v>
      </c>
      <c r="O187" s="5"/>
      <c r="P187" s="5"/>
      <c r="Q187" s="5"/>
      <c r="R187" s="5"/>
      <c r="S187" s="80"/>
      <c r="T187" s="42" t="s">
        <v>2003</v>
      </c>
      <c r="U187" s="34" t="s">
        <v>22</v>
      </c>
      <c r="V187" s="96"/>
      <c r="W187" s="96"/>
      <c r="X187" s="9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</row>
    <row r="188" ht="12.0" hidden="1" customHeight="1">
      <c r="A188" s="12" t="s">
        <v>2437</v>
      </c>
      <c r="B188" s="12">
        <v>5.0</v>
      </c>
      <c r="C188" s="26" t="s">
        <v>1634</v>
      </c>
      <c r="D188" s="78" t="s">
        <v>2051</v>
      </c>
      <c r="E188" s="78" t="s">
        <v>2001</v>
      </c>
      <c r="F188" s="5" t="s">
        <v>1141</v>
      </c>
      <c r="G188" s="42" t="s">
        <v>2438</v>
      </c>
      <c r="H188" s="12" t="s">
        <v>2439</v>
      </c>
      <c r="I188" s="12">
        <v>167.0</v>
      </c>
      <c r="J188" s="12" t="s">
        <v>2446</v>
      </c>
      <c r="K188" s="12">
        <v>2.0</v>
      </c>
      <c r="L188" s="12" t="s">
        <v>2440</v>
      </c>
      <c r="M188" s="12" t="s">
        <v>2441</v>
      </c>
      <c r="N188" s="83" t="s">
        <v>2448</v>
      </c>
      <c r="O188" s="5"/>
      <c r="P188" s="5"/>
      <c r="Q188" s="5"/>
      <c r="R188" s="5"/>
      <c r="S188" s="80"/>
      <c r="T188" s="42" t="s">
        <v>2003</v>
      </c>
      <c r="U188" s="34" t="s">
        <v>22</v>
      </c>
      <c r="V188" s="96"/>
      <c r="W188" s="96"/>
      <c r="X188" s="9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</row>
    <row r="189" ht="12.0" customHeight="1">
      <c r="A189" s="5" t="s">
        <v>2449</v>
      </c>
      <c r="B189" s="12">
        <v>21.0</v>
      </c>
      <c r="C189" s="26" t="s">
        <v>1634</v>
      </c>
      <c r="D189" s="78" t="s">
        <v>2416</v>
      </c>
      <c r="E189" s="78" t="s">
        <v>2059</v>
      </c>
      <c r="F189" s="5" t="s">
        <v>1141</v>
      </c>
      <c r="G189" s="26" t="s">
        <v>1531</v>
      </c>
      <c r="H189" s="5" t="s">
        <v>2450</v>
      </c>
      <c r="I189" s="12">
        <v>2.0</v>
      </c>
      <c r="J189" s="12" t="s">
        <v>2451</v>
      </c>
      <c r="K189" s="82">
        <v>2.0</v>
      </c>
      <c r="L189" s="5" t="s">
        <v>2452</v>
      </c>
      <c r="M189" s="5" t="s">
        <v>2453</v>
      </c>
      <c r="N189" s="83" t="s">
        <v>2454</v>
      </c>
      <c r="O189" s="5"/>
      <c r="P189" s="5"/>
      <c r="Q189" s="5"/>
      <c r="R189" s="5"/>
      <c r="S189" s="80"/>
      <c r="T189" s="26" t="s">
        <v>2006</v>
      </c>
      <c r="U189" s="34" t="s">
        <v>22</v>
      </c>
      <c r="V189" s="96"/>
      <c r="W189" s="96"/>
      <c r="X189" s="78" t="s">
        <v>2455</v>
      </c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</row>
    <row r="190" ht="12.0" customHeight="1">
      <c r="A190" s="5" t="s">
        <v>2449</v>
      </c>
      <c r="B190" s="5">
        <v>22.0</v>
      </c>
      <c r="C190" s="26" t="s">
        <v>1634</v>
      </c>
      <c r="D190" s="78" t="s">
        <v>2416</v>
      </c>
      <c r="E190" s="78" t="s">
        <v>2059</v>
      </c>
      <c r="F190" s="5" t="s">
        <v>1141</v>
      </c>
      <c r="G190" s="26" t="s">
        <v>1531</v>
      </c>
      <c r="H190" s="5" t="s">
        <v>2450</v>
      </c>
      <c r="I190" s="5">
        <v>3.0</v>
      </c>
      <c r="J190" s="12" t="s">
        <v>2451</v>
      </c>
      <c r="K190" s="82">
        <v>3.0</v>
      </c>
      <c r="L190" s="5" t="s">
        <v>2452</v>
      </c>
      <c r="M190" s="5" t="s">
        <v>2453</v>
      </c>
      <c r="N190" s="83" t="s">
        <v>2454</v>
      </c>
      <c r="O190" s="5"/>
      <c r="P190" s="5"/>
      <c r="Q190" s="5"/>
      <c r="R190" s="5"/>
      <c r="S190" s="80"/>
      <c r="T190" s="26" t="s">
        <v>2006</v>
      </c>
      <c r="U190" s="34" t="s">
        <v>22</v>
      </c>
      <c r="V190" s="96"/>
      <c r="W190" s="96"/>
      <c r="X190" s="78" t="s">
        <v>2455</v>
      </c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</row>
    <row r="191" ht="12.0" hidden="1" customHeight="1">
      <c r="A191" s="5" t="s">
        <v>2449</v>
      </c>
      <c r="B191" s="5">
        <v>28.0</v>
      </c>
      <c r="C191" s="26" t="s">
        <v>1634</v>
      </c>
      <c r="D191" s="78" t="s">
        <v>2416</v>
      </c>
      <c r="E191" s="78" t="s">
        <v>2001</v>
      </c>
      <c r="F191" s="5" t="s">
        <v>1141</v>
      </c>
      <c r="G191" s="26" t="s">
        <v>1531</v>
      </c>
      <c r="H191" s="5" t="s">
        <v>2456</v>
      </c>
      <c r="I191" s="5">
        <v>1.0</v>
      </c>
      <c r="J191" s="12" t="s">
        <v>2457</v>
      </c>
      <c r="K191" s="5">
        <v>1.0</v>
      </c>
      <c r="L191" s="5" t="s">
        <v>2081</v>
      </c>
      <c r="M191" s="5" t="s">
        <v>2458</v>
      </c>
      <c r="N191" s="80" t="s">
        <v>2459</v>
      </c>
      <c r="O191" s="5"/>
      <c r="P191" s="5"/>
      <c r="Q191" s="5"/>
      <c r="R191" s="5"/>
      <c r="S191" s="80"/>
      <c r="T191" s="26" t="s">
        <v>2006</v>
      </c>
      <c r="U191" s="34" t="s">
        <v>22</v>
      </c>
      <c r="V191" s="96"/>
      <c r="W191" s="96"/>
      <c r="X191" s="9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</row>
    <row r="192" ht="12.0" hidden="1" customHeight="1">
      <c r="A192" s="5" t="s">
        <v>2449</v>
      </c>
      <c r="B192" s="5">
        <v>29.0</v>
      </c>
      <c r="C192" s="26" t="s">
        <v>1634</v>
      </c>
      <c r="D192" s="78" t="s">
        <v>2416</v>
      </c>
      <c r="E192" s="78" t="s">
        <v>2001</v>
      </c>
      <c r="F192" s="5" t="s">
        <v>1141</v>
      </c>
      <c r="G192" s="26" t="s">
        <v>1531</v>
      </c>
      <c r="H192" s="5" t="s">
        <v>2456</v>
      </c>
      <c r="I192" s="5">
        <v>2.0</v>
      </c>
      <c r="J192" s="12" t="s">
        <v>2457</v>
      </c>
      <c r="K192" s="5">
        <v>2.0</v>
      </c>
      <c r="L192" s="5" t="s">
        <v>2081</v>
      </c>
      <c r="M192" s="5" t="s">
        <v>2458</v>
      </c>
      <c r="N192" s="80" t="s">
        <v>2460</v>
      </c>
      <c r="O192" s="5"/>
      <c r="P192" s="5"/>
      <c r="Q192" s="5"/>
      <c r="R192" s="5"/>
      <c r="S192" s="80"/>
      <c r="T192" s="26" t="s">
        <v>2006</v>
      </c>
      <c r="U192" s="34" t="s">
        <v>22</v>
      </c>
      <c r="V192" s="96"/>
      <c r="W192" s="96"/>
      <c r="X192" s="9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</row>
    <row r="193" ht="12.0" hidden="1" customHeight="1">
      <c r="A193" s="5" t="s">
        <v>2449</v>
      </c>
      <c r="B193" s="5">
        <v>30.0</v>
      </c>
      <c r="C193" s="26" t="s">
        <v>1634</v>
      </c>
      <c r="D193" s="78" t="s">
        <v>2416</v>
      </c>
      <c r="E193" s="78" t="s">
        <v>2001</v>
      </c>
      <c r="F193" s="5" t="s">
        <v>1141</v>
      </c>
      <c r="G193" s="26" t="s">
        <v>1531</v>
      </c>
      <c r="H193" s="5" t="s">
        <v>2456</v>
      </c>
      <c r="I193" s="5">
        <v>3.0</v>
      </c>
      <c r="J193" s="12" t="s">
        <v>2457</v>
      </c>
      <c r="K193" s="5">
        <v>3.0</v>
      </c>
      <c r="L193" s="5" t="s">
        <v>2081</v>
      </c>
      <c r="M193" s="5" t="s">
        <v>2458</v>
      </c>
      <c r="N193" s="80" t="s">
        <v>2461</v>
      </c>
      <c r="O193" s="5"/>
      <c r="P193" s="5"/>
      <c r="Q193" s="5"/>
      <c r="R193" s="5"/>
      <c r="S193" s="80"/>
      <c r="T193" s="26" t="s">
        <v>2006</v>
      </c>
      <c r="U193" s="34" t="s">
        <v>22</v>
      </c>
      <c r="V193" s="96"/>
      <c r="W193" s="96"/>
      <c r="X193" s="9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</row>
    <row r="194" ht="12.0" customHeight="1">
      <c r="A194" s="5" t="s">
        <v>2462</v>
      </c>
      <c r="B194" s="5">
        <v>2.0</v>
      </c>
      <c r="C194" s="26" t="s">
        <v>1634</v>
      </c>
      <c r="D194" s="78" t="s">
        <v>2380</v>
      </c>
      <c r="E194" s="78" t="s">
        <v>2059</v>
      </c>
      <c r="F194" s="5" t="s">
        <v>1141</v>
      </c>
      <c r="G194" s="26" t="s">
        <v>1650</v>
      </c>
      <c r="H194" s="5" t="s">
        <v>2462</v>
      </c>
      <c r="I194" s="5">
        <v>2.0</v>
      </c>
      <c r="J194" s="12" t="s">
        <v>2463</v>
      </c>
      <c r="K194" s="79">
        <v>2.0</v>
      </c>
      <c r="L194" s="12" t="s">
        <v>2464</v>
      </c>
      <c r="M194" s="5" t="s">
        <v>2465</v>
      </c>
      <c r="N194" s="83" t="s">
        <v>2466</v>
      </c>
      <c r="O194" s="5"/>
      <c r="P194" s="5"/>
      <c r="Q194" s="5"/>
      <c r="R194" s="5"/>
      <c r="S194" s="80"/>
      <c r="T194" s="26" t="s">
        <v>2006</v>
      </c>
      <c r="U194" s="34" t="s">
        <v>22</v>
      </c>
      <c r="V194" s="96"/>
      <c r="W194" s="96"/>
      <c r="X194" s="9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</row>
    <row r="195" ht="12.0" customHeight="1">
      <c r="A195" s="5" t="s">
        <v>2462</v>
      </c>
      <c r="B195" s="5">
        <v>3.0</v>
      </c>
      <c r="C195" s="26" t="s">
        <v>1634</v>
      </c>
      <c r="D195" s="78" t="s">
        <v>2380</v>
      </c>
      <c r="E195" s="78" t="s">
        <v>2059</v>
      </c>
      <c r="F195" s="5" t="s">
        <v>1141</v>
      </c>
      <c r="G195" s="26" t="s">
        <v>1650</v>
      </c>
      <c r="H195" s="5" t="s">
        <v>2462</v>
      </c>
      <c r="I195" s="5">
        <v>3.0</v>
      </c>
      <c r="J195" s="12" t="s">
        <v>2463</v>
      </c>
      <c r="K195" s="79">
        <v>3.0</v>
      </c>
      <c r="L195" s="12" t="s">
        <v>2464</v>
      </c>
      <c r="M195" s="5" t="s">
        <v>2465</v>
      </c>
      <c r="N195" s="80" t="s">
        <v>2467</v>
      </c>
      <c r="O195" s="5"/>
      <c r="P195" s="5"/>
      <c r="Q195" s="5"/>
      <c r="R195" s="5"/>
      <c r="S195" s="80"/>
      <c r="T195" s="26" t="s">
        <v>2006</v>
      </c>
      <c r="U195" s="34" t="s">
        <v>22</v>
      </c>
      <c r="V195" s="96"/>
      <c r="W195" s="96"/>
      <c r="X195" s="9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</row>
    <row r="196" ht="12.0" customHeight="1">
      <c r="A196" s="5" t="s">
        <v>2462</v>
      </c>
      <c r="B196" s="5">
        <v>4.0</v>
      </c>
      <c r="C196" s="26" t="s">
        <v>1634</v>
      </c>
      <c r="D196" s="78" t="s">
        <v>2380</v>
      </c>
      <c r="E196" s="78" t="s">
        <v>2059</v>
      </c>
      <c r="F196" s="5" t="s">
        <v>1141</v>
      </c>
      <c r="G196" s="26" t="s">
        <v>1650</v>
      </c>
      <c r="H196" s="5" t="s">
        <v>2462</v>
      </c>
      <c r="I196" s="5">
        <v>4.0</v>
      </c>
      <c r="J196" s="12" t="s">
        <v>2463</v>
      </c>
      <c r="K196" s="79">
        <v>4.0</v>
      </c>
      <c r="L196" s="12" t="s">
        <v>2464</v>
      </c>
      <c r="M196" s="5" t="s">
        <v>2465</v>
      </c>
      <c r="N196" s="80" t="s">
        <v>2468</v>
      </c>
      <c r="O196" s="5"/>
      <c r="P196" s="5"/>
      <c r="Q196" s="5"/>
      <c r="R196" s="5"/>
      <c r="S196" s="80"/>
      <c r="T196" s="26" t="s">
        <v>2006</v>
      </c>
      <c r="U196" s="34" t="s">
        <v>22</v>
      </c>
      <c r="V196" s="96"/>
      <c r="W196" s="96"/>
      <c r="X196" s="9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</row>
    <row r="197" ht="12.0" customHeight="1">
      <c r="A197" s="5" t="s">
        <v>2462</v>
      </c>
      <c r="B197" s="12">
        <v>5.0</v>
      </c>
      <c r="C197" s="26" t="s">
        <v>1634</v>
      </c>
      <c r="D197" s="78" t="s">
        <v>2380</v>
      </c>
      <c r="E197" s="78" t="s">
        <v>2059</v>
      </c>
      <c r="F197" s="5" t="s">
        <v>1141</v>
      </c>
      <c r="G197" s="26" t="s">
        <v>1650</v>
      </c>
      <c r="H197" s="5" t="s">
        <v>2462</v>
      </c>
      <c r="I197" s="12">
        <v>5.0</v>
      </c>
      <c r="J197" s="12" t="s">
        <v>2463</v>
      </c>
      <c r="K197" s="82">
        <v>5.0</v>
      </c>
      <c r="L197" s="12" t="s">
        <v>2464</v>
      </c>
      <c r="M197" s="12" t="s">
        <v>2469</v>
      </c>
      <c r="N197" s="83" t="s">
        <v>2470</v>
      </c>
      <c r="O197" s="5"/>
      <c r="P197" s="5"/>
      <c r="Q197" s="5"/>
      <c r="R197" s="5"/>
      <c r="S197" s="80"/>
      <c r="T197" s="26" t="s">
        <v>2006</v>
      </c>
      <c r="U197" s="34" t="s">
        <v>22</v>
      </c>
      <c r="V197" s="96"/>
      <c r="W197" s="96"/>
      <c r="X197" s="9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</row>
    <row r="198" ht="12.0" hidden="1" customHeight="1">
      <c r="A198" s="5" t="s">
        <v>2471</v>
      </c>
      <c r="B198" s="12">
        <v>3.0</v>
      </c>
      <c r="C198" s="26" t="s">
        <v>1634</v>
      </c>
      <c r="D198" s="78" t="s">
        <v>1650</v>
      </c>
      <c r="E198" s="78" t="s">
        <v>2001</v>
      </c>
      <c r="F198" s="5" t="s">
        <v>1141</v>
      </c>
      <c r="G198" s="26" t="s">
        <v>1650</v>
      </c>
      <c r="H198" s="5" t="s">
        <v>2471</v>
      </c>
      <c r="I198" s="12">
        <v>62.0</v>
      </c>
      <c r="J198" s="12" t="s">
        <v>2472</v>
      </c>
      <c r="K198" s="82">
        <v>1.0</v>
      </c>
      <c r="L198" s="5" t="s">
        <v>1512</v>
      </c>
      <c r="M198" s="5" t="s">
        <v>2473</v>
      </c>
      <c r="N198" s="83" t="s">
        <v>2474</v>
      </c>
      <c r="O198" s="5"/>
      <c r="P198" s="5"/>
      <c r="Q198" s="5"/>
      <c r="R198" s="5"/>
      <c r="S198" s="80"/>
      <c r="T198" s="26" t="s">
        <v>2006</v>
      </c>
      <c r="U198" s="34" t="s">
        <v>22</v>
      </c>
      <c r="V198" s="96"/>
      <c r="W198" s="96"/>
      <c r="X198" s="9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</row>
    <row r="199" ht="12.0" hidden="1" customHeight="1">
      <c r="A199" s="5" t="s">
        <v>2471</v>
      </c>
      <c r="B199" s="12">
        <v>4.0</v>
      </c>
      <c r="C199" s="26" t="s">
        <v>1634</v>
      </c>
      <c r="D199" s="78" t="s">
        <v>1650</v>
      </c>
      <c r="E199" s="78" t="s">
        <v>2001</v>
      </c>
      <c r="F199" s="5" t="s">
        <v>1141</v>
      </c>
      <c r="G199" s="26" t="s">
        <v>1650</v>
      </c>
      <c r="H199" s="5" t="s">
        <v>2471</v>
      </c>
      <c r="I199" s="12">
        <v>63.0</v>
      </c>
      <c r="J199" s="12" t="s">
        <v>2472</v>
      </c>
      <c r="K199" s="82">
        <v>2.0</v>
      </c>
      <c r="L199" s="5" t="s">
        <v>1512</v>
      </c>
      <c r="M199" s="5" t="s">
        <v>2473</v>
      </c>
      <c r="N199" s="83" t="s">
        <v>2475</v>
      </c>
      <c r="O199" s="5"/>
      <c r="P199" s="5"/>
      <c r="Q199" s="5"/>
      <c r="R199" s="5"/>
      <c r="S199" s="80"/>
      <c r="T199" s="26"/>
      <c r="U199" s="34"/>
      <c r="V199" s="96"/>
      <c r="W199" s="96"/>
      <c r="X199" s="9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</row>
    <row r="200" ht="12.0" hidden="1" customHeight="1">
      <c r="A200" s="5" t="s">
        <v>2471</v>
      </c>
      <c r="B200" s="12">
        <v>5.0</v>
      </c>
      <c r="C200" s="26" t="s">
        <v>1634</v>
      </c>
      <c r="D200" s="78" t="s">
        <v>1650</v>
      </c>
      <c r="E200" s="78" t="s">
        <v>2001</v>
      </c>
      <c r="F200" s="5" t="s">
        <v>1141</v>
      </c>
      <c r="G200" s="26" t="s">
        <v>1650</v>
      </c>
      <c r="H200" s="5" t="s">
        <v>2471</v>
      </c>
      <c r="I200" s="12">
        <v>64.0</v>
      </c>
      <c r="J200" s="12" t="s">
        <v>2472</v>
      </c>
      <c r="K200" s="82">
        <v>3.0</v>
      </c>
      <c r="L200" s="5" t="s">
        <v>1512</v>
      </c>
      <c r="M200" s="5" t="s">
        <v>2473</v>
      </c>
      <c r="N200" s="83" t="s">
        <v>2476</v>
      </c>
      <c r="O200" s="5"/>
      <c r="P200" s="5"/>
      <c r="Q200" s="5"/>
      <c r="R200" s="5"/>
      <c r="S200" s="80"/>
      <c r="T200" s="26" t="s">
        <v>2006</v>
      </c>
      <c r="U200" s="34" t="s">
        <v>22</v>
      </c>
      <c r="V200" s="96"/>
      <c r="W200" s="96"/>
      <c r="X200" s="9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</row>
    <row r="201" ht="12.0" hidden="1" customHeight="1">
      <c r="A201" s="5" t="s">
        <v>2471</v>
      </c>
      <c r="B201" s="5">
        <v>8.0</v>
      </c>
      <c r="C201" s="26" t="s">
        <v>1634</v>
      </c>
      <c r="D201" s="78" t="s">
        <v>1650</v>
      </c>
      <c r="E201" s="78" t="s">
        <v>2001</v>
      </c>
      <c r="F201" s="5" t="s">
        <v>1141</v>
      </c>
      <c r="G201" s="26" t="s">
        <v>1650</v>
      </c>
      <c r="H201" s="5" t="s">
        <v>2471</v>
      </c>
      <c r="I201" s="5">
        <v>67.0</v>
      </c>
      <c r="J201" s="5"/>
      <c r="K201" s="79"/>
      <c r="L201" s="5" t="s">
        <v>1512</v>
      </c>
      <c r="M201" s="5" t="s">
        <v>2473</v>
      </c>
      <c r="N201" s="80" t="s">
        <v>2477</v>
      </c>
      <c r="O201" s="5"/>
      <c r="P201" s="5"/>
      <c r="Q201" s="5"/>
      <c r="R201" s="5"/>
      <c r="S201" s="80"/>
      <c r="T201" s="26" t="s">
        <v>2006</v>
      </c>
      <c r="U201" s="34" t="s">
        <v>22</v>
      </c>
      <c r="V201" s="96"/>
      <c r="W201" s="96"/>
      <c r="X201" s="78" t="s">
        <v>2478</v>
      </c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</row>
    <row r="202" ht="12.0" hidden="1" customHeight="1">
      <c r="A202" s="5" t="s">
        <v>2471</v>
      </c>
      <c r="B202" s="12">
        <v>9.0</v>
      </c>
      <c r="C202" s="26" t="s">
        <v>1634</v>
      </c>
      <c r="D202" s="78" t="s">
        <v>1650</v>
      </c>
      <c r="E202" s="78" t="s">
        <v>2001</v>
      </c>
      <c r="F202" s="5" t="s">
        <v>1141</v>
      </c>
      <c r="G202" s="26" t="s">
        <v>1650</v>
      </c>
      <c r="H202" s="5" t="s">
        <v>2471</v>
      </c>
      <c r="I202" s="12">
        <v>68.0</v>
      </c>
      <c r="J202" s="12" t="s">
        <v>2479</v>
      </c>
      <c r="K202" s="82">
        <v>1.0</v>
      </c>
      <c r="L202" s="5" t="s">
        <v>1512</v>
      </c>
      <c r="M202" s="5" t="s">
        <v>2473</v>
      </c>
      <c r="N202" s="84"/>
      <c r="O202" s="5"/>
      <c r="P202" s="5"/>
      <c r="Q202" s="5"/>
      <c r="R202" s="5"/>
      <c r="S202" s="80"/>
      <c r="T202" s="26"/>
      <c r="U202" s="34"/>
      <c r="V202" s="96"/>
      <c r="W202" s="96"/>
      <c r="X202" s="9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</row>
    <row r="203" ht="12.0" hidden="1" customHeight="1">
      <c r="A203" s="5" t="s">
        <v>2471</v>
      </c>
      <c r="B203" s="12">
        <v>10.0</v>
      </c>
      <c r="C203" s="26" t="s">
        <v>1634</v>
      </c>
      <c r="D203" s="78" t="s">
        <v>1650</v>
      </c>
      <c r="E203" s="78" t="s">
        <v>2001</v>
      </c>
      <c r="F203" s="5" t="s">
        <v>1141</v>
      </c>
      <c r="G203" s="26" t="s">
        <v>1650</v>
      </c>
      <c r="H203" s="5" t="s">
        <v>2471</v>
      </c>
      <c r="I203" s="12">
        <v>69.0</v>
      </c>
      <c r="J203" s="12" t="s">
        <v>2479</v>
      </c>
      <c r="K203" s="82">
        <v>2.0</v>
      </c>
      <c r="L203" s="5" t="s">
        <v>1512</v>
      </c>
      <c r="M203" s="5" t="s">
        <v>2473</v>
      </c>
      <c r="N203" s="83" t="s">
        <v>2480</v>
      </c>
      <c r="O203" s="5"/>
      <c r="P203" s="5"/>
      <c r="Q203" s="5"/>
      <c r="R203" s="5"/>
      <c r="S203" s="80"/>
      <c r="T203" s="26" t="s">
        <v>2006</v>
      </c>
      <c r="U203" s="34" t="s">
        <v>22</v>
      </c>
      <c r="V203" s="96"/>
      <c r="W203" s="96"/>
      <c r="X203" s="9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</row>
    <row r="204" ht="12.0" hidden="1" customHeight="1">
      <c r="A204" s="5" t="s">
        <v>2471</v>
      </c>
      <c r="B204" s="5">
        <v>11.0</v>
      </c>
      <c r="C204" s="26" t="s">
        <v>1634</v>
      </c>
      <c r="D204" s="78" t="s">
        <v>1650</v>
      </c>
      <c r="E204" s="78" t="s">
        <v>2001</v>
      </c>
      <c r="F204" s="5" t="s">
        <v>1141</v>
      </c>
      <c r="G204" s="26" t="s">
        <v>1650</v>
      </c>
      <c r="H204" s="5" t="s">
        <v>2471</v>
      </c>
      <c r="I204" s="5">
        <v>70.0</v>
      </c>
      <c r="J204" s="12" t="s">
        <v>2479</v>
      </c>
      <c r="K204" s="82">
        <v>3.0</v>
      </c>
      <c r="L204" s="5" t="s">
        <v>1512</v>
      </c>
      <c r="M204" s="5" t="s">
        <v>2473</v>
      </c>
      <c r="N204" s="80" t="s">
        <v>2481</v>
      </c>
      <c r="O204" s="5"/>
      <c r="P204" s="5"/>
      <c r="Q204" s="5"/>
      <c r="R204" s="5"/>
      <c r="S204" s="80"/>
      <c r="T204" s="26" t="s">
        <v>2006</v>
      </c>
      <c r="U204" s="34" t="s">
        <v>22</v>
      </c>
      <c r="V204" s="96"/>
      <c r="W204" s="96"/>
      <c r="X204" s="9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</row>
    <row r="205" ht="12.0" hidden="1" customHeight="1">
      <c r="A205" s="5" t="s">
        <v>2471</v>
      </c>
      <c r="B205" s="5">
        <v>12.0</v>
      </c>
      <c r="C205" s="26" t="s">
        <v>1634</v>
      </c>
      <c r="D205" s="78" t="s">
        <v>1650</v>
      </c>
      <c r="E205" s="78" t="s">
        <v>2001</v>
      </c>
      <c r="F205" s="5" t="s">
        <v>1141</v>
      </c>
      <c r="G205" s="26" t="s">
        <v>1650</v>
      </c>
      <c r="H205" s="5" t="s">
        <v>2471</v>
      </c>
      <c r="I205" s="5">
        <v>500.0</v>
      </c>
      <c r="J205" s="12" t="s">
        <v>2479</v>
      </c>
      <c r="K205" s="82">
        <v>4.0</v>
      </c>
      <c r="L205" s="5" t="s">
        <v>1512</v>
      </c>
      <c r="M205" s="5" t="s">
        <v>2473</v>
      </c>
      <c r="N205" s="80" t="s">
        <v>2482</v>
      </c>
      <c r="O205" s="5"/>
      <c r="P205" s="5"/>
      <c r="Q205" s="5"/>
      <c r="R205" s="5"/>
      <c r="S205" s="80"/>
      <c r="T205" s="26" t="s">
        <v>2006</v>
      </c>
      <c r="U205" s="34" t="s">
        <v>22</v>
      </c>
      <c r="V205" s="96"/>
      <c r="W205" s="96"/>
      <c r="X205" s="9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</row>
    <row r="206" ht="12.0" hidden="1" customHeight="1">
      <c r="A206" s="5" t="s">
        <v>2471</v>
      </c>
      <c r="B206" s="5">
        <v>13.0</v>
      </c>
      <c r="C206" s="26" t="s">
        <v>1634</v>
      </c>
      <c r="D206" s="78" t="s">
        <v>1650</v>
      </c>
      <c r="E206" s="78" t="s">
        <v>2001</v>
      </c>
      <c r="F206" s="5" t="s">
        <v>1141</v>
      </c>
      <c r="G206" s="26" t="s">
        <v>1650</v>
      </c>
      <c r="H206" s="5" t="s">
        <v>2471</v>
      </c>
      <c r="I206" s="12">
        <v>509.0</v>
      </c>
      <c r="J206" s="12" t="s">
        <v>2483</v>
      </c>
      <c r="K206" s="82">
        <v>1.0</v>
      </c>
      <c r="L206" s="5" t="s">
        <v>1512</v>
      </c>
      <c r="M206" s="5" t="s">
        <v>2473</v>
      </c>
      <c r="N206" s="83" t="s">
        <v>2484</v>
      </c>
      <c r="O206" s="5"/>
      <c r="P206" s="5"/>
      <c r="Q206" s="5"/>
      <c r="R206" s="5"/>
      <c r="S206" s="80"/>
      <c r="T206" s="26" t="s">
        <v>2006</v>
      </c>
      <c r="U206" s="34" t="s">
        <v>22</v>
      </c>
      <c r="V206" s="96"/>
      <c r="W206" s="96"/>
      <c r="X206" s="9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</row>
    <row r="207" ht="12.0" hidden="1" customHeight="1">
      <c r="A207" s="5" t="s">
        <v>2471</v>
      </c>
      <c r="B207" s="5">
        <v>14.0</v>
      </c>
      <c r="C207" s="26" t="s">
        <v>1634</v>
      </c>
      <c r="D207" s="78" t="s">
        <v>1650</v>
      </c>
      <c r="E207" s="78" t="s">
        <v>2001</v>
      </c>
      <c r="F207" s="5" t="s">
        <v>1141</v>
      </c>
      <c r="G207" s="26" t="s">
        <v>1650</v>
      </c>
      <c r="H207" s="5" t="s">
        <v>2471</v>
      </c>
      <c r="I207" s="12">
        <v>510.0</v>
      </c>
      <c r="J207" s="12" t="s">
        <v>2483</v>
      </c>
      <c r="K207" s="82" t="s">
        <v>2243</v>
      </c>
      <c r="L207" s="5" t="s">
        <v>1512</v>
      </c>
      <c r="M207" s="5" t="s">
        <v>2473</v>
      </c>
      <c r="N207" s="83" t="s">
        <v>2485</v>
      </c>
      <c r="O207" s="5" t="s">
        <v>2471</v>
      </c>
      <c r="P207" s="12">
        <v>511.0</v>
      </c>
      <c r="Q207" s="5" t="s">
        <v>1512</v>
      </c>
      <c r="R207" s="5" t="s">
        <v>2473</v>
      </c>
      <c r="S207" s="83" t="s">
        <v>2486</v>
      </c>
      <c r="T207" s="26" t="s">
        <v>2006</v>
      </c>
      <c r="U207" s="34" t="s">
        <v>22</v>
      </c>
      <c r="V207" s="96"/>
      <c r="W207" s="96"/>
      <c r="X207" s="9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</row>
    <row r="208" ht="12.0" hidden="1" customHeight="1">
      <c r="A208" s="5" t="s">
        <v>2471</v>
      </c>
      <c r="B208" s="5">
        <v>15.0</v>
      </c>
      <c r="C208" s="26" t="s">
        <v>1634</v>
      </c>
      <c r="D208" s="78" t="s">
        <v>1650</v>
      </c>
      <c r="E208" s="78" t="s">
        <v>2001</v>
      </c>
      <c r="F208" s="5" t="s">
        <v>1141</v>
      </c>
      <c r="G208" s="26" t="s">
        <v>1650</v>
      </c>
      <c r="H208" s="5" t="s">
        <v>2471</v>
      </c>
      <c r="I208" s="12">
        <v>512.0</v>
      </c>
      <c r="J208" s="12" t="s">
        <v>2487</v>
      </c>
      <c r="K208" s="82" t="s">
        <v>2171</v>
      </c>
      <c r="L208" s="5" t="s">
        <v>1512</v>
      </c>
      <c r="M208" s="5" t="s">
        <v>2473</v>
      </c>
      <c r="N208" s="83" t="s">
        <v>2488</v>
      </c>
      <c r="O208" s="5" t="s">
        <v>2471</v>
      </c>
      <c r="P208" s="12">
        <v>513.0</v>
      </c>
      <c r="Q208" s="5" t="s">
        <v>1512</v>
      </c>
      <c r="R208" s="5" t="s">
        <v>2473</v>
      </c>
      <c r="S208" s="92" t="s">
        <v>2488</v>
      </c>
      <c r="T208" s="26" t="s">
        <v>2006</v>
      </c>
      <c r="U208" s="34" t="s">
        <v>22</v>
      </c>
      <c r="V208" s="96"/>
      <c r="W208" s="96"/>
      <c r="X208" s="9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</row>
    <row r="209" ht="12.0" customHeight="1">
      <c r="A209" s="5" t="s">
        <v>2471</v>
      </c>
      <c r="B209" s="5">
        <v>17.0</v>
      </c>
      <c r="C209" s="26" t="s">
        <v>1634</v>
      </c>
      <c r="D209" s="78" t="s">
        <v>1650</v>
      </c>
      <c r="E209" s="78" t="s">
        <v>2059</v>
      </c>
      <c r="F209" s="5" t="s">
        <v>1141</v>
      </c>
      <c r="G209" s="26" t="s">
        <v>1650</v>
      </c>
      <c r="H209" s="5" t="s">
        <v>2471</v>
      </c>
      <c r="I209" s="12">
        <v>517.0</v>
      </c>
      <c r="J209" s="12" t="s">
        <v>2489</v>
      </c>
      <c r="K209" s="82">
        <v>1.0</v>
      </c>
      <c r="L209" s="5" t="s">
        <v>1512</v>
      </c>
      <c r="M209" s="5" t="s">
        <v>2473</v>
      </c>
      <c r="N209" s="94" t="s">
        <v>2490</v>
      </c>
      <c r="O209" s="5"/>
      <c r="P209" s="5"/>
      <c r="Q209" s="5"/>
      <c r="R209" s="5"/>
      <c r="S209" s="80"/>
      <c r="T209" s="26" t="s">
        <v>2006</v>
      </c>
      <c r="U209" s="34" t="s">
        <v>22</v>
      </c>
      <c r="V209" s="96"/>
      <c r="W209" s="96"/>
      <c r="X209" s="78" t="s">
        <v>2491</v>
      </c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</row>
    <row r="210" ht="12.0" customHeight="1">
      <c r="A210" s="5" t="s">
        <v>2471</v>
      </c>
      <c r="B210" s="12">
        <v>19.0</v>
      </c>
      <c r="C210" s="26" t="s">
        <v>1634</v>
      </c>
      <c r="D210" s="78" t="s">
        <v>1650</v>
      </c>
      <c r="E210" s="78" t="s">
        <v>2059</v>
      </c>
      <c r="F210" s="5" t="s">
        <v>1141</v>
      </c>
      <c r="G210" s="26" t="s">
        <v>1650</v>
      </c>
      <c r="H210" s="5" t="s">
        <v>2471</v>
      </c>
      <c r="I210" s="12">
        <v>519.0</v>
      </c>
      <c r="J210" s="12" t="s">
        <v>2489</v>
      </c>
      <c r="K210" s="82">
        <v>3.0</v>
      </c>
      <c r="L210" s="5" t="s">
        <v>1512</v>
      </c>
      <c r="M210" s="5" t="s">
        <v>2473</v>
      </c>
      <c r="N210" s="83" t="s">
        <v>2492</v>
      </c>
      <c r="O210" s="5"/>
      <c r="P210" s="5"/>
      <c r="Q210" s="5"/>
      <c r="R210" s="5"/>
      <c r="S210" s="80"/>
      <c r="T210" s="26" t="s">
        <v>2006</v>
      </c>
      <c r="U210" s="34" t="s">
        <v>22</v>
      </c>
      <c r="V210" s="96"/>
      <c r="W210" s="96"/>
      <c r="X210" s="78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</row>
    <row r="211" ht="12.0" hidden="1" customHeight="1">
      <c r="A211" s="5" t="s">
        <v>2471</v>
      </c>
      <c r="B211" s="12">
        <v>20.0</v>
      </c>
      <c r="C211" s="26" t="s">
        <v>1634</v>
      </c>
      <c r="D211" s="78" t="s">
        <v>1650</v>
      </c>
      <c r="E211" s="78" t="s">
        <v>2001</v>
      </c>
      <c r="F211" s="5" t="s">
        <v>1141</v>
      </c>
      <c r="G211" s="26" t="s">
        <v>1650</v>
      </c>
      <c r="H211" s="5" t="s">
        <v>2471</v>
      </c>
      <c r="I211" s="12">
        <v>520.0</v>
      </c>
      <c r="J211" s="12" t="s">
        <v>2493</v>
      </c>
      <c r="K211" s="82">
        <v>1.0</v>
      </c>
      <c r="L211" s="5" t="s">
        <v>1512</v>
      </c>
      <c r="M211" s="5" t="s">
        <v>2473</v>
      </c>
      <c r="N211" s="83" t="s">
        <v>2494</v>
      </c>
      <c r="O211" s="5"/>
      <c r="P211" s="5"/>
      <c r="Q211" s="5"/>
      <c r="R211" s="5"/>
      <c r="S211" s="80"/>
      <c r="T211" s="26" t="s">
        <v>2006</v>
      </c>
      <c r="U211" s="34" t="s">
        <v>22</v>
      </c>
      <c r="V211" s="96"/>
      <c r="W211" s="96"/>
      <c r="X211" s="78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</row>
    <row r="212" ht="12.0" hidden="1" customHeight="1">
      <c r="A212" s="5" t="s">
        <v>2471</v>
      </c>
      <c r="B212" s="12">
        <v>21.0</v>
      </c>
      <c r="C212" s="26" t="s">
        <v>1634</v>
      </c>
      <c r="D212" s="78" t="s">
        <v>1650</v>
      </c>
      <c r="E212" s="78" t="s">
        <v>2001</v>
      </c>
      <c r="F212" s="5" t="s">
        <v>1141</v>
      </c>
      <c r="G212" s="26" t="s">
        <v>1650</v>
      </c>
      <c r="H212" s="5" t="s">
        <v>2471</v>
      </c>
      <c r="I212" s="12">
        <v>521.0</v>
      </c>
      <c r="J212" s="12" t="s">
        <v>2493</v>
      </c>
      <c r="K212" s="82">
        <v>2.0</v>
      </c>
      <c r="L212" s="5" t="s">
        <v>1512</v>
      </c>
      <c r="M212" s="5" t="s">
        <v>2473</v>
      </c>
      <c r="N212" s="83" t="s">
        <v>2495</v>
      </c>
      <c r="O212" s="5"/>
      <c r="P212" s="5"/>
      <c r="Q212" s="5"/>
      <c r="R212" s="5"/>
      <c r="S212" s="80"/>
      <c r="T212" s="26" t="s">
        <v>2006</v>
      </c>
      <c r="U212" s="34" t="s">
        <v>22</v>
      </c>
      <c r="V212" s="96"/>
      <c r="W212" s="96"/>
      <c r="X212" s="78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</row>
    <row r="213" ht="12.0" hidden="1" customHeight="1">
      <c r="A213" s="5" t="s">
        <v>2471</v>
      </c>
      <c r="B213" s="12">
        <v>22.0</v>
      </c>
      <c r="C213" s="26" t="s">
        <v>1634</v>
      </c>
      <c r="D213" s="78" t="s">
        <v>1650</v>
      </c>
      <c r="E213" s="78" t="s">
        <v>2001</v>
      </c>
      <c r="F213" s="5" t="s">
        <v>1141</v>
      </c>
      <c r="G213" s="26" t="s">
        <v>1650</v>
      </c>
      <c r="H213" s="5" t="s">
        <v>2471</v>
      </c>
      <c r="I213" s="12">
        <v>522.0</v>
      </c>
      <c r="J213" s="12" t="s">
        <v>2493</v>
      </c>
      <c r="K213" s="82">
        <v>3.0</v>
      </c>
      <c r="L213" s="5" t="s">
        <v>1512</v>
      </c>
      <c r="M213" s="5" t="s">
        <v>2473</v>
      </c>
      <c r="N213" s="83" t="s">
        <v>2496</v>
      </c>
      <c r="O213" s="5"/>
      <c r="P213" s="5"/>
      <c r="Q213" s="5"/>
      <c r="R213" s="5"/>
      <c r="S213" s="80"/>
      <c r="T213" s="26" t="s">
        <v>2006</v>
      </c>
      <c r="U213" s="34" t="s">
        <v>22</v>
      </c>
      <c r="V213" s="96"/>
      <c r="W213" s="96"/>
      <c r="X213" s="9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</row>
    <row r="214" ht="12.0" hidden="1" customHeight="1">
      <c r="A214" s="5" t="s">
        <v>2471</v>
      </c>
      <c r="B214" s="12">
        <v>23.0</v>
      </c>
      <c r="C214" s="26" t="s">
        <v>1634</v>
      </c>
      <c r="D214" s="78" t="s">
        <v>1650</v>
      </c>
      <c r="E214" s="78" t="s">
        <v>2001</v>
      </c>
      <c r="F214" s="5" t="s">
        <v>1141</v>
      </c>
      <c r="G214" s="26" t="s">
        <v>1650</v>
      </c>
      <c r="H214" s="5" t="s">
        <v>2471</v>
      </c>
      <c r="I214" s="12">
        <v>523.0</v>
      </c>
      <c r="J214" s="12" t="s">
        <v>2493</v>
      </c>
      <c r="K214" s="82">
        <v>4.0</v>
      </c>
      <c r="L214" s="5" t="s">
        <v>1512</v>
      </c>
      <c r="M214" s="5" t="s">
        <v>2473</v>
      </c>
      <c r="N214" s="83" t="s">
        <v>2497</v>
      </c>
      <c r="O214" s="5"/>
      <c r="P214" s="5"/>
      <c r="Q214" s="5"/>
      <c r="R214" s="5"/>
      <c r="S214" s="80"/>
      <c r="T214" s="26" t="s">
        <v>2006</v>
      </c>
      <c r="U214" s="34" t="s">
        <v>22</v>
      </c>
      <c r="V214" s="96"/>
      <c r="W214" s="96"/>
      <c r="X214" s="9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</row>
    <row r="215" ht="12.0" hidden="1" customHeight="1">
      <c r="A215" s="5" t="s">
        <v>2471</v>
      </c>
      <c r="B215" s="12">
        <v>24.0</v>
      </c>
      <c r="C215" s="26" t="s">
        <v>1634</v>
      </c>
      <c r="D215" s="78" t="s">
        <v>1650</v>
      </c>
      <c r="E215" s="78" t="s">
        <v>2001</v>
      </c>
      <c r="F215" s="5" t="s">
        <v>1141</v>
      </c>
      <c r="G215" s="26" t="s">
        <v>1650</v>
      </c>
      <c r="H215" s="5" t="s">
        <v>2471</v>
      </c>
      <c r="I215" s="12">
        <v>524.0</v>
      </c>
      <c r="J215" s="5"/>
      <c r="K215" s="79"/>
      <c r="L215" s="5" t="s">
        <v>1512</v>
      </c>
      <c r="M215" s="5" t="s">
        <v>2473</v>
      </c>
      <c r="N215" s="83" t="s">
        <v>2498</v>
      </c>
      <c r="O215" s="5"/>
      <c r="P215" s="5"/>
      <c r="Q215" s="5"/>
      <c r="R215" s="5"/>
      <c r="S215" s="80"/>
      <c r="T215" s="26" t="s">
        <v>2006</v>
      </c>
      <c r="U215" s="34" t="s">
        <v>22</v>
      </c>
      <c r="V215" s="96"/>
      <c r="W215" s="96"/>
      <c r="X215" s="78" t="s">
        <v>2499</v>
      </c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</row>
    <row r="216" ht="12.0" hidden="1" customHeight="1">
      <c r="A216" s="12" t="s">
        <v>2500</v>
      </c>
      <c r="B216" s="12">
        <v>3.0</v>
      </c>
      <c r="C216" s="26" t="s">
        <v>1634</v>
      </c>
      <c r="D216" s="78" t="s">
        <v>1650</v>
      </c>
      <c r="E216" s="78" t="s">
        <v>2001</v>
      </c>
      <c r="F216" s="5" t="s">
        <v>1141</v>
      </c>
      <c r="G216" s="26" t="s">
        <v>1650</v>
      </c>
      <c r="H216" s="12" t="s">
        <v>2501</v>
      </c>
      <c r="I216" s="12">
        <v>3.0</v>
      </c>
      <c r="J216" s="5"/>
      <c r="K216" s="79"/>
      <c r="L216" s="12" t="s">
        <v>2502</v>
      </c>
      <c r="M216" s="12" t="s">
        <v>2503</v>
      </c>
      <c r="N216" s="83" t="s">
        <v>2504</v>
      </c>
      <c r="O216" s="5"/>
      <c r="P216" s="5"/>
      <c r="Q216" s="5"/>
      <c r="R216" s="5"/>
      <c r="S216" s="80"/>
      <c r="T216" s="26" t="s">
        <v>2006</v>
      </c>
      <c r="U216" s="34" t="s">
        <v>22</v>
      </c>
      <c r="V216" s="96"/>
      <c r="W216" s="96"/>
      <c r="X216" s="78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</row>
    <row r="217" ht="12.0" hidden="1" customHeight="1">
      <c r="A217" s="12" t="s">
        <v>2500</v>
      </c>
      <c r="B217" s="12">
        <v>4.0</v>
      </c>
      <c r="C217" s="26" t="s">
        <v>1634</v>
      </c>
      <c r="D217" s="78" t="s">
        <v>1650</v>
      </c>
      <c r="E217" s="78" t="s">
        <v>2001</v>
      </c>
      <c r="F217" s="5" t="s">
        <v>1141</v>
      </c>
      <c r="G217" s="26" t="s">
        <v>1650</v>
      </c>
      <c r="H217" s="12" t="s">
        <v>2501</v>
      </c>
      <c r="I217" s="12">
        <v>4.0</v>
      </c>
      <c r="J217" s="5"/>
      <c r="K217" s="79"/>
      <c r="L217" s="12" t="s">
        <v>2502</v>
      </c>
      <c r="M217" s="12" t="s">
        <v>2505</v>
      </c>
      <c r="N217" s="83" t="s">
        <v>2506</v>
      </c>
      <c r="O217" s="5"/>
      <c r="P217" s="5"/>
      <c r="Q217" s="5"/>
      <c r="R217" s="5"/>
      <c r="S217" s="80"/>
      <c r="T217" s="26" t="s">
        <v>2006</v>
      </c>
      <c r="U217" s="34" t="s">
        <v>22</v>
      </c>
      <c r="V217" s="96"/>
      <c r="W217" s="96"/>
      <c r="X217" s="78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</row>
    <row r="218" ht="12.0" hidden="1" customHeight="1">
      <c r="A218" s="12" t="s">
        <v>2500</v>
      </c>
      <c r="B218" s="12">
        <v>5.0</v>
      </c>
      <c r="C218" s="26" t="s">
        <v>1634</v>
      </c>
      <c r="D218" s="78" t="s">
        <v>1650</v>
      </c>
      <c r="E218" s="78" t="s">
        <v>2001</v>
      </c>
      <c r="F218" s="5" t="s">
        <v>1141</v>
      </c>
      <c r="G218" s="26" t="s">
        <v>1650</v>
      </c>
      <c r="H218" s="12" t="s">
        <v>2501</v>
      </c>
      <c r="I218" s="12">
        <v>2.0</v>
      </c>
      <c r="J218" s="5"/>
      <c r="K218" s="79"/>
      <c r="L218" s="12" t="s">
        <v>2507</v>
      </c>
      <c r="M218" s="12" t="s">
        <v>2503</v>
      </c>
      <c r="N218" s="83" t="s">
        <v>2508</v>
      </c>
      <c r="O218" s="5"/>
      <c r="P218" s="5"/>
      <c r="Q218" s="5"/>
      <c r="R218" s="5"/>
      <c r="S218" s="80"/>
      <c r="T218" s="26" t="s">
        <v>2006</v>
      </c>
      <c r="U218" s="34" t="s">
        <v>22</v>
      </c>
      <c r="V218" s="96"/>
      <c r="W218" s="96"/>
      <c r="X218" s="78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</row>
    <row r="219" ht="12.0" hidden="1" customHeight="1">
      <c r="A219" s="12" t="s">
        <v>2500</v>
      </c>
      <c r="B219" s="12">
        <v>6.0</v>
      </c>
      <c r="C219" s="26" t="s">
        <v>1634</v>
      </c>
      <c r="D219" s="78" t="s">
        <v>1650</v>
      </c>
      <c r="E219" s="78" t="s">
        <v>2001</v>
      </c>
      <c r="F219" s="5" t="s">
        <v>1141</v>
      </c>
      <c r="G219" s="26" t="s">
        <v>1650</v>
      </c>
      <c r="H219" s="12" t="s">
        <v>2501</v>
      </c>
      <c r="I219" s="12">
        <v>5.0</v>
      </c>
      <c r="J219" s="5"/>
      <c r="K219" s="79"/>
      <c r="L219" s="12" t="s">
        <v>2502</v>
      </c>
      <c r="M219" s="12" t="s">
        <v>2509</v>
      </c>
      <c r="N219" s="83" t="s">
        <v>2510</v>
      </c>
      <c r="O219" s="5"/>
      <c r="P219" s="5"/>
      <c r="Q219" s="5"/>
      <c r="R219" s="5"/>
      <c r="S219" s="80"/>
      <c r="T219" s="26" t="s">
        <v>2006</v>
      </c>
      <c r="U219" s="34" t="s">
        <v>22</v>
      </c>
      <c r="V219" s="96"/>
      <c r="W219" s="96"/>
      <c r="X219" s="78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</row>
    <row r="220" ht="12.0" hidden="1" customHeight="1">
      <c r="A220" s="12" t="s">
        <v>2500</v>
      </c>
      <c r="B220" s="12">
        <v>7.0</v>
      </c>
      <c r="C220" s="26" t="s">
        <v>1634</v>
      </c>
      <c r="D220" s="78" t="s">
        <v>1650</v>
      </c>
      <c r="E220" s="78" t="s">
        <v>2001</v>
      </c>
      <c r="F220" s="5" t="s">
        <v>1141</v>
      </c>
      <c r="G220" s="26" t="s">
        <v>1650</v>
      </c>
      <c r="H220" s="12" t="s">
        <v>2501</v>
      </c>
      <c r="I220" s="12">
        <v>7.0</v>
      </c>
      <c r="J220" s="5"/>
      <c r="K220" s="79"/>
      <c r="L220" s="12" t="s">
        <v>2502</v>
      </c>
      <c r="M220" s="12" t="s">
        <v>2509</v>
      </c>
      <c r="N220" s="93" t="s">
        <v>2511</v>
      </c>
      <c r="O220" s="5"/>
      <c r="P220" s="5"/>
      <c r="Q220" s="5"/>
      <c r="R220" s="5"/>
      <c r="S220" s="80"/>
      <c r="T220" s="26" t="s">
        <v>2006</v>
      </c>
      <c r="U220" s="34" t="s">
        <v>22</v>
      </c>
      <c r="V220" s="81"/>
      <c r="W220" s="81"/>
      <c r="X220" s="12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</row>
    <row r="221" ht="12.0" customHeight="1">
      <c r="A221" s="12" t="s">
        <v>2512</v>
      </c>
      <c r="B221" s="12">
        <v>1.0</v>
      </c>
      <c r="C221" s="26" t="s">
        <v>1634</v>
      </c>
      <c r="D221" s="78" t="s">
        <v>2134</v>
      </c>
      <c r="E221" s="78" t="s">
        <v>2059</v>
      </c>
      <c r="F221" s="5" t="s">
        <v>1141</v>
      </c>
      <c r="G221" s="26" t="s">
        <v>1531</v>
      </c>
      <c r="H221" s="5" t="s">
        <v>2402</v>
      </c>
      <c r="I221" s="12">
        <v>170.0</v>
      </c>
      <c r="J221" s="12" t="s">
        <v>2513</v>
      </c>
      <c r="K221" s="82">
        <v>1.0</v>
      </c>
      <c r="L221" s="5" t="s">
        <v>2136</v>
      </c>
      <c r="M221" s="5" t="s">
        <v>2514</v>
      </c>
      <c r="N221" s="83" t="s">
        <v>2515</v>
      </c>
      <c r="O221" s="5"/>
      <c r="P221" s="5"/>
      <c r="Q221" s="5"/>
      <c r="R221" s="5"/>
      <c r="S221" s="80"/>
      <c r="T221" s="26" t="s">
        <v>2006</v>
      </c>
      <c r="U221" s="34" t="s">
        <v>22</v>
      </c>
      <c r="V221" s="81"/>
      <c r="W221" s="81"/>
      <c r="X221" s="5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</row>
    <row r="222" ht="12.0" customHeight="1">
      <c r="A222" s="12" t="s">
        <v>2512</v>
      </c>
      <c r="B222" s="5">
        <v>3.0</v>
      </c>
      <c r="C222" s="26" t="s">
        <v>1634</v>
      </c>
      <c r="D222" s="78" t="s">
        <v>2134</v>
      </c>
      <c r="E222" s="78" t="s">
        <v>2059</v>
      </c>
      <c r="F222" s="5" t="s">
        <v>1141</v>
      </c>
      <c r="G222" s="26" t="s">
        <v>1531</v>
      </c>
      <c r="H222" s="5" t="s">
        <v>2402</v>
      </c>
      <c r="I222" s="5">
        <v>172.0</v>
      </c>
      <c r="J222" s="12" t="s">
        <v>2513</v>
      </c>
      <c r="K222" s="82">
        <v>3.0</v>
      </c>
      <c r="L222" s="5" t="s">
        <v>2136</v>
      </c>
      <c r="M222" s="5" t="s">
        <v>2514</v>
      </c>
      <c r="N222" s="83" t="s">
        <v>2515</v>
      </c>
      <c r="O222" s="5"/>
      <c r="P222" s="5"/>
      <c r="Q222" s="5"/>
      <c r="R222" s="5"/>
      <c r="S222" s="80"/>
      <c r="T222" s="26" t="s">
        <v>2006</v>
      </c>
      <c r="U222" s="34" t="s">
        <v>22</v>
      </c>
      <c r="V222" s="81"/>
      <c r="W222" s="81"/>
      <c r="X222" s="5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</row>
    <row r="223" ht="12.0" customHeight="1">
      <c r="A223" s="12" t="s">
        <v>2512</v>
      </c>
      <c r="B223" s="5">
        <v>4.0</v>
      </c>
      <c r="C223" s="26" t="s">
        <v>1634</v>
      </c>
      <c r="D223" s="78" t="s">
        <v>2134</v>
      </c>
      <c r="E223" s="78" t="s">
        <v>2059</v>
      </c>
      <c r="F223" s="5" t="s">
        <v>1141</v>
      </c>
      <c r="G223" s="26" t="s">
        <v>1531</v>
      </c>
      <c r="H223" s="5" t="s">
        <v>2402</v>
      </c>
      <c r="I223" s="5">
        <v>173.0</v>
      </c>
      <c r="J223" s="12" t="s">
        <v>2513</v>
      </c>
      <c r="K223" s="82">
        <v>4.0</v>
      </c>
      <c r="L223" s="5" t="s">
        <v>2136</v>
      </c>
      <c r="M223" s="5" t="s">
        <v>2514</v>
      </c>
      <c r="N223" s="83" t="s">
        <v>2515</v>
      </c>
      <c r="O223" s="5"/>
      <c r="P223" s="5"/>
      <c r="Q223" s="5"/>
      <c r="R223" s="5"/>
      <c r="S223" s="80"/>
      <c r="T223" s="26" t="s">
        <v>2006</v>
      </c>
      <c r="U223" s="34" t="s">
        <v>22</v>
      </c>
      <c r="V223" s="81"/>
      <c r="W223" s="81"/>
      <c r="X223" s="5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</row>
    <row r="224" ht="12.0" customHeight="1">
      <c r="A224" s="12" t="s">
        <v>2512</v>
      </c>
      <c r="B224" s="5">
        <v>5.0</v>
      </c>
      <c r="C224" s="26" t="s">
        <v>1634</v>
      </c>
      <c r="D224" s="78" t="s">
        <v>2134</v>
      </c>
      <c r="E224" s="78" t="s">
        <v>2059</v>
      </c>
      <c r="F224" s="5" t="s">
        <v>1141</v>
      </c>
      <c r="G224" s="26" t="s">
        <v>1531</v>
      </c>
      <c r="H224" s="5" t="s">
        <v>2402</v>
      </c>
      <c r="I224" s="5">
        <v>174.0</v>
      </c>
      <c r="J224" s="12" t="s">
        <v>2516</v>
      </c>
      <c r="K224" s="82">
        <v>0.0</v>
      </c>
      <c r="L224" s="5" t="s">
        <v>2136</v>
      </c>
      <c r="M224" s="5" t="s">
        <v>2514</v>
      </c>
      <c r="N224" s="80" t="s">
        <v>2517</v>
      </c>
      <c r="O224" s="5"/>
      <c r="P224" s="5"/>
      <c r="Q224" s="5"/>
      <c r="R224" s="5"/>
      <c r="S224" s="80"/>
      <c r="T224" s="26" t="s">
        <v>2006</v>
      </c>
      <c r="U224" s="34" t="s">
        <v>22</v>
      </c>
      <c r="V224" s="81"/>
      <c r="W224" s="81"/>
      <c r="X224" s="5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</row>
    <row r="225" ht="12.0" hidden="1" customHeight="1">
      <c r="A225" s="5" t="s">
        <v>2133</v>
      </c>
      <c r="B225" s="5">
        <v>1.0</v>
      </c>
      <c r="C225" s="26" t="s">
        <v>1634</v>
      </c>
      <c r="D225" s="78" t="s">
        <v>2134</v>
      </c>
      <c r="E225" s="78" t="s">
        <v>2001</v>
      </c>
      <c r="F225" s="5" t="s">
        <v>1141</v>
      </c>
      <c r="G225" s="26" t="s">
        <v>1531</v>
      </c>
      <c r="H225" s="5" t="s">
        <v>2133</v>
      </c>
      <c r="I225" s="5">
        <v>1.0</v>
      </c>
      <c r="J225" s="12" t="s">
        <v>2135</v>
      </c>
      <c r="K225" s="79">
        <v>1.0</v>
      </c>
      <c r="L225" s="5" t="s">
        <v>2136</v>
      </c>
      <c r="M225" s="5" t="s">
        <v>2137</v>
      </c>
      <c r="N225" s="83" t="s">
        <v>2138</v>
      </c>
      <c r="O225" s="5"/>
      <c r="P225" s="5"/>
      <c r="Q225" s="5"/>
      <c r="R225" s="5"/>
      <c r="S225" s="80"/>
      <c r="T225" s="26" t="s">
        <v>2006</v>
      </c>
      <c r="U225" s="34" t="s">
        <v>22</v>
      </c>
      <c r="V225" s="81"/>
      <c r="W225" s="81"/>
      <c r="X225" s="5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</row>
    <row r="226" ht="12.0" hidden="1" customHeight="1">
      <c r="A226" s="5" t="s">
        <v>2133</v>
      </c>
      <c r="B226" s="5">
        <v>2.0</v>
      </c>
      <c r="C226" s="26" t="s">
        <v>1634</v>
      </c>
      <c r="D226" s="78" t="s">
        <v>2134</v>
      </c>
      <c r="E226" s="78" t="s">
        <v>2001</v>
      </c>
      <c r="F226" s="5" t="s">
        <v>1141</v>
      </c>
      <c r="G226" s="26" t="s">
        <v>1531</v>
      </c>
      <c r="H226" s="5" t="s">
        <v>2133</v>
      </c>
      <c r="I226" s="5">
        <v>2.0</v>
      </c>
      <c r="J226" s="12" t="s">
        <v>2135</v>
      </c>
      <c r="K226" s="79">
        <v>2.0</v>
      </c>
      <c r="L226" s="5" t="s">
        <v>2136</v>
      </c>
      <c r="M226" s="5" t="s">
        <v>2137</v>
      </c>
      <c r="N226" s="83" t="s">
        <v>2138</v>
      </c>
      <c r="O226" s="5"/>
      <c r="P226" s="5"/>
      <c r="Q226" s="5"/>
      <c r="R226" s="5"/>
      <c r="S226" s="80"/>
      <c r="T226" s="26" t="s">
        <v>2006</v>
      </c>
      <c r="U226" s="34" t="s">
        <v>22</v>
      </c>
      <c r="V226" s="81"/>
      <c r="W226" s="81"/>
      <c r="X226" s="5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</row>
    <row r="227" ht="12.0" hidden="1" customHeight="1">
      <c r="A227" s="5" t="s">
        <v>2133</v>
      </c>
      <c r="B227" s="5">
        <v>3.0</v>
      </c>
      <c r="C227" s="26" t="s">
        <v>1634</v>
      </c>
      <c r="D227" s="78" t="s">
        <v>2134</v>
      </c>
      <c r="E227" s="78" t="s">
        <v>2001</v>
      </c>
      <c r="F227" s="5" t="s">
        <v>1141</v>
      </c>
      <c r="G227" s="26" t="s">
        <v>1531</v>
      </c>
      <c r="H227" s="5" t="s">
        <v>2133</v>
      </c>
      <c r="I227" s="5">
        <v>3.0</v>
      </c>
      <c r="J227" s="12" t="s">
        <v>2135</v>
      </c>
      <c r="K227" s="79">
        <v>3.0</v>
      </c>
      <c r="L227" s="5" t="s">
        <v>2136</v>
      </c>
      <c r="M227" s="5" t="s">
        <v>2137</v>
      </c>
      <c r="N227" s="83" t="s">
        <v>2138</v>
      </c>
      <c r="O227" s="5"/>
      <c r="P227" s="5"/>
      <c r="Q227" s="5"/>
      <c r="R227" s="5"/>
      <c r="S227" s="80"/>
      <c r="T227" s="26" t="s">
        <v>2006</v>
      </c>
      <c r="U227" s="34" t="s">
        <v>22</v>
      </c>
      <c r="V227" s="81"/>
      <c r="W227" s="81"/>
      <c r="X227" s="5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</row>
    <row r="228" ht="12.0" hidden="1" customHeight="1">
      <c r="A228" s="5" t="s">
        <v>2133</v>
      </c>
      <c r="B228" s="5">
        <v>4.0</v>
      </c>
      <c r="C228" s="26" t="s">
        <v>1634</v>
      </c>
      <c r="D228" s="78" t="s">
        <v>2134</v>
      </c>
      <c r="E228" s="78" t="s">
        <v>2001</v>
      </c>
      <c r="F228" s="5" t="s">
        <v>1141</v>
      </c>
      <c r="G228" s="26" t="s">
        <v>1531</v>
      </c>
      <c r="H228" s="5" t="s">
        <v>2133</v>
      </c>
      <c r="I228" s="5">
        <v>4.0</v>
      </c>
      <c r="J228" s="12" t="s">
        <v>2135</v>
      </c>
      <c r="K228" s="79">
        <v>4.0</v>
      </c>
      <c r="L228" s="5" t="s">
        <v>2136</v>
      </c>
      <c r="M228" s="5" t="s">
        <v>2137</v>
      </c>
      <c r="N228" s="83" t="s">
        <v>2138</v>
      </c>
      <c r="O228" s="5"/>
      <c r="P228" s="5"/>
      <c r="Q228" s="5"/>
      <c r="R228" s="5"/>
      <c r="S228" s="80"/>
      <c r="T228" s="26" t="s">
        <v>2006</v>
      </c>
      <c r="U228" s="34" t="s">
        <v>22</v>
      </c>
      <c r="V228" s="81"/>
      <c r="W228" s="81"/>
      <c r="X228" s="5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</row>
    <row r="229" ht="12.0" hidden="1" customHeight="1">
      <c r="A229" s="5" t="s">
        <v>2133</v>
      </c>
      <c r="B229" s="12">
        <v>5.0</v>
      </c>
      <c r="C229" s="26" t="s">
        <v>1634</v>
      </c>
      <c r="D229" s="78" t="s">
        <v>2134</v>
      </c>
      <c r="E229" s="78" t="s">
        <v>2001</v>
      </c>
      <c r="F229" s="5" t="s">
        <v>1141</v>
      </c>
      <c r="G229" s="26" t="s">
        <v>1531</v>
      </c>
      <c r="H229" s="5" t="s">
        <v>2133</v>
      </c>
      <c r="I229" s="12">
        <v>5.0</v>
      </c>
      <c r="J229" s="12" t="s">
        <v>2135</v>
      </c>
      <c r="K229" s="82">
        <v>5.0</v>
      </c>
      <c r="L229" s="5" t="s">
        <v>2136</v>
      </c>
      <c r="M229" s="5" t="s">
        <v>2137</v>
      </c>
      <c r="N229" s="83" t="s">
        <v>2138</v>
      </c>
      <c r="O229" s="5"/>
      <c r="P229" s="5"/>
      <c r="Q229" s="5"/>
      <c r="R229" s="5"/>
      <c r="S229" s="80"/>
      <c r="T229" s="26" t="s">
        <v>2006</v>
      </c>
      <c r="U229" s="34" t="s">
        <v>22</v>
      </c>
      <c r="V229" s="81"/>
      <c r="W229" s="81"/>
      <c r="X229" s="5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</row>
    <row r="230" ht="12.0" hidden="1" customHeight="1">
      <c r="A230" s="5" t="s">
        <v>2518</v>
      </c>
      <c r="B230" s="5">
        <v>1.0</v>
      </c>
      <c r="C230" s="26" t="s">
        <v>1634</v>
      </c>
      <c r="D230" s="78" t="s">
        <v>2134</v>
      </c>
      <c r="E230" s="78" t="s">
        <v>2001</v>
      </c>
      <c r="F230" s="5" t="s">
        <v>1141</v>
      </c>
      <c r="G230" s="26" t="s">
        <v>1531</v>
      </c>
      <c r="H230" s="5" t="s">
        <v>2518</v>
      </c>
      <c r="I230" s="5">
        <v>186.0</v>
      </c>
      <c r="J230" s="5"/>
      <c r="K230" s="79"/>
      <c r="L230" s="5" t="s">
        <v>1402</v>
      </c>
      <c r="M230" s="5" t="s">
        <v>1402</v>
      </c>
      <c r="N230" s="80" t="s">
        <v>2519</v>
      </c>
      <c r="O230" s="5"/>
      <c r="P230" s="5"/>
      <c r="Q230" s="5"/>
      <c r="R230" s="5"/>
      <c r="S230" s="80"/>
      <c r="T230" s="26" t="s">
        <v>2006</v>
      </c>
      <c r="U230" s="34" t="s">
        <v>22</v>
      </c>
      <c r="V230" s="81"/>
      <c r="W230" s="81"/>
      <c r="X230" s="5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</row>
    <row r="231" ht="12.0" hidden="1" customHeight="1">
      <c r="A231" s="5" t="s">
        <v>2518</v>
      </c>
      <c r="B231" s="5">
        <v>2.0</v>
      </c>
      <c r="C231" s="26" t="s">
        <v>1634</v>
      </c>
      <c r="D231" s="78" t="s">
        <v>2134</v>
      </c>
      <c r="E231" s="78" t="s">
        <v>2001</v>
      </c>
      <c r="F231" s="5" t="s">
        <v>1141</v>
      </c>
      <c r="G231" s="26" t="s">
        <v>1531</v>
      </c>
      <c r="H231" s="5" t="s">
        <v>2518</v>
      </c>
      <c r="I231" s="5">
        <v>199.0</v>
      </c>
      <c r="J231" s="5"/>
      <c r="K231" s="79"/>
      <c r="L231" s="5" t="s">
        <v>1402</v>
      </c>
      <c r="M231" s="5" t="s">
        <v>1402</v>
      </c>
      <c r="N231" s="80" t="s">
        <v>2520</v>
      </c>
      <c r="O231" s="5"/>
      <c r="P231" s="5"/>
      <c r="Q231" s="5"/>
      <c r="R231" s="5"/>
      <c r="S231" s="80"/>
      <c r="T231" s="26" t="s">
        <v>2006</v>
      </c>
      <c r="U231" s="34" t="s">
        <v>22</v>
      </c>
      <c r="V231" s="81"/>
      <c r="W231" s="81"/>
      <c r="X231" s="5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</row>
    <row r="232" ht="12.0" hidden="1" customHeight="1">
      <c r="A232" s="5" t="s">
        <v>2230</v>
      </c>
      <c r="B232" s="12">
        <v>4.0</v>
      </c>
      <c r="C232" s="26" t="s">
        <v>1634</v>
      </c>
      <c r="D232" s="78" t="s">
        <v>2134</v>
      </c>
      <c r="E232" s="78" t="s">
        <v>2001</v>
      </c>
      <c r="F232" s="5" t="s">
        <v>1141</v>
      </c>
      <c r="G232" s="26" t="s">
        <v>1531</v>
      </c>
      <c r="H232" s="12" t="s">
        <v>2521</v>
      </c>
      <c r="I232" s="12">
        <v>51.0</v>
      </c>
      <c r="J232" s="12" t="s">
        <v>2522</v>
      </c>
      <c r="K232" s="82" t="s">
        <v>2171</v>
      </c>
      <c r="L232" s="5" t="s">
        <v>1512</v>
      </c>
      <c r="M232" s="12" t="s">
        <v>2523</v>
      </c>
      <c r="N232" s="83" t="s">
        <v>2524</v>
      </c>
      <c r="O232" s="12" t="s">
        <v>2521</v>
      </c>
      <c r="P232" s="12">
        <v>52.0</v>
      </c>
      <c r="Q232" s="5" t="s">
        <v>1512</v>
      </c>
      <c r="R232" s="12" t="s">
        <v>2525</v>
      </c>
      <c r="S232" s="98" t="s">
        <v>2526</v>
      </c>
      <c r="T232" s="26" t="s">
        <v>2006</v>
      </c>
      <c r="U232" s="34" t="s">
        <v>22</v>
      </c>
      <c r="V232" s="81"/>
      <c r="W232" s="81"/>
      <c r="X232" s="5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</row>
    <row r="233" ht="12.0" hidden="1" customHeight="1">
      <c r="A233" s="5" t="s">
        <v>2230</v>
      </c>
      <c r="B233" s="12">
        <v>6.0</v>
      </c>
      <c r="C233" s="26" t="s">
        <v>1634</v>
      </c>
      <c r="D233" s="78" t="s">
        <v>2134</v>
      </c>
      <c r="E233" s="78" t="s">
        <v>2001</v>
      </c>
      <c r="F233" s="5" t="s">
        <v>1141</v>
      </c>
      <c r="G233" s="26" t="s">
        <v>1531</v>
      </c>
      <c r="H233" s="12" t="s">
        <v>2521</v>
      </c>
      <c r="I233" s="12">
        <v>55.0</v>
      </c>
      <c r="J233" s="12" t="s">
        <v>2527</v>
      </c>
      <c r="K233" s="82">
        <v>1.0</v>
      </c>
      <c r="L233" s="5" t="s">
        <v>1512</v>
      </c>
      <c r="M233" s="12" t="s">
        <v>2525</v>
      </c>
      <c r="N233" s="83" t="s">
        <v>2528</v>
      </c>
      <c r="O233" s="12" t="s">
        <v>2529</v>
      </c>
      <c r="P233" s="12">
        <v>159.0</v>
      </c>
      <c r="Q233" s="12" t="s">
        <v>1554</v>
      </c>
      <c r="R233" s="12" t="s">
        <v>2530</v>
      </c>
      <c r="S233" s="98" t="s">
        <v>2531</v>
      </c>
      <c r="T233" s="26" t="s">
        <v>2006</v>
      </c>
      <c r="U233" s="34" t="s">
        <v>22</v>
      </c>
      <c r="V233" s="81"/>
      <c r="W233" s="81"/>
      <c r="X233" s="12" t="s">
        <v>2532</v>
      </c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</row>
    <row r="234" ht="12.0" hidden="1" customHeight="1">
      <c r="A234" s="5" t="s">
        <v>2230</v>
      </c>
      <c r="B234" s="5">
        <v>10.0</v>
      </c>
      <c r="C234" s="26" t="s">
        <v>1634</v>
      </c>
      <c r="D234" s="78" t="s">
        <v>2134</v>
      </c>
      <c r="E234" s="78" t="s">
        <v>2001</v>
      </c>
      <c r="F234" s="5" t="s">
        <v>1141</v>
      </c>
      <c r="G234" s="26" t="s">
        <v>1531</v>
      </c>
      <c r="H234" s="5" t="s">
        <v>2533</v>
      </c>
      <c r="I234" s="5">
        <v>1.0</v>
      </c>
      <c r="J234" s="12" t="s">
        <v>2534</v>
      </c>
      <c r="K234" s="79">
        <v>1.0</v>
      </c>
      <c r="L234" s="5" t="s">
        <v>1512</v>
      </c>
      <c r="M234" s="5" t="s">
        <v>1708</v>
      </c>
      <c r="N234" s="80" t="s">
        <v>2535</v>
      </c>
      <c r="O234" s="5"/>
      <c r="P234" s="5"/>
      <c r="Q234" s="5"/>
      <c r="R234" s="5"/>
      <c r="S234" s="80"/>
      <c r="T234" s="26" t="s">
        <v>2006</v>
      </c>
      <c r="U234" s="34" t="s">
        <v>22</v>
      </c>
      <c r="V234" s="81"/>
      <c r="W234" s="81"/>
      <c r="X234" s="5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</row>
    <row r="235" ht="12.0" hidden="1" customHeight="1">
      <c r="A235" s="5" t="s">
        <v>2230</v>
      </c>
      <c r="B235" s="5">
        <v>11.0</v>
      </c>
      <c r="C235" s="26" t="s">
        <v>1634</v>
      </c>
      <c r="D235" s="78" t="s">
        <v>2134</v>
      </c>
      <c r="E235" s="78" t="s">
        <v>2001</v>
      </c>
      <c r="F235" s="5" t="s">
        <v>1141</v>
      </c>
      <c r="G235" s="26" t="s">
        <v>1531</v>
      </c>
      <c r="H235" s="5" t="s">
        <v>2533</v>
      </c>
      <c r="I235" s="5">
        <v>2.0</v>
      </c>
      <c r="J235" s="12" t="s">
        <v>2534</v>
      </c>
      <c r="K235" s="79">
        <v>2.0</v>
      </c>
      <c r="L235" s="5" t="s">
        <v>1512</v>
      </c>
      <c r="M235" s="5" t="s">
        <v>1708</v>
      </c>
      <c r="N235" s="80" t="s">
        <v>2536</v>
      </c>
      <c r="O235" s="5"/>
      <c r="P235" s="5"/>
      <c r="Q235" s="5"/>
      <c r="R235" s="5"/>
      <c r="S235" s="80"/>
      <c r="T235" s="26" t="s">
        <v>2006</v>
      </c>
      <c r="U235" s="34" t="s">
        <v>22</v>
      </c>
      <c r="V235" s="81"/>
      <c r="W235" s="81"/>
      <c r="X235" s="5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</row>
    <row r="236" ht="12.0" hidden="1" customHeight="1">
      <c r="A236" s="5" t="s">
        <v>2230</v>
      </c>
      <c r="B236" s="5">
        <v>12.0</v>
      </c>
      <c r="C236" s="26" t="s">
        <v>1634</v>
      </c>
      <c r="D236" s="78" t="s">
        <v>2134</v>
      </c>
      <c r="E236" s="78" t="s">
        <v>2001</v>
      </c>
      <c r="F236" s="5" t="s">
        <v>1141</v>
      </c>
      <c r="G236" s="26" t="s">
        <v>1531</v>
      </c>
      <c r="H236" s="5" t="s">
        <v>2533</v>
      </c>
      <c r="I236" s="5">
        <v>3.0</v>
      </c>
      <c r="J236" s="12" t="s">
        <v>2534</v>
      </c>
      <c r="K236" s="79">
        <v>3.0</v>
      </c>
      <c r="L236" s="5" t="s">
        <v>1512</v>
      </c>
      <c r="M236" s="5" t="s">
        <v>1708</v>
      </c>
      <c r="N236" s="80" t="s">
        <v>2537</v>
      </c>
      <c r="O236" s="5"/>
      <c r="P236" s="5"/>
      <c r="Q236" s="5"/>
      <c r="R236" s="5"/>
      <c r="S236" s="80"/>
      <c r="T236" s="26" t="s">
        <v>2006</v>
      </c>
      <c r="U236" s="34" t="s">
        <v>22</v>
      </c>
      <c r="V236" s="81"/>
      <c r="W236" s="81"/>
      <c r="X236" s="5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</row>
    <row r="237" ht="12.0" hidden="1" customHeight="1">
      <c r="A237" s="5" t="s">
        <v>2230</v>
      </c>
      <c r="B237" s="5">
        <v>13.0</v>
      </c>
      <c r="C237" s="26" t="s">
        <v>1634</v>
      </c>
      <c r="D237" s="78" t="s">
        <v>2134</v>
      </c>
      <c r="E237" s="78" t="s">
        <v>2001</v>
      </c>
      <c r="F237" s="5" t="s">
        <v>1141</v>
      </c>
      <c r="G237" s="26" t="s">
        <v>1531</v>
      </c>
      <c r="H237" s="5" t="s">
        <v>2533</v>
      </c>
      <c r="I237" s="5">
        <v>4.0</v>
      </c>
      <c r="J237" s="12" t="s">
        <v>2534</v>
      </c>
      <c r="K237" s="79">
        <v>4.0</v>
      </c>
      <c r="L237" s="5" t="s">
        <v>1512</v>
      </c>
      <c r="M237" s="5" t="s">
        <v>1708</v>
      </c>
      <c r="N237" s="80" t="s">
        <v>2538</v>
      </c>
      <c r="O237" s="5"/>
      <c r="P237" s="5"/>
      <c r="Q237" s="5"/>
      <c r="R237" s="5"/>
      <c r="S237" s="80"/>
      <c r="T237" s="26" t="s">
        <v>2006</v>
      </c>
      <c r="U237" s="34" t="s">
        <v>22</v>
      </c>
      <c r="V237" s="81"/>
      <c r="W237" s="81"/>
      <c r="X237" s="5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</row>
    <row r="238" ht="12.0" hidden="1" customHeight="1">
      <c r="A238" s="5" t="s">
        <v>2230</v>
      </c>
      <c r="B238" s="5">
        <v>14.0</v>
      </c>
      <c r="C238" s="26" t="s">
        <v>1634</v>
      </c>
      <c r="D238" s="78" t="s">
        <v>2134</v>
      </c>
      <c r="E238" s="78" t="s">
        <v>2001</v>
      </c>
      <c r="F238" s="5" t="s">
        <v>1141</v>
      </c>
      <c r="G238" s="26" t="s">
        <v>1531</v>
      </c>
      <c r="H238" s="5" t="s">
        <v>2230</v>
      </c>
      <c r="I238" s="5">
        <v>94.0</v>
      </c>
      <c r="J238" s="12" t="s">
        <v>2539</v>
      </c>
      <c r="K238" s="82" t="s">
        <v>2171</v>
      </c>
      <c r="L238" s="5" t="s">
        <v>2540</v>
      </c>
      <c r="M238" s="5" t="s">
        <v>2541</v>
      </c>
      <c r="N238" s="80" t="s">
        <v>2542</v>
      </c>
      <c r="O238" s="5" t="s">
        <v>2230</v>
      </c>
      <c r="P238" s="12">
        <v>95.0</v>
      </c>
      <c r="Q238" s="5" t="s">
        <v>2540</v>
      </c>
      <c r="R238" s="5" t="s">
        <v>2541</v>
      </c>
      <c r="S238" s="98" t="s">
        <v>2543</v>
      </c>
      <c r="T238" s="26" t="s">
        <v>2006</v>
      </c>
      <c r="U238" s="34" t="s">
        <v>22</v>
      </c>
      <c r="V238" s="81"/>
      <c r="W238" s="81"/>
      <c r="X238" s="5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</row>
    <row r="239" ht="12.0" hidden="1" customHeight="1">
      <c r="A239" s="5" t="s">
        <v>2230</v>
      </c>
      <c r="B239" s="5">
        <v>15.0</v>
      </c>
      <c r="C239" s="26" t="s">
        <v>1634</v>
      </c>
      <c r="D239" s="78" t="s">
        <v>2134</v>
      </c>
      <c r="E239" s="78" t="s">
        <v>2001</v>
      </c>
      <c r="F239" s="5" t="s">
        <v>1141</v>
      </c>
      <c r="G239" s="26" t="s">
        <v>1531</v>
      </c>
      <c r="H239" s="5" t="s">
        <v>2230</v>
      </c>
      <c r="I239" s="5">
        <v>96.0</v>
      </c>
      <c r="J239" s="12" t="s">
        <v>2539</v>
      </c>
      <c r="K239" s="82" t="s">
        <v>2369</v>
      </c>
      <c r="L239" s="5" t="s">
        <v>2540</v>
      </c>
      <c r="M239" s="5" t="s">
        <v>2541</v>
      </c>
      <c r="N239" s="80" t="s">
        <v>2544</v>
      </c>
      <c r="O239" s="5" t="s">
        <v>2230</v>
      </c>
      <c r="P239" s="12">
        <v>97.0</v>
      </c>
      <c r="Q239" s="5" t="s">
        <v>2540</v>
      </c>
      <c r="R239" s="5" t="s">
        <v>2541</v>
      </c>
      <c r="S239" s="98" t="s">
        <v>2545</v>
      </c>
      <c r="T239" s="26" t="s">
        <v>2006</v>
      </c>
      <c r="U239" s="34" t="s">
        <v>22</v>
      </c>
      <c r="V239" s="81"/>
      <c r="W239" s="81"/>
      <c r="X239" s="5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</row>
    <row r="240" ht="12.0" hidden="1" customHeight="1">
      <c r="A240" s="5" t="s">
        <v>2230</v>
      </c>
      <c r="B240" s="12">
        <v>16.0</v>
      </c>
      <c r="C240" s="26" t="s">
        <v>1634</v>
      </c>
      <c r="D240" s="78" t="s">
        <v>2134</v>
      </c>
      <c r="E240" s="78" t="s">
        <v>2001</v>
      </c>
      <c r="F240" s="5" t="s">
        <v>1141</v>
      </c>
      <c r="G240" s="26" t="s">
        <v>1531</v>
      </c>
      <c r="H240" s="5" t="s">
        <v>2230</v>
      </c>
      <c r="I240" s="12">
        <v>98.0</v>
      </c>
      <c r="J240" s="12" t="s">
        <v>2539</v>
      </c>
      <c r="K240" s="82" t="s">
        <v>2370</v>
      </c>
      <c r="L240" s="5" t="s">
        <v>2540</v>
      </c>
      <c r="M240" s="5" t="s">
        <v>2541</v>
      </c>
      <c r="N240" s="98" t="s">
        <v>2546</v>
      </c>
      <c r="O240" s="5" t="s">
        <v>2230</v>
      </c>
      <c r="P240" s="12">
        <v>99.0</v>
      </c>
      <c r="Q240" s="5" t="s">
        <v>2540</v>
      </c>
      <c r="R240" s="5" t="s">
        <v>2541</v>
      </c>
      <c r="S240" s="98" t="s">
        <v>2547</v>
      </c>
      <c r="T240" s="26" t="s">
        <v>2006</v>
      </c>
      <c r="U240" s="34" t="s">
        <v>22</v>
      </c>
      <c r="V240" s="81"/>
      <c r="W240" s="81"/>
      <c r="X240" s="5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</row>
    <row r="241" ht="12.0" hidden="1" customHeight="1">
      <c r="A241" s="12" t="s">
        <v>2548</v>
      </c>
      <c r="B241" s="12">
        <v>2.0</v>
      </c>
      <c r="C241" s="26" t="s">
        <v>1634</v>
      </c>
      <c r="D241" s="78" t="s">
        <v>2134</v>
      </c>
      <c r="E241" s="78" t="s">
        <v>2001</v>
      </c>
      <c r="F241" s="5" t="s">
        <v>1141</v>
      </c>
      <c r="G241" s="26" t="s">
        <v>1531</v>
      </c>
      <c r="H241" s="12" t="s">
        <v>2230</v>
      </c>
      <c r="I241" s="12">
        <v>3.0</v>
      </c>
      <c r="J241" s="12" t="s">
        <v>2549</v>
      </c>
      <c r="K241" s="82">
        <v>3.0</v>
      </c>
      <c r="L241" s="12" t="s">
        <v>2550</v>
      </c>
      <c r="M241" s="12" t="s">
        <v>2551</v>
      </c>
      <c r="N241" s="83" t="s">
        <v>2552</v>
      </c>
      <c r="O241" s="5"/>
      <c r="P241" s="5"/>
      <c r="Q241" s="5"/>
      <c r="R241" s="5"/>
      <c r="S241" s="80"/>
      <c r="T241" s="26" t="s">
        <v>2006</v>
      </c>
      <c r="U241" s="34" t="s">
        <v>22</v>
      </c>
      <c r="V241" s="81"/>
      <c r="W241" s="81"/>
      <c r="X241" s="5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</row>
    <row r="242" ht="12.0" hidden="1" customHeight="1">
      <c r="A242" s="12" t="s">
        <v>2548</v>
      </c>
      <c r="B242" s="12">
        <v>4.0</v>
      </c>
      <c r="C242" s="26" t="s">
        <v>1634</v>
      </c>
      <c r="D242" s="78" t="s">
        <v>2134</v>
      </c>
      <c r="E242" s="78" t="s">
        <v>2001</v>
      </c>
      <c r="F242" s="5" t="s">
        <v>1141</v>
      </c>
      <c r="G242" s="26" t="s">
        <v>1531</v>
      </c>
      <c r="H242" s="12" t="s">
        <v>2230</v>
      </c>
      <c r="I242" s="12">
        <v>22.0</v>
      </c>
      <c r="J242" s="12" t="s">
        <v>2553</v>
      </c>
      <c r="K242" s="82">
        <v>1.0</v>
      </c>
      <c r="L242" s="12" t="s">
        <v>2550</v>
      </c>
      <c r="M242" s="12" t="s">
        <v>2551</v>
      </c>
      <c r="N242" s="83" t="s">
        <v>2554</v>
      </c>
      <c r="O242" s="5"/>
      <c r="P242" s="5"/>
      <c r="Q242" s="5"/>
      <c r="R242" s="5"/>
      <c r="S242" s="80"/>
      <c r="T242" s="42" t="s">
        <v>2003</v>
      </c>
      <c r="U242" s="34" t="s">
        <v>22</v>
      </c>
      <c r="V242" s="81"/>
      <c r="W242" s="81"/>
      <c r="X242" s="5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</row>
    <row r="243" ht="12.0" hidden="1" customHeight="1">
      <c r="A243" s="12" t="s">
        <v>2548</v>
      </c>
      <c r="B243" s="12">
        <v>5.0</v>
      </c>
      <c r="C243" s="26" t="s">
        <v>1634</v>
      </c>
      <c r="D243" s="78" t="s">
        <v>2134</v>
      </c>
      <c r="E243" s="78" t="s">
        <v>2001</v>
      </c>
      <c r="F243" s="5" t="s">
        <v>1141</v>
      </c>
      <c r="G243" s="26" t="s">
        <v>1531</v>
      </c>
      <c r="H243" s="12" t="s">
        <v>2230</v>
      </c>
      <c r="I243" s="12">
        <v>23.0</v>
      </c>
      <c r="J243" s="12" t="s">
        <v>2553</v>
      </c>
      <c r="K243" s="82">
        <v>2.0</v>
      </c>
      <c r="L243" s="12" t="s">
        <v>2550</v>
      </c>
      <c r="M243" s="12" t="s">
        <v>2551</v>
      </c>
      <c r="N243" s="83" t="s">
        <v>2555</v>
      </c>
      <c r="O243" s="5"/>
      <c r="P243" s="5"/>
      <c r="Q243" s="5"/>
      <c r="R243" s="5"/>
      <c r="S243" s="80"/>
      <c r="T243" s="42" t="s">
        <v>2003</v>
      </c>
      <c r="U243" s="34" t="s">
        <v>22</v>
      </c>
      <c r="V243" s="81"/>
      <c r="W243" s="81"/>
      <c r="X243" s="5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</row>
    <row r="244" ht="12.0" customHeight="1">
      <c r="A244" s="5" t="s">
        <v>2556</v>
      </c>
      <c r="B244" s="12">
        <v>2.0</v>
      </c>
      <c r="C244" s="26" t="s">
        <v>1634</v>
      </c>
      <c r="D244" s="78" t="s">
        <v>2134</v>
      </c>
      <c r="E244" s="78" t="s">
        <v>2059</v>
      </c>
      <c r="F244" s="5" t="s">
        <v>1141</v>
      </c>
      <c r="G244" s="26" t="s">
        <v>1531</v>
      </c>
      <c r="H244" s="5" t="s">
        <v>2557</v>
      </c>
      <c r="I244" s="12">
        <v>2.0</v>
      </c>
      <c r="J244" s="12" t="s">
        <v>2558</v>
      </c>
      <c r="K244" s="82">
        <v>2.0</v>
      </c>
      <c r="L244" s="5" t="s">
        <v>1689</v>
      </c>
      <c r="M244" s="5" t="s">
        <v>1689</v>
      </c>
      <c r="N244" s="83" t="s">
        <v>2559</v>
      </c>
      <c r="O244" s="5"/>
      <c r="P244" s="5"/>
      <c r="Q244" s="5"/>
      <c r="R244" s="5"/>
      <c r="S244" s="80"/>
      <c r="T244" s="26" t="s">
        <v>2006</v>
      </c>
      <c r="U244" s="34" t="s">
        <v>22</v>
      </c>
      <c r="V244" s="81"/>
      <c r="W244" s="81"/>
      <c r="X244" s="5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</row>
    <row r="245" ht="12.0" customHeight="1">
      <c r="A245" s="5" t="s">
        <v>2556</v>
      </c>
      <c r="B245" s="5">
        <v>3.0</v>
      </c>
      <c r="C245" s="26" t="s">
        <v>1634</v>
      </c>
      <c r="D245" s="78" t="s">
        <v>2134</v>
      </c>
      <c r="E245" s="78" t="s">
        <v>2059</v>
      </c>
      <c r="F245" s="5" t="s">
        <v>1141</v>
      </c>
      <c r="G245" s="26" t="s">
        <v>1531</v>
      </c>
      <c r="H245" s="5" t="s">
        <v>2557</v>
      </c>
      <c r="I245" s="5">
        <v>3.0</v>
      </c>
      <c r="J245" s="12" t="s">
        <v>2558</v>
      </c>
      <c r="K245" s="82">
        <v>3.0</v>
      </c>
      <c r="L245" s="5" t="s">
        <v>1689</v>
      </c>
      <c r="M245" s="5" t="s">
        <v>1689</v>
      </c>
      <c r="N245" s="93" t="s">
        <v>2560</v>
      </c>
      <c r="O245" s="5"/>
      <c r="P245" s="5"/>
      <c r="Q245" s="5"/>
      <c r="R245" s="5"/>
      <c r="S245" s="80"/>
      <c r="T245" s="26" t="s">
        <v>2006</v>
      </c>
      <c r="U245" s="34" t="s">
        <v>22</v>
      </c>
      <c r="V245" s="81"/>
      <c r="W245" s="81"/>
      <c r="X245" s="5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</row>
    <row r="246" ht="12.0" hidden="1" customHeight="1">
      <c r="A246" s="5" t="s">
        <v>2561</v>
      </c>
      <c r="B246" s="12">
        <v>6.0</v>
      </c>
      <c r="C246" s="26" t="s">
        <v>1634</v>
      </c>
      <c r="D246" s="78" t="s">
        <v>2091</v>
      </c>
      <c r="E246" s="78" t="s">
        <v>2001</v>
      </c>
      <c r="F246" s="5" t="s">
        <v>1141</v>
      </c>
      <c r="G246" s="26" t="s">
        <v>1531</v>
      </c>
      <c r="H246" s="5" t="s">
        <v>2561</v>
      </c>
      <c r="I246" s="12">
        <v>6.0</v>
      </c>
      <c r="J246" s="5"/>
      <c r="K246" s="79"/>
      <c r="L246" s="12" t="s">
        <v>2562</v>
      </c>
      <c r="M246" s="12" t="s">
        <v>2296</v>
      </c>
      <c r="N246" s="92" t="s">
        <v>2563</v>
      </c>
      <c r="O246" s="5"/>
      <c r="P246" s="5"/>
      <c r="Q246" s="5"/>
      <c r="R246" s="5"/>
      <c r="S246" s="80"/>
      <c r="T246" s="42" t="s">
        <v>2006</v>
      </c>
      <c r="U246" s="49" t="s">
        <v>22</v>
      </c>
      <c r="V246" s="81"/>
      <c r="W246" s="81"/>
      <c r="X246" s="5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</row>
    <row r="247" ht="12.0" hidden="1" customHeight="1">
      <c r="A247" s="5" t="s">
        <v>2561</v>
      </c>
      <c r="B247" s="12">
        <v>8.0</v>
      </c>
      <c r="C247" s="26" t="s">
        <v>1634</v>
      </c>
      <c r="D247" s="78" t="s">
        <v>2091</v>
      </c>
      <c r="E247" s="78" t="s">
        <v>2001</v>
      </c>
      <c r="F247" s="5" t="s">
        <v>1141</v>
      </c>
      <c r="G247" s="26" t="s">
        <v>1531</v>
      </c>
      <c r="H247" s="5" t="s">
        <v>2561</v>
      </c>
      <c r="I247" s="12">
        <v>8.0</v>
      </c>
      <c r="J247" s="5"/>
      <c r="K247" s="79"/>
      <c r="L247" s="12" t="s">
        <v>2564</v>
      </c>
      <c r="M247" s="12" t="s">
        <v>2296</v>
      </c>
      <c r="N247" s="92" t="s">
        <v>2565</v>
      </c>
      <c r="O247" s="5"/>
      <c r="P247" s="5"/>
      <c r="Q247" s="5"/>
      <c r="R247" s="5"/>
      <c r="S247" s="80"/>
      <c r="T247" s="42" t="s">
        <v>2006</v>
      </c>
      <c r="U247" s="49" t="s">
        <v>22</v>
      </c>
      <c r="V247" s="81"/>
      <c r="W247" s="81"/>
      <c r="X247" s="5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ht="12.0" hidden="1" customHeight="1">
      <c r="A248" s="5" t="s">
        <v>2561</v>
      </c>
      <c r="B248" s="12">
        <v>10.0</v>
      </c>
      <c r="C248" s="26" t="s">
        <v>1634</v>
      </c>
      <c r="D248" s="78" t="s">
        <v>2091</v>
      </c>
      <c r="E248" s="78" t="s">
        <v>2001</v>
      </c>
      <c r="F248" s="5" t="s">
        <v>1141</v>
      </c>
      <c r="G248" s="26" t="s">
        <v>1531</v>
      </c>
      <c r="H248" s="5" t="s">
        <v>2561</v>
      </c>
      <c r="I248" s="12">
        <v>10.0</v>
      </c>
      <c r="J248" s="5"/>
      <c r="K248" s="79"/>
      <c r="L248" s="12" t="s">
        <v>2428</v>
      </c>
      <c r="M248" s="12" t="s">
        <v>2317</v>
      </c>
      <c r="N248" s="94" t="s">
        <v>2566</v>
      </c>
      <c r="O248" s="5"/>
      <c r="P248" s="5"/>
      <c r="Q248" s="5"/>
      <c r="R248" s="5"/>
      <c r="S248" s="80"/>
      <c r="T248" s="42" t="s">
        <v>2006</v>
      </c>
      <c r="U248" s="49" t="s">
        <v>22</v>
      </c>
      <c r="V248" s="81"/>
      <c r="W248" s="81"/>
      <c r="X248" s="5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</row>
    <row r="249" ht="12.0" hidden="1" customHeight="1">
      <c r="A249" s="5" t="s">
        <v>2561</v>
      </c>
      <c r="B249" s="12">
        <v>11.0</v>
      </c>
      <c r="C249" s="26" t="s">
        <v>1634</v>
      </c>
      <c r="D249" s="78" t="s">
        <v>2091</v>
      </c>
      <c r="E249" s="78" t="s">
        <v>2001</v>
      </c>
      <c r="F249" s="5" t="s">
        <v>1141</v>
      </c>
      <c r="G249" s="26" t="s">
        <v>1531</v>
      </c>
      <c r="H249" s="5" t="s">
        <v>2561</v>
      </c>
      <c r="I249" s="12">
        <v>11.0</v>
      </c>
      <c r="J249" s="5"/>
      <c r="K249" s="79"/>
      <c r="L249" s="12" t="s">
        <v>2562</v>
      </c>
      <c r="M249" s="12" t="s">
        <v>2296</v>
      </c>
      <c r="N249" s="94" t="s">
        <v>2567</v>
      </c>
      <c r="O249" s="5"/>
      <c r="P249" s="5"/>
      <c r="Q249" s="5"/>
      <c r="R249" s="5"/>
      <c r="S249" s="80"/>
      <c r="T249" s="42" t="s">
        <v>2006</v>
      </c>
      <c r="U249" s="49" t="s">
        <v>22</v>
      </c>
      <c r="V249" s="81"/>
      <c r="W249" s="81"/>
      <c r="X249" s="5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</row>
    <row r="250" ht="12.0" hidden="1" customHeight="1">
      <c r="A250" s="5" t="s">
        <v>2561</v>
      </c>
      <c r="B250" s="12">
        <v>12.0</v>
      </c>
      <c r="C250" s="26" t="s">
        <v>1634</v>
      </c>
      <c r="D250" s="78" t="s">
        <v>2091</v>
      </c>
      <c r="E250" s="78" t="s">
        <v>2001</v>
      </c>
      <c r="F250" s="5" t="s">
        <v>1141</v>
      </c>
      <c r="G250" s="26" t="s">
        <v>1531</v>
      </c>
      <c r="H250" s="5" t="s">
        <v>2561</v>
      </c>
      <c r="I250" s="12">
        <v>12.0</v>
      </c>
      <c r="J250" s="5"/>
      <c r="K250" s="79"/>
      <c r="L250" s="12" t="s">
        <v>2568</v>
      </c>
      <c r="M250" s="12" t="s">
        <v>2296</v>
      </c>
      <c r="N250" s="94" t="s">
        <v>2569</v>
      </c>
      <c r="O250" s="5"/>
      <c r="P250" s="5"/>
      <c r="Q250" s="5"/>
      <c r="R250" s="5"/>
      <c r="S250" s="80"/>
      <c r="T250" s="42" t="s">
        <v>2006</v>
      </c>
      <c r="U250" s="49" t="s">
        <v>22</v>
      </c>
      <c r="V250" s="81"/>
      <c r="W250" s="81"/>
      <c r="X250" s="5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</row>
    <row r="251" ht="12.0" hidden="1" customHeight="1">
      <c r="A251" s="5" t="s">
        <v>2561</v>
      </c>
      <c r="B251" s="12">
        <v>16.0</v>
      </c>
      <c r="C251" s="26" t="s">
        <v>1634</v>
      </c>
      <c r="D251" s="78" t="s">
        <v>2091</v>
      </c>
      <c r="E251" s="78" t="s">
        <v>2001</v>
      </c>
      <c r="F251" s="5" t="s">
        <v>1141</v>
      </c>
      <c r="G251" s="26" t="s">
        <v>1531</v>
      </c>
      <c r="H251" s="5" t="s">
        <v>2561</v>
      </c>
      <c r="I251" s="12">
        <v>16.0</v>
      </c>
      <c r="J251" s="5"/>
      <c r="K251" s="79"/>
      <c r="L251" s="12" t="s">
        <v>2570</v>
      </c>
      <c r="M251" s="12" t="s">
        <v>2571</v>
      </c>
      <c r="N251" s="94" t="s">
        <v>2572</v>
      </c>
      <c r="O251" s="5"/>
      <c r="P251" s="5"/>
      <c r="Q251" s="5"/>
      <c r="R251" s="5"/>
      <c r="S251" s="80"/>
      <c r="T251" s="42" t="s">
        <v>2006</v>
      </c>
      <c r="U251" s="49" t="s">
        <v>22</v>
      </c>
      <c r="V251" s="81"/>
      <c r="W251" s="81"/>
      <c r="X251" s="5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</row>
    <row r="252" ht="12.0" hidden="1" customHeight="1">
      <c r="A252" s="5" t="s">
        <v>2561</v>
      </c>
      <c r="B252" s="12">
        <v>24.0</v>
      </c>
      <c r="C252" s="26" t="s">
        <v>1634</v>
      </c>
      <c r="D252" s="78" t="s">
        <v>2091</v>
      </c>
      <c r="E252" s="78" t="s">
        <v>2001</v>
      </c>
      <c r="F252" s="5" t="s">
        <v>1141</v>
      </c>
      <c r="G252" s="26" t="s">
        <v>1531</v>
      </c>
      <c r="H252" s="5" t="s">
        <v>2561</v>
      </c>
      <c r="I252" s="12">
        <v>24.0</v>
      </c>
      <c r="J252" s="5"/>
      <c r="K252" s="79"/>
      <c r="L252" s="12" t="s">
        <v>2573</v>
      </c>
      <c r="M252" s="12" t="s">
        <v>2100</v>
      </c>
      <c r="N252" s="94" t="s">
        <v>2574</v>
      </c>
      <c r="O252" s="5"/>
      <c r="P252" s="5"/>
      <c r="Q252" s="5"/>
      <c r="R252" s="5"/>
      <c r="S252" s="80"/>
      <c r="T252" s="26" t="s">
        <v>2006</v>
      </c>
      <c r="U252" s="34" t="s">
        <v>22</v>
      </c>
      <c r="V252" s="81"/>
      <c r="W252" s="81"/>
      <c r="X252" s="5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</row>
    <row r="253" ht="12.0" hidden="1" customHeight="1">
      <c r="A253" s="5" t="s">
        <v>2561</v>
      </c>
      <c r="B253" s="12">
        <v>28.0</v>
      </c>
      <c r="C253" s="26" t="s">
        <v>1634</v>
      </c>
      <c r="D253" s="78" t="s">
        <v>2091</v>
      </c>
      <c r="E253" s="78" t="s">
        <v>2001</v>
      </c>
      <c r="F253" s="5" t="s">
        <v>1141</v>
      </c>
      <c r="G253" s="26" t="s">
        <v>1531</v>
      </c>
      <c r="H253" s="5" t="s">
        <v>2561</v>
      </c>
      <c r="I253" s="12">
        <v>28.0</v>
      </c>
      <c r="J253" s="5"/>
      <c r="K253" s="79"/>
      <c r="L253" s="12" t="s">
        <v>2306</v>
      </c>
      <c r="M253" s="12" t="s">
        <v>2094</v>
      </c>
      <c r="N253" s="94" t="s">
        <v>2575</v>
      </c>
      <c r="O253" s="5"/>
      <c r="P253" s="5"/>
      <c r="Q253" s="5"/>
      <c r="R253" s="5"/>
      <c r="S253" s="80"/>
      <c r="T253" s="26" t="s">
        <v>2006</v>
      </c>
      <c r="U253" s="34" t="s">
        <v>22</v>
      </c>
      <c r="V253" s="81"/>
      <c r="W253" s="81"/>
      <c r="X253" s="5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</row>
    <row r="254" ht="12.0" hidden="1" customHeight="1">
      <c r="A254" s="5" t="s">
        <v>2561</v>
      </c>
      <c r="B254" s="12">
        <v>29.0</v>
      </c>
      <c r="C254" s="26" t="s">
        <v>1634</v>
      </c>
      <c r="D254" s="78" t="s">
        <v>2091</v>
      </c>
      <c r="E254" s="78" t="s">
        <v>2001</v>
      </c>
      <c r="F254" s="5" t="s">
        <v>1141</v>
      </c>
      <c r="G254" s="26" t="s">
        <v>1531</v>
      </c>
      <c r="H254" s="5" t="s">
        <v>2576</v>
      </c>
      <c r="I254" s="12">
        <v>1.0</v>
      </c>
      <c r="J254" s="5"/>
      <c r="K254" s="79"/>
      <c r="L254" s="5" t="s">
        <v>2577</v>
      </c>
      <c r="M254" s="5" t="s">
        <v>2578</v>
      </c>
      <c r="N254" s="94" t="s">
        <v>2579</v>
      </c>
      <c r="O254" s="5"/>
      <c r="P254" s="5"/>
      <c r="Q254" s="5"/>
      <c r="R254" s="5"/>
      <c r="S254" s="80"/>
      <c r="T254" s="26" t="s">
        <v>2006</v>
      </c>
      <c r="U254" s="34" t="s">
        <v>22</v>
      </c>
      <c r="V254" s="81"/>
      <c r="W254" s="81"/>
      <c r="X254" s="5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</row>
    <row r="255" ht="12.0" hidden="1" customHeight="1">
      <c r="A255" s="5" t="s">
        <v>2561</v>
      </c>
      <c r="B255" s="12">
        <v>30.0</v>
      </c>
      <c r="C255" s="26" t="s">
        <v>1634</v>
      </c>
      <c r="D255" s="78" t="s">
        <v>2091</v>
      </c>
      <c r="E255" s="78" t="s">
        <v>2001</v>
      </c>
      <c r="F255" s="5" t="s">
        <v>1141</v>
      </c>
      <c r="G255" s="26" t="s">
        <v>1531</v>
      </c>
      <c r="H255" s="5" t="s">
        <v>2576</v>
      </c>
      <c r="I255" s="12">
        <v>2.0</v>
      </c>
      <c r="J255" s="5"/>
      <c r="K255" s="79"/>
      <c r="L255" s="5" t="s">
        <v>2577</v>
      </c>
      <c r="M255" s="12" t="s">
        <v>2580</v>
      </c>
      <c r="N255" s="83" t="s">
        <v>2581</v>
      </c>
      <c r="O255" s="5"/>
      <c r="P255" s="5"/>
      <c r="Q255" s="5"/>
      <c r="R255" s="5"/>
      <c r="S255" s="80"/>
      <c r="T255" s="26" t="s">
        <v>2006</v>
      </c>
      <c r="U255" s="34" t="s">
        <v>22</v>
      </c>
      <c r="V255" s="81"/>
      <c r="W255" s="81"/>
      <c r="X255" s="5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</row>
    <row r="256" ht="12.0" hidden="1" customHeight="1">
      <c r="A256" s="5" t="s">
        <v>2561</v>
      </c>
      <c r="B256" s="5">
        <v>31.0</v>
      </c>
      <c r="C256" s="26" t="s">
        <v>1634</v>
      </c>
      <c r="D256" s="78" t="s">
        <v>2091</v>
      </c>
      <c r="E256" s="78" t="s">
        <v>2001</v>
      </c>
      <c r="F256" s="5" t="s">
        <v>1141</v>
      </c>
      <c r="G256" s="26" t="s">
        <v>1531</v>
      </c>
      <c r="H256" s="5" t="s">
        <v>2576</v>
      </c>
      <c r="I256" s="5">
        <v>3.0</v>
      </c>
      <c r="J256" s="5"/>
      <c r="K256" s="79"/>
      <c r="L256" s="5" t="s">
        <v>2577</v>
      </c>
      <c r="M256" s="5" t="s">
        <v>2578</v>
      </c>
      <c r="N256" s="83" t="s">
        <v>2582</v>
      </c>
      <c r="O256" s="5"/>
      <c r="P256" s="5"/>
      <c r="Q256" s="5"/>
      <c r="R256" s="5"/>
      <c r="S256" s="80"/>
      <c r="T256" s="26" t="s">
        <v>2006</v>
      </c>
      <c r="U256" s="34" t="s">
        <v>22</v>
      </c>
      <c r="V256" s="81"/>
      <c r="W256" s="81"/>
      <c r="X256" s="5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</row>
    <row r="257" ht="12.0" hidden="1" customHeight="1">
      <c r="A257" s="5" t="s">
        <v>2583</v>
      </c>
      <c r="B257" s="5">
        <v>1.0</v>
      </c>
      <c r="C257" s="26" t="s">
        <v>1634</v>
      </c>
      <c r="D257" s="78" t="s">
        <v>1650</v>
      </c>
      <c r="E257" s="78" t="s">
        <v>2001</v>
      </c>
      <c r="F257" s="5" t="s">
        <v>1141</v>
      </c>
      <c r="G257" s="26" t="s">
        <v>1650</v>
      </c>
      <c r="H257" s="12" t="s">
        <v>2584</v>
      </c>
      <c r="I257" s="12">
        <v>1.0</v>
      </c>
      <c r="J257" s="12" t="s">
        <v>2585</v>
      </c>
      <c r="K257" s="82">
        <v>1.0</v>
      </c>
      <c r="L257" s="5" t="s">
        <v>2586</v>
      </c>
      <c r="M257" s="5" t="s">
        <v>2587</v>
      </c>
      <c r="N257" s="83" t="s">
        <v>2588</v>
      </c>
      <c r="O257" s="5"/>
      <c r="P257" s="5"/>
      <c r="Q257" s="5"/>
      <c r="R257" s="5"/>
      <c r="S257" s="80"/>
      <c r="T257" s="26" t="s">
        <v>2006</v>
      </c>
      <c r="U257" s="34" t="s">
        <v>22</v>
      </c>
      <c r="V257" s="81"/>
      <c r="W257" s="81"/>
      <c r="X257" s="12" t="s">
        <v>2589</v>
      </c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</row>
    <row r="258" ht="12.0" customHeight="1">
      <c r="A258" s="5" t="s">
        <v>2583</v>
      </c>
      <c r="B258" s="12">
        <v>12.0</v>
      </c>
      <c r="C258" s="26" t="s">
        <v>1634</v>
      </c>
      <c r="D258" s="78" t="s">
        <v>1650</v>
      </c>
      <c r="E258" s="78" t="s">
        <v>2059</v>
      </c>
      <c r="F258" s="5" t="s">
        <v>1141</v>
      </c>
      <c r="G258" s="26" t="s">
        <v>1650</v>
      </c>
      <c r="H258" s="12" t="s">
        <v>2590</v>
      </c>
      <c r="I258" s="12">
        <v>156.0</v>
      </c>
      <c r="J258" s="12" t="s">
        <v>2591</v>
      </c>
      <c r="K258" s="82">
        <v>1.0</v>
      </c>
      <c r="L258" s="12" t="s">
        <v>2592</v>
      </c>
      <c r="M258" s="12" t="s">
        <v>2593</v>
      </c>
      <c r="N258" s="83" t="s">
        <v>2594</v>
      </c>
      <c r="O258" s="5"/>
      <c r="P258" s="5"/>
      <c r="Q258" s="5"/>
      <c r="R258" s="5"/>
      <c r="S258" s="80"/>
      <c r="T258" s="26" t="s">
        <v>2006</v>
      </c>
      <c r="U258" s="34" t="s">
        <v>22</v>
      </c>
      <c r="V258" s="81"/>
      <c r="W258" s="81"/>
      <c r="X258" s="5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</row>
    <row r="259" ht="12.0" customHeight="1">
      <c r="A259" s="5" t="s">
        <v>2583</v>
      </c>
      <c r="B259" s="12">
        <v>14.0</v>
      </c>
      <c r="C259" s="26" t="s">
        <v>1634</v>
      </c>
      <c r="D259" s="78" t="s">
        <v>1650</v>
      </c>
      <c r="E259" s="78" t="s">
        <v>2059</v>
      </c>
      <c r="F259" s="5" t="s">
        <v>1141</v>
      </c>
      <c r="G259" s="26" t="s">
        <v>1650</v>
      </c>
      <c r="H259" s="12" t="s">
        <v>2595</v>
      </c>
      <c r="I259" s="12">
        <v>59.0</v>
      </c>
      <c r="J259" s="12" t="s">
        <v>2596</v>
      </c>
      <c r="K259" s="82">
        <v>1.0</v>
      </c>
      <c r="L259" s="12" t="s">
        <v>2597</v>
      </c>
      <c r="M259" s="12" t="s">
        <v>2597</v>
      </c>
      <c r="N259" s="83" t="s">
        <v>2598</v>
      </c>
      <c r="O259" s="5"/>
      <c r="P259" s="5"/>
      <c r="Q259" s="5"/>
      <c r="R259" s="5"/>
      <c r="S259" s="80"/>
      <c r="T259" s="26" t="s">
        <v>2006</v>
      </c>
      <c r="U259" s="34" t="s">
        <v>22</v>
      </c>
      <c r="V259" s="81"/>
      <c r="W259" s="81"/>
      <c r="X259" s="5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</row>
    <row r="260" ht="12.0" hidden="1" customHeight="1">
      <c r="A260" s="5" t="s">
        <v>2583</v>
      </c>
      <c r="B260" s="12">
        <v>18.0</v>
      </c>
      <c r="C260" s="26" t="s">
        <v>1634</v>
      </c>
      <c r="D260" s="78" t="s">
        <v>1650</v>
      </c>
      <c r="E260" s="78" t="s">
        <v>2001</v>
      </c>
      <c r="F260" s="5" t="s">
        <v>1141</v>
      </c>
      <c r="G260" s="26" t="s">
        <v>1650</v>
      </c>
      <c r="H260" s="12" t="s">
        <v>2599</v>
      </c>
      <c r="I260" s="12">
        <v>1.0</v>
      </c>
      <c r="J260" s="5"/>
      <c r="K260" s="79"/>
      <c r="L260" s="12" t="s">
        <v>1195</v>
      </c>
      <c r="M260" s="12" t="s">
        <v>2600</v>
      </c>
      <c r="N260" s="83" t="s">
        <v>2601</v>
      </c>
      <c r="O260" s="5"/>
      <c r="P260" s="5"/>
      <c r="Q260" s="5"/>
      <c r="R260" s="5"/>
      <c r="S260" s="80"/>
      <c r="T260" s="26" t="s">
        <v>2006</v>
      </c>
      <c r="U260" s="34" t="s">
        <v>22</v>
      </c>
      <c r="V260" s="81"/>
      <c r="W260" s="81"/>
      <c r="X260" s="5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</row>
    <row r="261" ht="12.0" hidden="1" customHeight="1">
      <c r="A261" s="5" t="s">
        <v>2583</v>
      </c>
      <c r="B261" s="12">
        <v>20.0</v>
      </c>
      <c r="C261" s="26" t="s">
        <v>1634</v>
      </c>
      <c r="D261" s="78" t="s">
        <v>1650</v>
      </c>
      <c r="E261" s="78" t="s">
        <v>2001</v>
      </c>
      <c r="F261" s="5" t="s">
        <v>1141</v>
      </c>
      <c r="G261" s="26" t="s">
        <v>1650</v>
      </c>
      <c r="H261" s="12" t="s">
        <v>2602</v>
      </c>
      <c r="I261" s="12">
        <v>52.0</v>
      </c>
      <c r="J261" s="5"/>
      <c r="K261" s="79"/>
      <c r="L261" s="12" t="s">
        <v>1759</v>
      </c>
      <c r="M261" s="12" t="s">
        <v>2603</v>
      </c>
      <c r="N261" s="92" t="s">
        <v>2604</v>
      </c>
      <c r="O261" s="5"/>
      <c r="P261" s="5"/>
      <c r="Q261" s="5"/>
      <c r="R261" s="5"/>
      <c r="S261" s="80"/>
      <c r="T261" s="26" t="s">
        <v>2006</v>
      </c>
      <c r="U261" s="34" t="s">
        <v>22</v>
      </c>
      <c r="V261" s="81"/>
      <c r="W261" s="81"/>
      <c r="X261" s="5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</row>
    <row r="262" ht="12.0" customHeight="1">
      <c r="A262" s="5" t="s">
        <v>2583</v>
      </c>
      <c r="B262" s="12">
        <v>23.0</v>
      </c>
      <c r="C262" s="26" t="s">
        <v>1634</v>
      </c>
      <c r="D262" s="78" t="s">
        <v>1650</v>
      </c>
      <c r="E262" s="78" t="s">
        <v>2059</v>
      </c>
      <c r="F262" s="5" t="s">
        <v>1141</v>
      </c>
      <c r="G262" s="26" t="s">
        <v>1650</v>
      </c>
      <c r="H262" s="5" t="s">
        <v>2605</v>
      </c>
      <c r="I262" s="12">
        <v>2.0</v>
      </c>
      <c r="J262" s="12" t="s">
        <v>2606</v>
      </c>
      <c r="K262" s="82">
        <v>2.0</v>
      </c>
      <c r="L262" s="5" t="s">
        <v>2607</v>
      </c>
      <c r="M262" s="5" t="s">
        <v>2607</v>
      </c>
      <c r="N262" s="83" t="s">
        <v>2608</v>
      </c>
      <c r="O262" s="5"/>
      <c r="P262" s="5"/>
      <c r="Q262" s="5"/>
      <c r="R262" s="5"/>
      <c r="S262" s="80"/>
      <c r="T262" s="26" t="s">
        <v>2006</v>
      </c>
      <c r="U262" s="34" t="s">
        <v>22</v>
      </c>
      <c r="V262" s="81"/>
      <c r="W262" s="81"/>
      <c r="X262" s="5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</row>
    <row r="263" ht="12.0" customHeight="1">
      <c r="A263" s="5" t="s">
        <v>2583</v>
      </c>
      <c r="B263" s="12">
        <v>25.0</v>
      </c>
      <c r="C263" s="26" t="s">
        <v>1634</v>
      </c>
      <c r="D263" s="78" t="s">
        <v>1650</v>
      </c>
      <c r="E263" s="78" t="s">
        <v>2059</v>
      </c>
      <c r="F263" s="5" t="s">
        <v>1141</v>
      </c>
      <c r="G263" s="26" t="s">
        <v>1650</v>
      </c>
      <c r="H263" s="5" t="s">
        <v>2605</v>
      </c>
      <c r="I263" s="12">
        <v>4.0</v>
      </c>
      <c r="J263" s="12" t="s">
        <v>2606</v>
      </c>
      <c r="K263" s="82">
        <v>4.0</v>
      </c>
      <c r="L263" s="5" t="s">
        <v>2607</v>
      </c>
      <c r="M263" s="5" t="s">
        <v>2607</v>
      </c>
      <c r="N263" s="83" t="s">
        <v>2608</v>
      </c>
      <c r="O263" s="5"/>
      <c r="P263" s="5"/>
      <c r="Q263" s="5"/>
      <c r="R263" s="5"/>
      <c r="S263" s="80"/>
      <c r="T263" s="26" t="s">
        <v>2006</v>
      </c>
      <c r="U263" s="34" t="s">
        <v>22</v>
      </c>
      <c r="V263" s="81"/>
      <c r="W263" s="81"/>
      <c r="X263" s="5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</row>
    <row r="264" ht="12.0" customHeight="1">
      <c r="A264" s="5" t="s">
        <v>2583</v>
      </c>
      <c r="B264" s="5">
        <v>26.0</v>
      </c>
      <c r="C264" s="26" t="s">
        <v>1634</v>
      </c>
      <c r="D264" s="78" t="s">
        <v>1650</v>
      </c>
      <c r="E264" s="78" t="s">
        <v>2059</v>
      </c>
      <c r="F264" s="5" t="s">
        <v>1141</v>
      </c>
      <c r="G264" s="26" t="s">
        <v>1650</v>
      </c>
      <c r="H264" s="5" t="s">
        <v>2605</v>
      </c>
      <c r="I264" s="5">
        <v>5.0</v>
      </c>
      <c r="J264" s="12" t="s">
        <v>2606</v>
      </c>
      <c r="K264" s="82" t="s">
        <v>2370</v>
      </c>
      <c r="L264" s="5" t="s">
        <v>2607</v>
      </c>
      <c r="M264" s="5" t="s">
        <v>2607</v>
      </c>
      <c r="N264" s="83" t="s">
        <v>2608</v>
      </c>
      <c r="O264" s="5"/>
      <c r="P264" s="5"/>
      <c r="Q264" s="5"/>
      <c r="R264" s="5"/>
      <c r="S264" s="80"/>
      <c r="T264" s="26" t="s">
        <v>2006</v>
      </c>
      <c r="U264" s="34" t="s">
        <v>22</v>
      </c>
      <c r="V264" s="81"/>
      <c r="W264" s="81"/>
      <c r="X264" s="5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</row>
    <row r="265" ht="12.0" customHeight="1">
      <c r="A265" s="5" t="s">
        <v>2583</v>
      </c>
      <c r="B265" s="5">
        <v>29.0</v>
      </c>
      <c r="C265" s="26" t="s">
        <v>1634</v>
      </c>
      <c r="D265" s="78" t="s">
        <v>2609</v>
      </c>
      <c r="E265" s="78" t="s">
        <v>2059</v>
      </c>
      <c r="F265" s="5" t="s">
        <v>1141</v>
      </c>
      <c r="G265" s="26" t="s">
        <v>1650</v>
      </c>
      <c r="H265" s="5" t="s">
        <v>2610</v>
      </c>
      <c r="I265" s="5">
        <v>1.0</v>
      </c>
      <c r="J265" s="12" t="s">
        <v>2611</v>
      </c>
      <c r="K265" s="82" t="s">
        <v>2171</v>
      </c>
      <c r="L265" s="5" t="s">
        <v>1654</v>
      </c>
      <c r="M265" s="5" t="s">
        <v>2612</v>
      </c>
      <c r="N265" s="80" t="s">
        <v>2613</v>
      </c>
      <c r="O265" s="5"/>
      <c r="P265" s="5"/>
      <c r="Q265" s="5"/>
      <c r="R265" s="5"/>
      <c r="S265" s="80"/>
      <c r="T265" s="26" t="s">
        <v>2006</v>
      </c>
      <c r="U265" s="34" t="s">
        <v>22</v>
      </c>
      <c r="V265" s="81"/>
      <c r="W265" s="81"/>
      <c r="X265" s="5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</row>
    <row r="266" ht="12.0" customHeight="1">
      <c r="A266" s="5" t="s">
        <v>2583</v>
      </c>
      <c r="B266" s="5">
        <v>31.0</v>
      </c>
      <c r="C266" s="26" t="s">
        <v>1634</v>
      </c>
      <c r="D266" s="78" t="s">
        <v>2609</v>
      </c>
      <c r="E266" s="78" t="s">
        <v>2059</v>
      </c>
      <c r="F266" s="5" t="s">
        <v>1141</v>
      </c>
      <c r="G266" s="26" t="s">
        <v>1650</v>
      </c>
      <c r="H266" s="5" t="s">
        <v>2610</v>
      </c>
      <c r="I266" s="5">
        <v>5.0</v>
      </c>
      <c r="J266" s="12" t="s">
        <v>2611</v>
      </c>
      <c r="K266" s="82" t="s">
        <v>2370</v>
      </c>
      <c r="L266" s="5" t="s">
        <v>1654</v>
      </c>
      <c r="M266" s="5" t="s">
        <v>2612</v>
      </c>
      <c r="N266" s="80" t="s">
        <v>2614</v>
      </c>
      <c r="O266" s="5"/>
      <c r="P266" s="5"/>
      <c r="Q266" s="5"/>
      <c r="R266" s="5"/>
      <c r="S266" s="80"/>
      <c r="T266" s="26" t="s">
        <v>2006</v>
      </c>
      <c r="U266" s="34" t="s">
        <v>22</v>
      </c>
      <c r="V266" s="81"/>
      <c r="W266" s="81"/>
      <c r="X266" s="5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</row>
    <row r="267" ht="12.0" hidden="1" customHeight="1">
      <c r="A267" s="5" t="s">
        <v>2583</v>
      </c>
      <c r="B267" s="5">
        <v>32.0</v>
      </c>
      <c r="C267" s="26" t="s">
        <v>1634</v>
      </c>
      <c r="D267" s="78" t="s">
        <v>2609</v>
      </c>
      <c r="E267" s="78" t="s">
        <v>2001</v>
      </c>
      <c r="F267" s="5" t="s">
        <v>1141</v>
      </c>
      <c r="G267" s="26" t="s">
        <v>1650</v>
      </c>
      <c r="H267" s="12" t="s">
        <v>2610</v>
      </c>
      <c r="I267" s="5">
        <v>7.0</v>
      </c>
      <c r="J267" s="12" t="s">
        <v>2615</v>
      </c>
      <c r="K267" s="82" t="s">
        <v>2616</v>
      </c>
      <c r="L267" s="5" t="s">
        <v>1654</v>
      </c>
      <c r="M267" s="5" t="s">
        <v>2612</v>
      </c>
      <c r="N267" s="80" t="s">
        <v>2617</v>
      </c>
      <c r="O267" s="12" t="s">
        <v>2618</v>
      </c>
      <c r="P267" s="12">
        <v>1.0</v>
      </c>
      <c r="Q267" s="5" t="s">
        <v>2619</v>
      </c>
      <c r="R267" s="5" t="s">
        <v>2612</v>
      </c>
      <c r="S267" s="83" t="s">
        <v>2620</v>
      </c>
      <c r="T267" s="26" t="s">
        <v>2006</v>
      </c>
      <c r="U267" s="34" t="s">
        <v>22</v>
      </c>
      <c r="V267" s="81"/>
      <c r="W267" s="81"/>
      <c r="X267" s="12" t="s">
        <v>2621</v>
      </c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</row>
    <row r="268" ht="12.0" hidden="1" customHeight="1">
      <c r="A268" s="5" t="s">
        <v>2583</v>
      </c>
      <c r="B268" s="5">
        <v>33.0</v>
      </c>
      <c r="C268" s="26" t="s">
        <v>1634</v>
      </c>
      <c r="D268" s="78" t="s">
        <v>2609</v>
      </c>
      <c r="E268" s="78" t="s">
        <v>2001</v>
      </c>
      <c r="F268" s="5" t="s">
        <v>1141</v>
      </c>
      <c r="G268" s="26" t="s">
        <v>1650</v>
      </c>
      <c r="H268" s="5" t="s">
        <v>2618</v>
      </c>
      <c r="I268" s="5">
        <v>2.0</v>
      </c>
      <c r="J268" s="12" t="s">
        <v>2622</v>
      </c>
      <c r="K268" s="82" t="s">
        <v>2243</v>
      </c>
      <c r="L268" s="5" t="s">
        <v>2619</v>
      </c>
      <c r="M268" s="5" t="s">
        <v>2612</v>
      </c>
      <c r="N268" s="83" t="s">
        <v>2620</v>
      </c>
      <c r="O268" s="12" t="s">
        <v>2618</v>
      </c>
      <c r="P268" s="12">
        <v>3.0</v>
      </c>
      <c r="Q268" s="5" t="s">
        <v>2619</v>
      </c>
      <c r="R268" s="5" t="s">
        <v>2612</v>
      </c>
      <c r="S268" s="83" t="s">
        <v>2620</v>
      </c>
      <c r="T268" s="26" t="s">
        <v>2006</v>
      </c>
      <c r="U268" s="34" t="s">
        <v>22</v>
      </c>
      <c r="V268" s="81"/>
      <c r="W268" s="81"/>
      <c r="X268" s="5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</row>
    <row r="269" ht="12.0" hidden="1" customHeight="1">
      <c r="A269" s="5" t="s">
        <v>2583</v>
      </c>
      <c r="B269" s="12">
        <v>34.0</v>
      </c>
      <c r="C269" s="26" t="s">
        <v>1634</v>
      </c>
      <c r="D269" s="78" t="s">
        <v>2609</v>
      </c>
      <c r="E269" s="78" t="s">
        <v>2001</v>
      </c>
      <c r="F269" s="5" t="s">
        <v>1141</v>
      </c>
      <c r="G269" s="26" t="s">
        <v>1650</v>
      </c>
      <c r="H269" s="5" t="s">
        <v>2618</v>
      </c>
      <c r="I269" s="12">
        <v>4.0</v>
      </c>
      <c r="J269" s="12" t="s">
        <v>2622</v>
      </c>
      <c r="K269" s="82" t="s">
        <v>2165</v>
      </c>
      <c r="L269" s="5" t="s">
        <v>2619</v>
      </c>
      <c r="M269" s="5" t="s">
        <v>2612</v>
      </c>
      <c r="N269" s="83" t="s">
        <v>2620</v>
      </c>
      <c r="O269" s="12" t="s">
        <v>2618</v>
      </c>
      <c r="P269" s="12">
        <v>5.0</v>
      </c>
      <c r="Q269" s="5" t="s">
        <v>2619</v>
      </c>
      <c r="R269" s="5" t="s">
        <v>2612</v>
      </c>
      <c r="S269" s="83" t="s">
        <v>2620</v>
      </c>
      <c r="T269" s="26" t="s">
        <v>2006</v>
      </c>
      <c r="U269" s="34" t="s">
        <v>22</v>
      </c>
      <c r="V269" s="81"/>
      <c r="W269" s="81"/>
      <c r="X269" s="5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</row>
    <row r="270" ht="12.0" customHeight="1">
      <c r="A270" s="12" t="s">
        <v>2623</v>
      </c>
      <c r="B270" s="12">
        <v>4.0</v>
      </c>
      <c r="C270" s="26" t="s">
        <v>1634</v>
      </c>
      <c r="D270" s="78" t="s">
        <v>1650</v>
      </c>
      <c r="E270" s="78" t="s">
        <v>2059</v>
      </c>
      <c r="F270" s="5" t="s">
        <v>1141</v>
      </c>
      <c r="G270" s="26" t="s">
        <v>1650</v>
      </c>
      <c r="H270" s="12" t="s">
        <v>2623</v>
      </c>
      <c r="I270" s="12">
        <v>4.0</v>
      </c>
      <c r="J270" s="12" t="s">
        <v>2624</v>
      </c>
      <c r="K270" s="82">
        <v>4.0</v>
      </c>
      <c r="L270" s="12" t="s">
        <v>2625</v>
      </c>
      <c r="M270" s="12" t="s">
        <v>2404</v>
      </c>
      <c r="N270" s="83" t="s">
        <v>2626</v>
      </c>
      <c r="O270" s="12"/>
      <c r="P270" s="12"/>
      <c r="Q270" s="12"/>
      <c r="R270" s="12"/>
      <c r="S270" s="84"/>
      <c r="T270" s="26"/>
      <c r="U270" s="34"/>
      <c r="V270" s="81"/>
      <c r="W270" s="81"/>
      <c r="X270" s="5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</row>
    <row r="271" ht="12.0" customHeight="1">
      <c r="A271" s="12" t="s">
        <v>2623</v>
      </c>
      <c r="B271" s="12">
        <v>5.0</v>
      </c>
      <c r="C271" s="26" t="s">
        <v>1634</v>
      </c>
      <c r="D271" s="78" t="s">
        <v>1650</v>
      </c>
      <c r="E271" s="78" t="s">
        <v>2059</v>
      </c>
      <c r="F271" s="5" t="s">
        <v>1141</v>
      </c>
      <c r="G271" s="26" t="s">
        <v>1650</v>
      </c>
      <c r="H271" s="12" t="s">
        <v>2623</v>
      </c>
      <c r="I271" s="12">
        <v>5.0</v>
      </c>
      <c r="J271" s="12" t="s">
        <v>2624</v>
      </c>
      <c r="K271" s="82" t="s">
        <v>2370</v>
      </c>
      <c r="L271" s="12" t="s">
        <v>2625</v>
      </c>
      <c r="M271" s="12" t="s">
        <v>2404</v>
      </c>
      <c r="N271" s="83" t="s">
        <v>2627</v>
      </c>
      <c r="O271" s="12" t="s">
        <v>2623</v>
      </c>
      <c r="P271" s="12">
        <v>6.0</v>
      </c>
      <c r="Q271" s="12" t="s">
        <v>2625</v>
      </c>
      <c r="R271" s="12" t="s">
        <v>2404</v>
      </c>
      <c r="S271" s="83" t="s">
        <v>2628</v>
      </c>
      <c r="T271" s="26" t="s">
        <v>2006</v>
      </c>
      <c r="U271" s="34" t="s">
        <v>22</v>
      </c>
      <c r="V271" s="81"/>
      <c r="W271" s="81"/>
      <c r="X271" s="5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</row>
    <row r="272" ht="12.0" customHeight="1">
      <c r="A272" s="5" t="s">
        <v>2629</v>
      </c>
      <c r="B272" s="5">
        <v>1.0</v>
      </c>
      <c r="C272" s="26" t="s">
        <v>1634</v>
      </c>
      <c r="D272" s="78" t="s">
        <v>2187</v>
      </c>
      <c r="E272" s="78" t="s">
        <v>2059</v>
      </c>
      <c r="F272" s="5" t="s">
        <v>1141</v>
      </c>
      <c r="G272" s="26" t="s">
        <v>1650</v>
      </c>
      <c r="H272" s="5" t="s">
        <v>2629</v>
      </c>
      <c r="I272" s="5">
        <v>1.0</v>
      </c>
      <c r="J272" s="12" t="s">
        <v>2630</v>
      </c>
      <c r="K272" s="5">
        <v>1.0</v>
      </c>
      <c r="L272" s="5" t="s">
        <v>2631</v>
      </c>
      <c r="M272" s="5" t="s">
        <v>2632</v>
      </c>
      <c r="N272" s="80" t="s">
        <v>2633</v>
      </c>
      <c r="O272" s="5"/>
      <c r="P272" s="5"/>
      <c r="Q272" s="5"/>
      <c r="R272" s="5"/>
      <c r="S272" s="80"/>
      <c r="T272" s="26" t="s">
        <v>2006</v>
      </c>
      <c r="U272" s="34" t="s">
        <v>22</v>
      </c>
      <c r="V272" s="81"/>
      <c r="W272" s="81"/>
      <c r="X272" s="5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</row>
    <row r="273" ht="12.0" customHeight="1">
      <c r="A273" s="5" t="s">
        <v>2629</v>
      </c>
      <c r="B273" s="5">
        <v>2.0</v>
      </c>
      <c r="C273" s="26" t="s">
        <v>1634</v>
      </c>
      <c r="D273" s="78" t="s">
        <v>2187</v>
      </c>
      <c r="E273" s="78" t="s">
        <v>2059</v>
      </c>
      <c r="F273" s="5" t="s">
        <v>1141</v>
      </c>
      <c r="G273" s="26" t="s">
        <v>1650</v>
      </c>
      <c r="H273" s="5" t="s">
        <v>2629</v>
      </c>
      <c r="I273" s="5">
        <v>2.0</v>
      </c>
      <c r="J273" s="12" t="s">
        <v>2630</v>
      </c>
      <c r="K273" s="5">
        <v>2.0</v>
      </c>
      <c r="L273" s="5" t="s">
        <v>2631</v>
      </c>
      <c r="M273" s="5" t="s">
        <v>2632</v>
      </c>
      <c r="N273" s="80" t="s">
        <v>2634</v>
      </c>
      <c r="O273" s="5"/>
      <c r="P273" s="5"/>
      <c r="Q273" s="5"/>
      <c r="R273" s="5"/>
      <c r="S273" s="80"/>
      <c r="T273" s="26" t="s">
        <v>2006</v>
      </c>
      <c r="U273" s="34" t="s">
        <v>22</v>
      </c>
      <c r="V273" s="81"/>
      <c r="W273" s="81"/>
      <c r="X273" s="5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</row>
    <row r="274" ht="12.0" customHeight="1">
      <c r="A274" s="5" t="s">
        <v>2629</v>
      </c>
      <c r="B274" s="5">
        <v>3.0</v>
      </c>
      <c r="C274" s="26" t="s">
        <v>1634</v>
      </c>
      <c r="D274" s="78" t="s">
        <v>2187</v>
      </c>
      <c r="E274" s="78" t="s">
        <v>2059</v>
      </c>
      <c r="F274" s="5" t="s">
        <v>1141</v>
      </c>
      <c r="G274" s="26" t="s">
        <v>1650</v>
      </c>
      <c r="H274" s="5" t="s">
        <v>2629</v>
      </c>
      <c r="I274" s="5">
        <v>3.0</v>
      </c>
      <c r="J274" s="12" t="s">
        <v>2630</v>
      </c>
      <c r="K274" s="12">
        <v>3.0</v>
      </c>
      <c r="L274" s="5" t="s">
        <v>2631</v>
      </c>
      <c r="M274" s="5" t="s">
        <v>2632</v>
      </c>
      <c r="N274" s="93" t="s">
        <v>2635</v>
      </c>
      <c r="O274" s="5"/>
      <c r="P274" s="5"/>
      <c r="Q274" s="5"/>
      <c r="R274" s="5"/>
      <c r="S274" s="80"/>
      <c r="T274" s="26" t="s">
        <v>2006</v>
      </c>
      <c r="U274" s="34" t="s">
        <v>22</v>
      </c>
      <c r="V274" s="81"/>
      <c r="W274" s="81"/>
      <c r="X274" s="5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</row>
    <row r="275" ht="12.0" customHeight="1">
      <c r="A275" s="5" t="s">
        <v>2629</v>
      </c>
      <c r="B275" s="12">
        <v>5.0</v>
      </c>
      <c r="C275" s="26" t="s">
        <v>1634</v>
      </c>
      <c r="D275" s="78" t="s">
        <v>2187</v>
      </c>
      <c r="E275" s="78" t="s">
        <v>2059</v>
      </c>
      <c r="F275" s="5" t="s">
        <v>1141</v>
      </c>
      <c r="G275" s="26" t="s">
        <v>1650</v>
      </c>
      <c r="H275" s="5" t="s">
        <v>2629</v>
      </c>
      <c r="I275" s="12">
        <v>5.0</v>
      </c>
      <c r="J275" s="12" t="s">
        <v>2636</v>
      </c>
      <c r="K275" s="12">
        <v>1.0</v>
      </c>
      <c r="L275" s="5" t="s">
        <v>2631</v>
      </c>
      <c r="M275" s="5" t="s">
        <v>2632</v>
      </c>
      <c r="N275" s="83" t="s">
        <v>2637</v>
      </c>
      <c r="O275" s="5"/>
      <c r="P275" s="5"/>
      <c r="Q275" s="5"/>
      <c r="R275" s="5"/>
      <c r="S275" s="80"/>
      <c r="T275" s="26" t="s">
        <v>2006</v>
      </c>
      <c r="U275" s="34" t="s">
        <v>22</v>
      </c>
      <c r="V275" s="81"/>
      <c r="W275" s="81"/>
      <c r="X275" s="5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</row>
    <row r="276" ht="12.0" hidden="1" customHeight="1">
      <c r="A276" s="5" t="s">
        <v>2638</v>
      </c>
      <c r="B276" s="5">
        <v>1.0</v>
      </c>
      <c r="C276" s="26" t="s">
        <v>1634</v>
      </c>
      <c r="D276" s="78" t="s">
        <v>2051</v>
      </c>
      <c r="E276" s="78" t="s">
        <v>2001</v>
      </c>
      <c r="F276" s="5" t="s">
        <v>1141</v>
      </c>
      <c r="G276" s="26" t="s">
        <v>1531</v>
      </c>
      <c r="H276" s="5" t="s">
        <v>2638</v>
      </c>
      <c r="I276" s="5">
        <v>1.0</v>
      </c>
      <c r="J276" s="5"/>
      <c r="K276" s="79"/>
      <c r="L276" s="5" t="s">
        <v>2619</v>
      </c>
      <c r="M276" s="5" t="s">
        <v>2190</v>
      </c>
      <c r="N276" s="83" t="s">
        <v>2639</v>
      </c>
      <c r="O276" s="5"/>
      <c r="P276" s="5"/>
      <c r="Q276" s="5"/>
      <c r="R276" s="5"/>
      <c r="S276" s="80"/>
      <c r="T276" s="26" t="s">
        <v>2006</v>
      </c>
      <c r="U276" s="34" t="s">
        <v>22</v>
      </c>
      <c r="V276" s="81"/>
      <c r="W276" s="81"/>
      <c r="X276" s="91" t="s">
        <v>2640</v>
      </c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</row>
    <row r="277" ht="12.0" hidden="1" customHeight="1">
      <c r="A277" s="5" t="s">
        <v>2638</v>
      </c>
      <c r="B277" s="5">
        <v>2.0</v>
      </c>
      <c r="C277" s="26" t="s">
        <v>1634</v>
      </c>
      <c r="D277" s="78" t="s">
        <v>2051</v>
      </c>
      <c r="E277" s="78" t="s">
        <v>2001</v>
      </c>
      <c r="F277" s="5" t="s">
        <v>1141</v>
      </c>
      <c r="G277" s="26" t="s">
        <v>1531</v>
      </c>
      <c r="H277" s="5" t="s">
        <v>2638</v>
      </c>
      <c r="I277" s="5">
        <v>2.0</v>
      </c>
      <c r="J277" s="5"/>
      <c r="K277" s="79"/>
      <c r="L277" s="5" t="s">
        <v>2619</v>
      </c>
      <c r="M277" s="5" t="s">
        <v>2190</v>
      </c>
      <c r="N277" s="83" t="s">
        <v>2641</v>
      </c>
      <c r="O277" s="5"/>
      <c r="P277" s="5"/>
      <c r="Q277" s="5"/>
      <c r="R277" s="5"/>
      <c r="S277" s="80"/>
      <c r="T277" s="26" t="s">
        <v>2006</v>
      </c>
      <c r="U277" s="34" t="s">
        <v>22</v>
      </c>
      <c r="V277" s="81"/>
      <c r="W277" s="81"/>
      <c r="X277" s="91" t="s">
        <v>2640</v>
      </c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</row>
    <row r="278" ht="12.0" hidden="1" customHeight="1">
      <c r="A278" s="5" t="s">
        <v>2638</v>
      </c>
      <c r="B278" s="5">
        <v>4.0</v>
      </c>
      <c r="C278" s="26" t="s">
        <v>1634</v>
      </c>
      <c r="D278" s="78" t="s">
        <v>2051</v>
      </c>
      <c r="E278" s="78" t="s">
        <v>2001</v>
      </c>
      <c r="F278" s="5" t="s">
        <v>1141</v>
      </c>
      <c r="G278" s="26" t="s">
        <v>1531</v>
      </c>
      <c r="H278" s="5" t="s">
        <v>2638</v>
      </c>
      <c r="I278" s="5">
        <v>4.0</v>
      </c>
      <c r="J278" s="5"/>
      <c r="K278" s="79"/>
      <c r="L278" s="5" t="s">
        <v>2619</v>
      </c>
      <c r="M278" s="5" t="s">
        <v>2190</v>
      </c>
      <c r="N278" s="83" t="s">
        <v>2642</v>
      </c>
      <c r="O278" s="5"/>
      <c r="P278" s="5"/>
      <c r="Q278" s="5"/>
      <c r="R278" s="5"/>
      <c r="S278" s="80"/>
      <c r="T278" s="26" t="s">
        <v>2006</v>
      </c>
      <c r="U278" s="34" t="s">
        <v>22</v>
      </c>
      <c r="V278" s="81"/>
      <c r="W278" s="81"/>
      <c r="X278" s="91" t="s">
        <v>2640</v>
      </c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</row>
    <row r="279" ht="12.0" hidden="1" customHeight="1">
      <c r="A279" s="5" t="s">
        <v>2638</v>
      </c>
      <c r="B279" s="12">
        <v>5.0</v>
      </c>
      <c r="C279" s="26" t="s">
        <v>1634</v>
      </c>
      <c r="D279" s="78" t="s">
        <v>2051</v>
      </c>
      <c r="E279" s="78" t="s">
        <v>2001</v>
      </c>
      <c r="F279" s="5" t="s">
        <v>1141</v>
      </c>
      <c r="G279" s="26" t="s">
        <v>1531</v>
      </c>
      <c r="H279" s="5" t="s">
        <v>2638</v>
      </c>
      <c r="I279" s="12">
        <v>5.0</v>
      </c>
      <c r="J279" s="5"/>
      <c r="K279" s="79"/>
      <c r="L279" s="5" t="s">
        <v>2619</v>
      </c>
      <c r="M279" s="5" t="s">
        <v>2190</v>
      </c>
      <c r="N279" s="83" t="s">
        <v>2643</v>
      </c>
      <c r="O279" s="5"/>
      <c r="P279" s="5"/>
      <c r="Q279" s="5"/>
      <c r="R279" s="5"/>
      <c r="S279" s="80"/>
      <c r="T279" s="26" t="s">
        <v>2006</v>
      </c>
      <c r="U279" s="34" t="s">
        <v>22</v>
      </c>
      <c r="V279" s="81"/>
      <c r="W279" s="81"/>
      <c r="X279" s="91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</row>
    <row r="280" ht="12.0" customHeight="1">
      <c r="A280" s="5" t="s">
        <v>2644</v>
      </c>
      <c r="B280" s="5">
        <v>1.0</v>
      </c>
      <c r="C280" s="26" t="s">
        <v>1634</v>
      </c>
      <c r="D280" s="78" t="s">
        <v>2051</v>
      </c>
      <c r="E280" s="78" t="s">
        <v>2059</v>
      </c>
      <c r="F280" s="5" t="s">
        <v>1141</v>
      </c>
      <c r="G280" s="26" t="s">
        <v>1531</v>
      </c>
      <c r="H280" s="5" t="s">
        <v>2645</v>
      </c>
      <c r="I280" s="5">
        <v>1.0</v>
      </c>
      <c r="J280" s="12" t="s">
        <v>2646</v>
      </c>
      <c r="K280" s="82">
        <v>1.0</v>
      </c>
      <c r="L280" s="5" t="s">
        <v>2647</v>
      </c>
      <c r="M280" s="5" t="s">
        <v>2648</v>
      </c>
      <c r="N280" s="80" t="s">
        <v>2649</v>
      </c>
      <c r="O280" s="5"/>
      <c r="P280" s="5"/>
      <c r="Q280" s="5"/>
      <c r="R280" s="5"/>
      <c r="S280" s="80"/>
      <c r="T280" s="26" t="s">
        <v>2006</v>
      </c>
      <c r="U280" s="34" t="s">
        <v>22</v>
      </c>
      <c r="V280" s="81"/>
      <c r="W280" s="81"/>
      <c r="X280" s="91" t="s">
        <v>2640</v>
      </c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</row>
    <row r="281" ht="12.0" customHeight="1">
      <c r="A281" s="5" t="s">
        <v>2644</v>
      </c>
      <c r="B281" s="5">
        <v>2.0</v>
      </c>
      <c r="C281" s="26" t="s">
        <v>1634</v>
      </c>
      <c r="D281" s="78" t="s">
        <v>2051</v>
      </c>
      <c r="E281" s="78" t="s">
        <v>2059</v>
      </c>
      <c r="F281" s="5" t="s">
        <v>1141</v>
      </c>
      <c r="G281" s="26" t="s">
        <v>1531</v>
      </c>
      <c r="H281" s="5" t="s">
        <v>2645</v>
      </c>
      <c r="I281" s="5">
        <v>2.0</v>
      </c>
      <c r="J281" s="12" t="s">
        <v>2646</v>
      </c>
      <c r="K281" s="82">
        <v>2.0</v>
      </c>
      <c r="L281" s="5" t="s">
        <v>2647</v>
      </c>
      <c r="M281" s="5" t="s">
        <v>2648</v>
      </c>
      <c r="N281" s="80" t="s">
        <v>2650</v>
      </c>
      <c r="O281" s="5"/>
      <c r="P281" s="5"/>
      <c r="Q281" s="5"/>
      <c r="R281" s="5"/>
      <c r="S281" s="80"/>
      <c r="T281" s="26" t="s">
        <v>2006</v>
      </c>
      <c r="U281" s="34" t="s">
        <v>22</v>
      </c>
      <c r="V281" s="81"/>
      <c r="W281" s="81"/>
      <c r="X281" s="91" t="s">
        <v>2640</v>
      </c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</row>
    <row r="282" ht="12.0" customHeight="1">
      <c r="A282" s="5" t="s">
        <v>2644</v>
      </c>
      <c r="B282" s="5">
        <v>3.0</v>
      </c>
      <c r="C282" s="26" t="s">
        <v>1634</v>
      </c>
      <c r="D282" s="78" t="s">
        <v>2051</v>
      </c>
      <c r="E282" s="78" t="s">
        <v>2059</v>
      </c>
      <c r="F282" s="5" t="s">
        <v>1141</v>
      </c>
      <c r="G282" s="26" t="s">
        <v>1531</v>
      </c>
      <c r="H282" s="5" t="s">
        <v>2645</v>
      </c>
      <c r="I282" s="5">
        <v>3.0</v>
      </c>
      <c r="J282" s="12" t="s">
        <v>2646</v>
      </c>
      <c r="K282" s="82">
        <v>3.0</v>
      </c>
      <c r="L282" s="5" t="s">
        <v>2647</v>
      </c>
      <c r="M282" s="5" t="s">
        <v>2648</v>
      </c>
      <c r="N282" s="80" t="s">
        <v>2651</v>
      </c>
      <c r="O282" s="5"/>
      <c r="P282" s="5"/>
      <c r="Q282" s="5"/>
      <c r="R282" s="5"/>
      <c r="S282" s="80"/>
      <c r="T282" s="26" t="s">
        <v>2006</v>
      </c>
      <c r="U282" s="34" t="s">
        <v>22</v>
      </c>
      <c r="V282" s="81"/>
      <c r="W282" s="81"/>
      <c r="X282" s="91" t="s">
        <v>2640</v>
      </c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</row>
    <row r="283" ht="12.0" customHeight="1">
      <c r="A283" s="5" t="s">
        <v>2644</v>
      </c>
      <c r="B283" s="5">
        <v>4.0</v>
      </c>
      <c r="C283" s="26" t="s">
        <v>1634</v>
      </c>
      <c r="D283" s="78" t="s">
        <v>2051</v>
      </c>
      <c r="E283" s="78" t="s">
        <v>2059</v>
      </c>
      <c r="F283" s="5" t="s">
        <v>1141</v>
      </c>
      <c r="G283" s="26" t="s">
        <v>1531</v>
      </c>
      <c r="H283" s="5" t="s">
        <v>2645</v>
      </c>
      <c r="I283" s="5">
        <v>4.0</v>
      </c>
      <c r="J283" s="12" t="s">
        <v>2646</v>
      </c>
      <c r="K283" s="82">
        <v>4.0</v>
      </c>
      <c r="L283" s="5" t="s">
        <v>2647</v>
      </c>
      <c r="M283" s="5" t="s">
        <v>2648</v>
      </c>
      <c r="N283" s="80" t="s">
        <v>2652</v>
      </c>
      <c r="O283" s="5"/>
      <c r="P283" s="5"/>
      <c r="Q283" s="5"/>
      <c r="R283" s="5"/>
      <c r="S283" s="80"/>
      <c r="T283" s="26" t="s">
        <v>2006</v>
      </c>
      <c r="U283" s="34" t="s">
        <v>22</v>
      </c>
      <c r="V283" s="81"/>
      <c r="W283" s="81"/>
      <c r="X283" s="91" t="s">
        <v>2640</v>
      </c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</row>
    <row r="284" ht="12.0" hidden="1" customHeight="1">
      <c r="A284" s="5" t="s">
        <v>2653</v>
      </c>
      <c r="B284" s="5">
        <v>8.0</v>
      </c>
      <c r="C284" s="26" t="s">
        <v>1634</v>
      </c>
      <c r="D284" s="78" t="s">
        <v>2036</v>
      </c>
      <c r="E284" s="78" t="s">
        <v>2001</v>
      </c>
      <c r="F284" s="5" t="s">
        <v>1141</v>
      </c>
      <c r="G284" s="26" t="s">
        <v>1531</v>
      </c>
      <c r="H284" s="5" t="s">
        <v>2653</v>
      </c>
      <c r="I284" s="5">
        <v>50.0</v>
      </c>
      <c r="J284" s="5"/>
      <c r="K284" s="79"/>
      <c r="L284" s="5" t="s">
        <v>2562</v>
      </c>
      <c r="M284" s="5" t="s">
        <v>2654</v>
      </c>
      <c r="N284" s="80" t="s">
        <v>2655</v>
      </c>
      <c r="O284" s="5"/>
      <c r="P284" s="5"/>
      <c r="Q284" s="5"/>
      <c r="R284" s="5"/>
      <c r="S284" s="80"/>
      <c r="T284" s="26" t="s">
        <v>2006</v>
      </c>
      <c r="U284" s="34" t="s">
        <v>22</v>
      </c>
      <c r="V284" s="81"/>
      <c r="W284" s="81"/>
      <c r="X284" s="5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</row>
    <row r="285" ht="12.0" hidden="1" customHeight="1">
      <c r="A285" s="5" t="s">
        <v>2656</v>
      </c>
      <c r="B285" s="12">
        <v>6.0</v>
      </c>
      <c r="C285" s="26" t="s">
        <v>1634</v>
      </c>
      <c r="D285" s="78" t="s">
        <v>2162</v>
      </c>
      <c r="E285" s="78" t="s">
        <v>2040</v>
      </c>
      <c r="F285" s="5" t="s">
        <v>1141</v>
      </c>
      <c r="G285" s="26" t="s">
        <v>1650</v>
      </c>
      <c r="H285" s="5" t="s">
        <v>2656</v>
      </c>
      <c r="I285" s="12">
        <v>6.0</v>
      </c>
      <c r="J285" s="5"/>
      <c r="K285" s="79"/>
      <c r="L285" s="5" t="s">
        <v>1195</v>
      </c>
      <c r="M285" s="5" t="s">
        <v>2657</v>
      </c>
      <c r="N285" s="83" t="s">
        <v>2658</v>
      </c>
      <c r="O285" s="5"/>
      <c r="P285" s="5"/>
      <c r="Q285" s="5"/>
      <c r="R285" s="5"/>
      <c r="S285" s="80"/>
      <c r="T285" s="26"/>
      <c r="U285" s="34"/>
      <c r="V285" s="81"/>
      <c r="W285" s="81"/>
      <c r="X285" s="5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</row>
    <row r="286" ht="12.0" hidden="1" customHeight="1">
      <c r="A286" s="5" t="s">
        <v>2656</v>
      </c>
      <c r="B286" s="12">
        <v>7.0</v>
      </c>
      <c r="C286" s="26" t="s">
        <v>1634</v>
      </c>
      <c r="D286" s="78" t="s">
        <v>2162</v>
      </c>
      <c r="E286" s="78" t="s">
        <v>2040</v>
      </c>
      <c r="F286" s="5" t="s">
        <v>1141</v>
      </c>
      <c r="G286" s="26" t="s">
        <v>1650</v>
      </c>
      <c r="H286" s="5" t="s">
        <v>2656</v>
      </c>
      <c r="I286" s="12">
        <v>7.0</v>
      </c>
      <c r="J286" s="5"/>
      <c r="K286" s="79"/>
      <c r="L286" s="5" t="s">
        <v>1195</v>
      </c>
      <c r="M286" s="5" t="s">
        <v>2657</v>
      </c>
      <c r="N286" s="83" t="s">
        <v>2659</v>
      </c>
      <c r="O286" s="5"/>
      <c r="P286" s="5"/>
      <c r="Q286" s="5"/>
      <c r="R286" s="5"/>
      <c r="S286" s="80"/>
      <c r="T286" s="26"/>
      <c r="U286" s="34"/>
      <c r="V286" s="81"/>
      <c r="W286" s="81"/>
      <c r="X286" s="5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</row>
    <row r="287" ht="12.0" hidden="1" customHeight="1">
      <c r="A287" s="5" t="s">
        <v>2656</v>
      </c>
      <c r="B287" s="5">
        <v>15.0</v>
      </c>
      <c r="C287" s="26" t="s">
        <v>1634</v>
      </c>
      <c r="D287" s="78" t="s">
        <v>2162</v>
      </c>
      <c r="E287" s="78" t="s">
        <v>2040</v>
      </c>
      <c r="F287" s="5" t="s">
        <v>1141</v>
      </c>
      <c r="G287" s="26" t="s">
        <v>1650</v>
      </c>
      <c r="H287" s="5" t="s">
        <v>2656</v>
      </c>
      <c r="I287" s="5">
        <v>36.0</v>
      </c>
      <c r="J287" s="5"/>
      <c r="K287" s="79"/>
      <c r="L287" s="5" t="s">
        <v>1195</v>
      </c>
      <c r="M287" s="5" t="s">
        <v>2657</v>
      </c>
      <c r="N287" s="98" t="s">
        <v>2660</v>
      </c>
      <c r="O287" s="5"/>
      <c r="P287" s="5"/>
      <c r="Q287" s="5"/>
      <c r="R287" s="5"/>
      <c r="S287" s="80"/>
      <c r="T287" s="26" t="s">
        <v>2006</v>
      </c>
      <c r="U287" s="34" t="s">
        <v>22</v>
      </c>
      <c r="V287" s="81"/>
      <c r="W287" s="81"/>
      <c r="X287" s="5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</row>
    <row r="288" ht="12.0" hidden="1" customHeight="1">
      <c r="A288" s="5" t="s">
        <v>2656</v>
      </c>
      <c r="B288" s="12">
        <v>16.0</v>
      </c>
      <c r="C288" s="26" t="s">
        <v>1634</v>
      </c>
      <c r="D288" s="78" t="s">
        <v>2162</v>
      </c>
      <c r="E288" s="78" t="s">
        <v>2040</v>
      </c>
      <c r="F288" s="5" t="s">
        <v>1141</v>
      </c>
      <c r="G288" s="26" t="s">
        <v>1650</v>
      </c>
      <c r="H288" s="5" t="s">
        <v>2656</v>
      </c>
      <c r="I288" s="12">
        <v>37.0</v>
      </c>
      <c r="J288" s="5"/>
      <c r="K288" s="79"/>
      <c r="L288" s="5" t="s">
        <v>1195</v>
      </c>
      <c r="M288" s="5" t="s">
        <v>2657</v>
      </c>
      <c r="N288" s="83" t="s">
        <v>2661</v>
      </c>
      <c r="O288" s="5"/>
      <c r="P288" s="5"/>
      <c r="Q288" s="5"/>
      <c r="R288" s="5"/>
      <c r="S288" s="80"/>
      <c r="T288" s="26"/>
      <c r="U288" s="34"/>
      <c r="V288" s="81"/>
      <c r="W288" s="81"/>
      <c r="X288" s="5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</row>
    <row r="289" ht="12.0" hidden="1" customHeight="1">
      <c r="A289" s="5" t="s">
        <v>2656</v>
      </c>
      <c r="B289" s="12">
        <v>17.0</v>
      </c>
      <c r="C289" s="26" t="s">
        <v>1634</v>
      </c>
      <c r="D289" s="78" t="s">
        <v>2162</v>
      </c>
      <c r="E289" s="78" t="s">
        <v>2040</v>
      </c>
      <c r="F289" s="5" t="s">
        <v>1141</v>
      </c>
      <c r="G289" s="26" t="s">
        <v>1650</v>
      </c>
      <c r="H289" s="5" t="s">
        <v>2656</v>
      </c>
      <c r="I289" s="12">
        <v>38.0</v>
      </c>
      <c r="J289" s="5"/>
      <c r="K289" s="79"/>
      <c r="L289" s="5" t="s">
        <v>1195</v>
      </c>
      <c r="M289" s="5" t="s">
        <v>2657</v>
      </c>
      <c r="N289" s="83" t="s">
        <v>2662</v>
      </c>
      <c r="O289" s="5"/>
      <c r="P289" s="5"/>
      <c r="Q289" s="5"/>
      <c r="R289" s="5"/>
      <c r="S289" s="80"/>
      <c r="T289" s="26" t="s">
        <v>2006</v>
      </c>
      <c r="U289" s="34" t="s">
        <v>22</v>
      </c>
      <c r="V289" s="81"/>
      <c r="W289" s="81"/>
      <c r="X289" s="5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</row>
    <row r="290" ht="12.0" hidden="1" customHeight="1">
      <c r="A290" s="5" t="s">
        <v>2656</v>
      </c>
      <c r="B290" s="12">
        <v>18.0</v>
      </c>
      <c r="C290" s="26" t="s">
        <v>1634</v>
      </c>
      <c r="D290" s="78" t="s">
        <v>2162</v>
      </c>
      <c r="E290" s="78" t="s">
        <v>2040</v>
      </c>
      <c r="F290" s="5" t="s">
        <v>1141</v>
      </c>
      <c r="G290" s="26" t="s">
        <v>1650</v>
      </c>
      <c r="H290" s="5" t="s">
        <v>2656</v>
      </c>
      <c r="I290" s="12">
        <v>39.0</v>
      </c>
      <c r="J290" s="5"/>
      <c r="K290" s="79"/>
      <c r="L290" s="5" t="s">
        <v>1195</v>
      </c>
      <c r="M290" s="5" t="s">
        <v>2657</v>
      </c>
      <c r="N290" s="83" t="s">
        <v>2663</v>
      </c>
      <c r="O290" s="5"/>
      <c r="P290" s="5"/>
      <c r="Q290" s="5"/>
      <c r="R290" s="5"/>
      <c r="S290" s="80"/>
      <c r="T290" s="26" t="s">
        <v>2006</v>
      </c>
      <c r="U290" s="34" t="s">
        <v>22</v>
      </c>
      <c r="V290" s="81"/>
      <c r="W290" s="81"/>
      <c r="X290" s="5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</row>
    <row r="291" ht="12.0" hidden="1" customHeight="1">
      <c r="A291" s="5" t="s">
        <v>2656</v>
      </c>
      <c r="B291" s="12">
        <v>19.0</v>
      </c>
      <c r="C291" s="26" t="s">
        <v>1634</v>
      </c>
      <c r="D291" s="78" t="s">
        <v>2162</v>
      </c>
      <c r="E291" s="78" t="s">
        <v>2040</v>
      </c>
      <c r="F291" s="5" t="s">
        <v>1141</v>
      </c>
      <c r="G291" s="26" t="s">
        <v>1650</v>
      </c>
      <c r="H291" s="5" t="s">
        <v>2656</v>
      </c>
      <c r="I291" s="12">
        <v>40.0</v>
      </c>
      <c r="J291" s="5"/>
      <c r="K291" s="79"/>
      <c r="L291" s="5" t="s">
        <v>1195</v>
      </c>
      <c r="M291" s="5" t="s">
        <v>2657</v>
      </c>
      <c r="N291" s="83" t="s">
        <v>2664</v>
      </c>
      <c r="O291" s="5"/>
      <c r="P291" s="5"/>
      <c r="Q291" s="5"/>
      <c r="R291" s="5"/>
      <c r="S291" s="80"/>
      <c r="T291" s="26" t="s">
        <v>2006</v>
      </c>
      <c r="U291" s="34" t="s">
        <v>22</v>
      </c>
      <c r="V291" s="81"/>
      <c r="W291" s="81"/>
      <c r="X291" s="5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</row>
    <row r="292" ht="12.0" hidden="1" customHeight="1">
      <c r="A292" s="5" t="s">
        <v>2656</v>
      </c>
      <c r="B292" s="5">
        <v>20.0</v>
      </c>
      <c r="C292" s="26" t="s">
        <v>1634</v>
      </c>
      <c r="D292" s="78" t="s">
        <v>2162</v>
      </c>
      <c r="E292" s="78" t="s">
        <v>2040</v>
      </c>
      <c r="F292" s="5" t="s">
        <v>1141</v>
      </c>
      <c r="G292" s="26" t="s">
        <v>1650</v>
      </c>
      <c r="H292" s="5" t="s">
        <v>2656</v>
      </c>
      <c r="I292" s="5">
        <v>41.0</v>
      </c>
      <c r="J292" s="5"/>
      <c r="K292" s="79"/>
      <c r="L292" s="5" t="s">
        <v>1195</v>
      </c>
      <c r="M292" s="5" t="s">
        <v>2657</v>
      </c>
      <c r="N292" s="80" t="s">
        <v>2665</v>
      </c>
      <c r="O292" s="5"/>
      <c r="P292" s="5"/>
      <c r="Q292" s="5"/>
      <c r="R292" s="5"/>
      <c r="S292" s="80"/>
      <c r="T292" s="26" t="s">
        <v>2006</v>
      </c>
      <c r="U292" s="34" t="s">
        <v>22</v>
      </c>
      <c r="V292" s="81"/>
      <c r="W292" s="81"/>
      <c r="X292" s="5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</row>
    <row r="293" ht="12.0" hidden="1" customHeight="1">
      <c r="A293" s="5" t="s">
        <v>2656</v>
      </c>
      <c r="B293" s="5">
        <v>23.0</v>
      </c>
      <c r="C293" s="26" t="s">
        <v>1634</v>
      </c>
      <c r="D293" s="78" t="s">
        <v>2162</v>
      </c>
      <c r="E293" s="78" t="s">
        <v>2040</v>
      </c>
      <c r="F293" s="5" t="s">
        <v>1141</v>
      </c>
      <c r="G293" s="26" t="s">
        <v>1650</v>
      </c>
      <c r="H293" s="5" t="s">
        <v>2656</v>
      </c>
      <c r="I293" s="5">
        <v>44.0</v>
      </c>
      <c r="J293" s="5"/>
      <c r="K293" s="79"/>
      <c r="L293" s="5" t="s">
        <v>1195</v>
      </c>
      <c r="M293" s="5" t="s">
        <v>2657</v>
      </c>
      <c r="N293" s="80" t="s">
        <v>2666</v>
      </c>
      <c r="O293" s="5"/>
      <c r="P293" s="5"/>
      <c r="Q293" s="5"/>
      <c r="R293" s="5"/>
      <c r="S293" s="80"/>
      <c r="T293" s="26" t="s">
        <v>2006</v>
      </c>
      <c r="U293" s="34" t="s">
        <v>22</v>
      </c>
      <c r="V293" s="81"/>
      <c r="W293" s="81"/>
      <c r="X293" s="5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</row>
    <row r="294" ht="12.0" hidden="1" customHeight="1">
      <c r="A294" s="5" t="s">
        <v>2656</v>
      </c>
      <c r="B294" s="5">
        <v>25.0</v>
      </c>
      <c r="C294" s="26" t="s">
        <v>1634</v>
      </c>
      <c r="D294" s="78" t="s">
        <v>2162</v>
      </c>
      <c r="E294" s="78" t="s">
        <v>2040</v>
      </c>
      <c r="F294" s="5" t="s">
        <v>1141</v>
      </c>
      <c r="G294" s="26" t="s">
        <v>1650</v>
      </c>
      <c r="H294" s="5" t="s">
        <v>2656</v>
      </c>
      <c r="I294" s="5">
        <v>46.0</v>
      </c>
      <c r="J294" s="5"/>
      <c r="K294" s="79"/>
      <c r="L294" s="5" t="s">
        <v>1195</v>
      </c>
      <c r="M294" s="5" t="s">
        <v>2657</v>
      </c>
      <c r="N294" s="80" t="s">
        <v>2667</v>
      </c>
      <c r="O294" s="5"/>
      <c r="P294" s="5"/>
      <c r="Q294" s="5"/>
      <c r="R294" s="5"/>
      <c r="S294" s="80"/>
      <c r="T294" s="26" t="s">
        <v>2006</v>
      </c>
      <c r="U294" s="34" t="s">
        <v>22</v>
      </c>
      <c r="V294" s="81"/>
      <c r="W294" s="81"/>
      <c r="X294" s="5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</row>
    <row r="295" ht="12.0" hidden="1" customHeight="1">
      <c r="A295" s="5" t="s">
        <v>2656</v>
      </c>
      <c r="B295" s="5">
        <v>26.0</v>
      </c>
      <c r="C295" s="26" t="s">
        <v>1634</v>
      </c>
      <c r="D295" s="78" t="s">
        <v>2162</v>
      </c>
      <c r="E295" s="78" t="s">
        <v>2040</v>
      </c>
      <c r="F295" s="5" t="s">
        <v>1141</v>
      </c>
      <c r="G295" s="26" t="s">
        <v>1650</v>
      </c>
      <c r="H295" s="5" t="s">
        <v>2656</v>
      </c>
      <c r="I295" s="5">
        <v>47.0</v>
      </c>
      <c r="J295" s="5"/>
      <c r="K295" s="79"/>
      <c r="L295" s="5" t="s">
        <v>1195</v>
      </c>
      <c r="M295" s="5" t="s">
        <v>2066</v>
      </c>
      <c r="N295" s="80" t="s">
        <v>2668</v>
      </c>
      <c r="O295" s="5"/>
      <c r="P295" s="5"/>
      <c r="Q295" s="5"/>
      <c r="R295" s="5"/>
      <c r="S295" s="80"/>
      <c r="T295" s="26" t="s">
        <v>2006</v>
      </c>
      <c r="U295" s="34" t="s">
        <v>22</v>
      </c>
      <c r="V295" s="81"/>
      <c r="W295" s="81"/>
      <c r="X295" s="5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</row>
    <row r="296" ht="12.0" hidden="1" customHeight="1">
      <c r="A296" s="5" t="s">
        <v>2656</v>
      </c>
      <c r="B296" s="5">
        <v>27.0</v>
      </c>
      <c r="C296" s="26" t="s">
        <v>1634</v>
      </c>
      <c r="D296" s="78" t="s">
        <v>2162</v>
      </c>
      <c r="E296" s="78" t="s">
        <v>2040</v>
      </c>
      <c r="F296" s="5" t="s">
        <v>1141</v>
      </c>
      <c r="G296" s="26" t="s">
        <v>1650</v>
      </c>
      <c r="H296" s="5" t="s">
        <v>2656</v>
      </c>
      <c r="I296" s="5">
        <v>48.0</v>
      </c>
      <c r="J296" s="5"/>
      <c r="K296" s="79"/>
      <c r="L296" s="5" t="s">
        <v>1195</v>
      </c>
      <c r="M296" s="5" t="s">
        <v>2657</v>
      </c>
      <c r="N296" s="80" t="s">
        <v>2669</v>
      </c>
      <c r="O296" s="5"/>
      <c r="P296" s="5"/>
      <c r="Q296" s="5"/>
      <c r="R296" s="5"/>
      <c r="S296" s="80"/>
      <c r="T296" s="26" t="s">
        <v>2006</v>
      </c>
      <c r="U296" s="34" t="s">
        <v>22</v>
      </c>
      <c r="V296" s="81"/>
      <c r="W296" s="81"/>
      <c r="X296" s="5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</row>
    <row r="297" ht="12.0" hidden="1" customHeight="1">
      <c r="A297" s="5" t="s">
        <v>2656</v>
      </c>
      <c r="B297" s="5">
        <v>28.0</v>
      </c>
      <c r="C297" s="26" t="s">
        <v>1634</v>
      </c>
      <c r="D297" s="78" t="s">
        <v>2162</v>
      </c>
      <c r="E297" s="78" t="s">
        <v>2040</v>
      </c>
      <c r="F297" s="5" t="s">
        <v>1141</v>
      </c>
      <c r="G297" s="26" t="s">
        <v>1650</v>
      </c>
      <c r="H297" s="5" t="s">
        <v>2656</v>
      </c>
      <c r="I297" s="5">
        <v>49.0</v>
      </c>
      <c r="J297" s="5"/>
      <c r="K297" s="79"/>
      <c r="L297" s="5" t="s">
        <v>1195</v>
      </c>
      <c r="M297" s="5" t="s">
        <v>2657</v>
      </c>
      <c r="N297" s="80" t="s">
        <v>2670</v>
      </c>
      <c r="O297" s="5"/>
      <c r="P297" s="5"/>
      <c r="Q297" s="5"/>
      <c r="R297" s="5"/>
      <c r="S297" s="80"/>
      <c r="T297" s="26" t="s">
        <v>2006</v>
      </c>
      <c r="U297" s="34" t="s">
        <v>22</v>
      </c>
      <c r="V297" s="81"/>
      <c r="W297" s="81"/>
      <c r="X297" s="5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</row>
    <row r="298" ht="12.0" customHeight="1">
      <c r="A298" s="5" t="s">
        <v>2162</v>
      </c>
      <c r="B298" s="12">
        <v>13.0</v>
      </c>
      <c r="C298" s="26" t="s">
        <v>1634</v>
      </c>
      <c r="D298" s="78" t="s">
        <v>2162</v>
      </c>
      <c r="E298" s="78" t="s">
        <v>2059</v>
      </c>
      <c r="F298" s="5" t="s">
        <v>1141</v>
      </c>
      <c r="G298" s="26" t="s">
        <v>1650</v>
      </c>
      <c r="H298" s="12" t="s">
        <v>2671</v>
      </c>
      <c r="I298" s="12">
        <v>9.0</v>
      </c>
      <c r="J298" s="12"/>
      <c r="K298" s="82"/>
      <c r="L298" s="12" t="s">
        <v>2429</v>
      </c>
      <c r="M298" s="12" t="s">
        <v>2672</v>
      </c>
      <c r="N298" s="83" t="s">
        <v>2673</v>
      </c>
      <c r="O298" s="5"/>
      <c r="P298" s="5"/>
      <c r="Q298" s="5"/>
      <c r="R298" s="5"/>
      <c r="S298" s="80"/>
      <c r="T298" s="26"/>
      <c r="U298" s="34"/>
      <c r="V298" s="81"/>
      <c r="W298" s="81"/>
      <c r="X298" s="5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</row>
    <row r="299" ht="12.0" hidden="1" customHeight="1">
      <c r="A299" s="5" t="s">
        <v>2162</v>
      </c>
      <c r="B299" s="12">
        <v>22.0</v>
      </c>
      <c r="C299" s="26" t="s">
        <v>1634</v>
      </c>
      <c r="D299" s="78" t="s">
        <v>2162</v>
      </c>
      <c r="E299" s="78" t="s">
        <v>2001</v>
      </c>
      <c r="F299" s="5" t="s">
        <v>1141</v>
      </c>
      <c r="G299" s="26" t="s">
        <v>1650</v>
      </c>
      <c r="H299" s="12" t="s">
        <v>2674</v>
      </c>
      <c r="I299" s="12">
        <v>37.0</v>
      </c>
      <c r="J299" s="12"/>
      <c r="K299" s="82"/>
      <c r="L299" s="12" t="s">
        <v>2675</v>
      </c>
      <c r="M299" s="12" t="s">
        <v>2676</v>
      </c>
      <c r="N299" s="83" t="s">
        <v>2677</v>
      </c>
      <c r="O299" s="5"/>
      <c r="P299" s="5"/>
      <c r="Q299" s="5"/>
      <c r="R299" s="5"/>
      <c r="S299" s="80"/>
      <c r="T299" s="26"/>
      <c r="U299" s="34"/>
      <c r="V299" s="81"/>
      <c r="W299" s="81"/>
      <c r="X299" s="5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</row>
    <row r="300" ht="12.0" customHeight="1">
      <c r="A300" s="5" t="s">
        <v>2162</v>
      </c>
      <c r="B300" s="12">
        <v>25.0</v>
      </c>
      <c r="C300" s="26" t="s">
        <v>1634</v>
      </c>
      <c r="D300" s="78" t="s">
        <v>2162</v>
      </c>
      <c r="E300" s="78" t="s">
        <v>2059</v>
      </c>
      <c r="F300" s="5" t="s">
        <v>1141</v>
      </c>
      <c r="G300" s="26" t="s">
        <v>1650</v>
      </c>
      <c r="H300" s="12" t="s">
        <v>2674</v>
      </c>
      <c r="I300" s="12">
        <v>41.0</v>
      </c>
      <c r="J300" s="12" t="s">
        <v>2678</v>
      </c>
      <c r="K300" s="82">
        <v>3.0</v>
      </c>
      <c r="L300" s="12" t="s">
        <v>2675</v>
      </c>
      <c r="M300" s="12" t="s">
        <v>2676</v>
      </c>
      <c r="N300" s="83" t="s">
        <v>2679</v>
      </c>
      <c r="O300" s="5"/>
      <c r="P300" s="5"/>
      <c r="Q300" s="5"/>
      <c r="R300" s="5"/>
      <c r="S300" s="80"/>
      <c r="T300" s="26" t="s">
        <v>2006</v>
      </c>
      <c r="U300" s="34" t="s">
        <v>22</v>
      </c>
      <c r="V300" s="81"/>
      <c r="W300" s="81"/>
      <c r="X300" s="5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ht="12.0" customHeight="1">
      <c r="A301" s="5" t="s">
        <v>2162</v>
      </c>
      <c r="B301" s="5">
        <v>29.0</v>
      </c>
      <c r="C301" s="26" t="s">
        <v>1634</v>
      </c>
      <c r="D301" s="78" t="s">
        <v>2162</v>
      </c>
      <c r="E301" s="78" t="s">
        <v>2059</v>
      </c>
      <c r="F301" s="5" t="s">
        <v>1141</v>
      </c>
      <c r="G301" s="26" t="s">
        <v>1650</v>
      </c>
      <c r="H301" s="12" t="s">
        <v>2680</v>
      </c>
      <c r="I301" s="5">
        <v>4.0</v>
      </c>
      <c r="J301" s="12" t="s">
        <v>2681</v>
      </c>
      <c r="K301" s="82">
        <v>4.0</v>
      </c>
      <c r="L301" s="5" t="s">
        <v>2675</v>
      </c>
      <c r="M301" s="5" t="s">
        <v>2682</v>
      </c>
      <c r="N301" s="80" t="s">
        <v>2683</v>
      </c>
      <c r="O301" s="5"/>
      <c r="P301" s="5"/>
      <c r="Q301" s="5"/>
      <c r="R301" s="5"/>
      <c r="S301" s="80"/>
      <c r="T301" s="26" t="s">
        <v>2006</v>
      </c>
      <c r="U301" s="34" t="s">
        <v>22</v>
      </c>
      <c r="V301" s="81"/>
      <c r="W301" s="81"/>
      <c r="X301" s="5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</row>
    <row r="302" ht="12.0" customHeight="1">
      <c r="A302" s="5" t="s">
        <v>2162</v>
      </c>
      <c r="B302" s="5">
        <v>33.0</v>
      </c>
      <c r="C302" s="26" t="s">
        <v>1634</v>
      </c>
      <c r="D302" s="78" t="s">
        <v>2162</v>
      </c>
      <c r="E302" s="78" t="s">
        <v>2059</v>
      </c>
      <c r="F302" s="5" t="s">
        <v>1141</v>
      </c>
      <c r="G302" s="26" t="s">
        <v>1650</v>
      </c>
      <c r="H302" s="12" t="s">
        <v>2680</v>
      </c>
      <c r="I302" s="5">
        <v>8.0</v>
      </c>
      <c r="J302" s="12" t="s">
        <v>2684</v>
      </c>
      <c r="K302" s="82">
        <v>3.0</v>
      </c>
      <c r="L302" s="5" t="s">
        <v>2675</v>
      </c>
      <c r="M302" s="5" t="s">
        <v>2682</v>
      </c>
      <c r="N302" s="80" t="s">
        <v>2685</v>
      </c>
      <c r="O302" s="5"/>
      <c r="P302" s="5"/>
      <c r="Q302" s="5"/>
      <c r="R302" s="5"/>
      <c r="S302" s="80"/>
      <c r="T302" s="26" t="s">
        <v>2006</v>
      </c>
      <c r="U302" s="34" t="s">
        <v>22</v>
      </c>
      <c r="V302" s="81"/>
      <c r="W302" s="81"/>
      <c r="X302" s="5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</row>
    <row r="303" ht="12.0" hidden="1" customHeight="1">
      <c r="A303" s="12" t="s">
        <v>2686</v>
      </c>
      <c r="B303" s="12">
        <v>2.0</v>
      </c>
      <c r="C303" s="26" t="s">
        <v>1634</v>
      </c>
      <c r="D303" s="78" t="s">
        <v>2162</v>
      </c>
      <c r="E303" s="78" t="s">
        <v>2001</v>
      </c>
      <c r="F303" s="5" t="s">
        <v>1141</v>
      </c>
      <c r="G303" s="26" t="s">
        <v>1650</v>
      </c>
      <c r="H303" s="12" t="s">
        <v>2687</v>
      </c>
      <c r="I303" s="12">
        <v>4.0</v>
      </c>
      <c r="J303" s="12"/>
      <c r="K303" s="82"/>
      <c r="L303" s="12" t="s">
        <v>2502</v>
      </c>
      <c r="M303" s="12" t="s">
        <v>2688</v>
      </c>
      <c r="N303" s="83" t="s">
        <v>2689</v>
      </c>
      <c r="O303" s="5"/>
      <c r="P303" s="5"/>
      <c r="Q303" s="5"/>
      <c r="R303" s="5"/>
      <c r="S303" s="80"/>
      <c r="T303" s="26" t="s">
        <v>2006</v>
      </c>
      <c r="U303" s="34" t="s">
        <v>22</v>
      </c>
      <c r="V303" s="81"/>
      <c r="W303" s="81"/>
      <c r="X303" s="5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</row>
    <row r="304" ht="12.0" hidden="1" customHeight="1">
      <c r="A304" s="12" t="s">
        <v>2686</v>
      </c>
      <c r="B304" s="12">
        <v>4.0</v>
      </c>
      <c r="C304" s="26" t="s">
        <v>1634</v>
      </c>
      <c r="D304" s="78" t="s">
        <v>2162</v>
      </c>
      <c r="E304" s="78" t="s">
        <v>2001</v>
      </c>
      <c r="F304" s="5" t="s">
        <v>1141</v>
      </c>
      <c r="G304" s="26" t="s">
        <v>1650</v>
      </c>
      <c r="H304" s="12" t="s">
        <v>2687</v>
      </c>
      <c r="I304" s="12">
        <v>5.0</v>
      </c>
      <c r="J304" s="12"/>
      <c r="K304" s="82"/>
      <c r="L304" s="12" t="s">
        <v>1700</v>
      </c>
      <c r="M304" s="12" t="s">
        <v>2688</v>
      </c>
      <c r="N304" s="83" t="s">
        <v>2690</v>
      </c>
      <c r="O304" s="5"/>
      <c r="P304" s="5"/>
      <c r="Q304" s="5"/>
      <c r="R304" s="5"/>
      <c r="S304" s="80"/>
      <c r="T304" s="26" t="s">
        <v>2006</v>
      </c>
      <c r="U304" s="34" t="s">
        <v>22</v>
      </c>
      <c r="V304" s="81"/>
      <c r="W304" s="81"/>
      <c r="X304" s="5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</row>
    <row r="305" ht="12.0" hidden="1" customHeight="1">
      <c r="A305" s="12" t="s">
        <v>2686</v>
      </c>
      <c r="B305" s="12">
        <v>5.0</v>
      </c>
      <c r="C305" s="26" t="s">
        <v>1634</v>
      </c>
      <c r="D305" s="78" t="s">
        <v>2162</v>
      </c>
      <c r="E305" s="78" t="s">
        <v>2001</v>
      </c>
      <c r="F305" s="5" t="s">
        <v>1141</v>
      </c>
      <c r="G305" s="26" t="s">
        <v>1650</v>
      </c>
      <c r="H305" s="12" t="s">
        <v>2687</v>
      </c>
      <c r="I305" s="12">
        <v>6.0</v>
      </c>
      <c r="J305" s="12"/>
      <c r="K305" s="82"/>
      <c r="L305" s="12" t="s">
        <v>1700</v>
      </c>
      <c r="M305" s="12" t="s">
        <v>2688</v>
      </c>
      <c r="N305" s="83" t="s">
        <v>2691</v>
      </c>
      <c r="O305" s="5"/>
      <c r="P305" s="5"/>
      <c r="Q305" s="5"/>
      <c r="R305" s="5"/>
      <c r="S305" s="80"/>
      <c r="T305" s="26" t="s">
        <v>2006</v>
      </c>
      <c r="U305" s="34" t="s">
        <v>22</v>
      </c>
      <c r="V305" s="81"/>
      <c r="W305" s="81"/>
      <c r="X305" s="5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</row>
    <row r="306" ht="12.0" hidden="1" customHeight="1">
      <c r="A306" s="12" t="s">
        <v>2686</v>
      </c>
      <c r="B306" s="12">
        <v>6.0</v>
      </c>
      <c r="C306" s="26" t="s">
        <v>1634</v>
      </c>
      <c r="D306" s="78" t="s">
        <v>2162</v>
      </c>
      <c r="E306" s="78" t="s">
        <v>2001</v>
      </c>
      <c r="F306" s="5" t="s">
        <v>1141</v>
      </c>
      <c r="G306" s="26" t="s">
        <v>1650</v>
      </c>
      <c r="H306" s="12" t="s">
        <v>2687</v>
      </c>
      <c r="I306" s="12">
        <v>7.0</v>
      </c>
      <c r="J306" s="12"/>
      <c r="K306" s="82"/>
      <c r="L306" s="12" t="s">
        <v>1700</v>
      </c>
      <c r="M306" s="12" t="s">
        <v>2688</v>
      </c>
      <c r="N306" s="83" t="s">
        <v>2692</v>
      </c>
      <c r="O306" s="5"/>
      <c r="P306" s="5"/>
      <c r="Q306" s="5"/>
      <c r="R306" s="5"/>
      <c r="S306" s="80"/>
      <c r="T306" s="26" t="s">
        <v>2006</v>
      </c>
      <c r="U306" s="34" t="s">
        <v>22</v>
      </c>
      <c r="V306" s="81"/>
      <c r="W306" s="81"/>
      <c r="X306" s="5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</row>
    <row r="307" ht="12.0" customHeight="1">
      <c r="A307" s="99" t="s">
        <v>2693</v>
      </c>
      <c r="B307" s="100">
        <v>2.0</v>
      </c>
      <c r="C307" s="101" t="s">
        <v>1634</v>
      </c>
      <c r="D307" s="102" t="s">
        <v>2162</v>
      </c>
      <c r="E307" s="102" t="s">
        <v>2059</v>
      </c>
      <c r="F307" s="99" t="s">
        <v>1133</v>
      </c>
      <c r="G307" s="103"/>
      <c r="H307" s="104"/>
      <c r="I307" s="105"/>
      <c r="J307" s="104"/>
      <c r="K307" s="104"/>
      <c r="L307" s="99" t="s">
        <v>2694</v>
      </c>
      <c r="M307" s="99" t="s">
        <v>2695</v>
      </c>
      <c r="N307" s="106" t="s">
        <v>2696</v>
      </c>
      <c r="O307" s="105"/>
      <c r="P307" s="105"/>
      <c r="Q307" s="105"/>
      <c r="R307" s="105"/>
      <c r="S307" s="105"/>
      <c r="T307" s="107" t="s">
        <v>2006</v>
      </c>
      <c r="U307" s="108" t="s">
        <v>22</v>
      </c>
      <c r="V307" s="109"/>
      <c r="W307" s="109"/>
      <c r="X307" s="110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</row>
    <row r="308" ht="12.0" customHeight="1">
      <c r="A308" s="12" t="s">
        <v>2693</v>
      </c>
      <c r="B308" s="12">
        <v>3.0</v>
      </c>
      <c r="C308" s="26" t="s">
        <v>1634</v>
      </c>
      <c r="D308" s="78" t="s">
        <v>2162</v>
      </c>
      <c r="E308" s="78" t="s">
        <v>2059</v>
      </c>
      <c r="F308" s="12" t="s">
        <v>1133</v>
      </c>
      <c r="G308" s="26"/>
      <c r="H308" s="12"/>
      <c r="I308" s="5"/>
      <c r="J308" s="12"/>
      <c r="K308" s="82"/>
      <c r="L308" s="12" t="s">
        <v>2694</v>
      </c>
      <c r="M308" s="12" t="s">
        <v>2695</v>
      </c>
      <c r="N308" s="83" t="s">
        <v>2696</v>
      </c>
      <c r="O308" s="5"/>
      <c r="P308" s="5"/>
      <c r="Q308" s="5"/>
      <c r="R308" s="5"/>
      <c r="S308" s="80"/>
      <c r="T308" s="42" t="s">
        <v>2006</v>
      </c>
      <c r="U308" s="49" t="s">
        <v>22</v>
      </c>
      <c r="V308" s="81"/>
      <c r="W308" s="81"/>
      <c r="X308" s="5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</row>
    <row r="309" ht="12.0" customHeight="1">
      <c r="A309" s="12" t="s">
        <v>2693</v>
      </c>
      <c r="B309" s="12">
        <v>4.0</v>
      </c>
      <c r="C309" s="26" t="s">
        <v>1634</v>
      </c>
      <c r="D309" s="78" t="s">
        <v>2162</v>
      </c>
      <c r="E309" s="78" t="s">
        <v>2059</v>
      </c>
      <c r="F309" s="12" t="s">
        <v>1133</v>
      </c>
      <c r="G309" s="26"/>
      <c r="H309" s="12"/>
      <c r="I309" s="5"/>
      <c r="J309" s="12"/>
      <c r="K309" s="82"/>
      <c r="L309" s="12" t="s">
        <v>2694</v>
      </c>
      <c r="M309" s="12" t="s">
        <v>2695</v>
      </c>
      <c r="N309" s="83" t="s">
        <v>2696</v>
      </c>
      <c r="O309" s="5"/>
      <c r="P309" s="5"/>
      <c r="Q309" s="5"/>
      <c r="R309" s="5"/>
      <c r="S309" s="80"/>
      <c r="T309" s="42"/>
      <c r="U309" s="49"/>
      <c r="V309" s="81"/>
      <c r="W309" s="81"/>
      <c r="X309" s="5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</row>
    <row r="310" ht="12.0" hidden="1" customHeight="1">
      <c r="A310" s="5" t="s">
        <v>2697</v>
      </c>
      <c r="B310" s="5">
        <v>1.0</v>
      </c>
      <c r="C310" s="26" t="s">
        <v>1634</v>
      </c>
      <c r="D310" s="78" t="s">
        <v>2162</v>
      </c>
      <c r="E310" s="78" t="s">
        <v>2001</v>
      </c>
      <c r="F310" s="5" t="s">
        <v>1141</v>
      </c>
      <c r="G310" s="26" t="s">
        <v>1650</v>
      </c>
      <c r="H310" s="5" t="s">
        <v>2698</v>
      </c>
      <c r="I310" s="5">
        <v>2.0</v>
      </c>
      <c r="J310" s="5"/>
      <c r="K310" s="79"/>
      <c r="L310" s="5" t="s">
        <v>2699</v>
      </c>
      <c r="M310" s="5" t="s">
        <v>2700</v>
      </c>
      <c r="N310" s="80" t="s">
        <v>2701</v>
      </c>
      <c r="O310" s="5"/>
      <c r="P310" s="5"/>
      <c r="Q310" s="5"/>
      <c r="R310" s="5"/>
      <c r="S310" s="80"/>
      <c r="T310" s="26" t="s">
        <v>2006</v>
      </c>
      <c r="U310" s="34" t="s">
        <v>22</v>
      </c>
      <c r="V310" s="81"/>
      <c r="W310" s="81"/>
      <c r="X310" s="5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</row>
    <row r="311" ht="12.0" hidden="1" customHeight="1">
      <c r="A311" s="5" t="s">
        <v>2058</v>
      </c>
      <c r="B311" s="12">
        <v>2.0</v>
      </c>
      <c r="C311" s="26" t="s">
        <v>1634</v>
      </c>
      <c r="D311" s="78" t="s">
        <v>2058</v>
      </c>
      <c r="E311" s="78" t="s">
        <v>2001</v>
      </c>
      <c r="F311" s="5" t="s">
        <v>1141</v>
      </c>
      <c r="G311" s="26" t="s">
        <v>1531</v>
      </c>
      <c r="H311" s="12" t="s">
        <v>2529</v>
      </c>
      <c r="I311" s="12">
        <v>1.0</v>
      </c>
      <c r="J311" s="12"/>
      <c r="K311" s="79"/>
      <c r="L311" s="12" t="s">
        <v>2429</v>
      </c>
      <c r="M311" s="12" t="s">
        <v>2429</v>
      </c>
      <c r="N311" s="83" t="s">
        <v>2702</v>
      </c>
      <c r="O311" s="12"/>
      <c r="P311" s="12"/>
      <c r="Q311" s="12"/>
      <c r="R311" s="12"/>
      <c r="S311" s="92"/>
      <c r="T311" s="26" t="s">
        <v>2006</v>
      </c>
      <c r="U311" s="34" t="s">
        <v>22</v>
      </c>
      <c r="V311" s="81"/>
      <c r="W311" s="81"/>
      <c r="X311" s="5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</row>
    <row r="312" ht="12.0" hidden="1" customHeight="1">
      <c r="A312" s="5" t="s">
        <v>2058</v>
      </c>
      <c r="B312" s="12">
        <v>4.0</v>
      </c>
      <c r="C312" s="26" t="s">
        <v>1634</v>
      </c>
      <c r="D312" s="78" t="s">
        <v>2058</v>
      </c>
      <c r="E312" s="78" t="s">
        <v>2001</v>
      </c>
      <c r="F312" s="5" t="s">
        <v>1141</v>
      </c>
      <c r="G312" s="26" t="s">
        <v>1531</v>
      </c>
      <c r="H312" s="12" t="s">
        <v>2529</v>
      </c>
      <c r="I312" s="12">
        <v>12.0</v>
      </c>
      <c r="J312" s="12"/>
      <c r="K312" s="79"/>
      <c r="L312" s="12" t="s">
        <v>2429</v>
      </c>
      <c r="M312" s="12" t="s">
        <v>2429</v>
      </c>
      <c r="N312" s="83" t="s">
        <v>2703</v>
      </c>
      <c r="O312" s="12" t="s">
        <v>2704</v>
      </c>
      <c r="P312" s="12">
        <v>4.0</v>
      </c>
      <c r="Q312" s="12" t="s">
        <v>2705</v>
      </c>
      <c r="R312" s="12" t="s">
        <v>2706</v>
      </c>
      <c r="S312" s="83" t="s">
        <v>2707</v>
      </c>
      <c r="T312" s="26" t="s">
        <v>2006</v>
      </c>
      <c r="U312" s="34" t="s">
        <v>22</v>
      </c>
      <c r="V312" s="81"/>
      <c r="W312" s="81"/>
      <c r="X312" s="12" t="s">
        <v>2708</v>
      </c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</row>
    <row r="313" ht="12.0" customHeight="1">
      <c r="A313" s="5" t="s">
        <v>2058</v>
      </c>
      <c r="B313" s="12">
        <v>10.0</v>
      </c>
      <c r="C313" s="26" t="s">
        <v>1634</v>
      </c>
      <c r="D313" s="78" t="s">
        <v>2058</v>
      </c>
      <c r="E313" s="78" t="s">
        <v>2059</v>
      </c>
      <c r="F313" s="5" t="s">
        <v>1141</v>
      </c>
      <c r="G313" s="26" t="s">
        <v>1531</v>
      </c>
      <c r="H313" s="12" t="s">
        <v>2230</v>
      </c>
      <c r="I313" s="12">
        <v>46.0</v>
      </c>
      <c r="J313" s="12" t="s">
        <v>2709</v>
      </c>
      <c r="K313" s="82">
        <v>4.0</v>
      </c>
      <c r="L313" s="12" t="s">
        <v>1512</v>
      </c>
      <c r="M313" s="12" t="s">
        <v>2710</v>
      </c>
      <c r="N313" s="83" t="s">
        <v>2711</v>
      </c>
      <c r="O313" s="12"/>
      <c r="P313" s="12"/>
      <c r="Q313" s="12"/>
      <c r="R313" s="12"/>
      <c r="S313" s="92"/>
      <c r="T313" s="26" t="s">
        <v>2006</v>
      </c>
      <c r="U313" s="34" t="s">
        <v>22</v>
      </c>
      <c r="V313" s="81"/>
      <c r="W313" s="81"/>
      <c r="X313" s="5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</row>
    <row r="314" ht="12.0" customHeight="1">
      <c r="A314" s="5" t="s">
        <v>2058</v>
      </c>
      <c r="B314" s="12">
        <v>13.0</v>
      </c>
      <c r="C314" s="26" t="s">
        <v>1634</v>
      </c>
      <c r="D314" s="78" t="s">
        <v>2058</v>
      </c>
      <c r="E314" s="78" t="s">
        <v>2059</v>
      </c>
      <c r="F314" s="5" t="s">
        <v>1141</v>
      </c>
      <c r="G314" s="26" t="s">
        <v>1531</v>
      </c>
      <c r="H314" s="12" t="s">
        <v>2234</v>
      </c>
      <c r="I314" s="12">
        <v>20.0</v>
      </c>
      <c r="J314" s="12" t="s">
        <v>2235</v>
      </c>
      <c r="K314" s="82">
        <v>1.0</v>
      </c>
      <c r="L314" s="12" t="s">
        <v>2236</v>
      </c>
      <c r="M314" s="12" t="s">
        <v>2237</v>
      </c>
      <c r="N314" s="83" t="s">
        <v>2712</v>
      </c>
      <c r="O314" s="12"/>
      <c r="P314" s="12"/>
      <c r="Q314" s="12"/>
      <c r="R314" s="12"/>
      <c r="S314" s="92"/>
      <c r="T314" s="26" t="s">
        <v>2006</v>
      </c>
      <c r="U314" s="34" t="s">
        <v>22</v>
      </c>
      <c r="V314" s="81"/>
      <c r="W314" s="81"/>
      <c r="X314" s="5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</row>
    <row r="315" ht="12.0" hidden="1" customHeight="1">
      <c r="A315" s="5" t="s">
        <v>2058</v>
      </c>
      <c r="B315" s="12">
        <v>14.0</v>
      </c>
      <c r="C315" s="26" t="s">
        <v>1634</v>
      </c>
      <c r="D315" s="78" t="s">
        <v>2058</v>
      </c>
      <c r="E315" s="78" t="s">
        <v>2001</v>
      </c>
      <c r="F315" s="5" t="s">
        <v>1141</v>
      </c>
      <c r="G315" s="26" t="s">
        <v>1531</v>
      </c>
      <c r="H315" s="12" t="s">
        <v>2529</v>
      </c>
      <c r="I315" s="12">
        <v>170.0</v>
      </c>
      <c r="J315" s="12"/>
      <c r="K315" s="79"/>
      <c r="L315" s="12" t="s">
        <v>1554</v>
      </c>
      <c r="M315" s="12" t="s">
        <v>1749</v>
      </c>
      <c r="N315" s="83" t="s">
        <v>2713</v>
      </c>
      <c r="O315" s="12"/>
      <c r="P315" s="12"/>
      <c r="Q315" s="12"/>
      <c r="R315" s="12"/>
      <c r="S315" s="92"/>
      <c r="T315" s="26" t="s">
        <v>2006</v>
      </c>
      <c r="U315" s="34" t="s">
        <v>22</v>
      </c>
      <c r="V315" s="81"/>
      <c r="W315" s="81"/>
      <c r="X315" s="5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</row>
    <row r="316" ht="12.0" customHeight="1">
      <c r="A316" s="5" t="s">
        <v>2058</v>
      </c>
      <c r="B316" s="12">
        <v>20.0</v>
      </c>
      <c r="C316" s="26" t="s">
        <v>1634</v>
      </c>
      <c r="D316" s="78" t="s">
        <v>2058</v>
      </c>
      <c r="E316" s="78" t="s">
        <v>2059</v>
      </c>
      <c r="F316" s="5" t="s">
        <v>1141</v>
      </c>
      <c r="G316" s="26" t="s">
        <v>1531</v>
      </c>
      <c r="H316" s="12" t="s">
        <v>2529</v>
      </c>
      <c r="I316" s="12">
        <v>183.0</v>
      </c>
      <c r="J316" s="12" t="s">
        <v>2714</v>
      </c>
      <c r="K316" s="82">
        <v>2.0</v>
      </c>
      <c r="L316" s="12" t="s">
        <v>1554</v>
      </c>
      <c r="M316" s="12" t="s">
        <v>2530</v>
      </c>
      <c r="N316" s="83" t="s">
        <v>2715</v>
      </c>
      <c r="O316" s="12"/>
      <c r="P316" s="12"/>
      <c r="Q316" s="12"/>
      <c r="R316" s="12"/>
      <c r="S316" s="92"/>
      <c r="T316" s="26" t="s">
        <v>2006</v>
      </c>
      <c r="U316" s="34" t="s">
        <v>22</v>
      </c>
      <c r="V316" s="81"/>
      <c r="W316" s="81"/>
      <c r="X316" s="5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</row>
    <row r="317" ht="12.0" hidden="1" customHeight="1">
      <c r="A317" s="5" t="s">
        <v>2058</v>
      </c>
      <c r="B317" s="12">
        <v>21.0</v>
      </c>
      <c r="C317" s="26" t="s">
        <v>1634</v>
      </c>
      <c r="D317" s="78" t="s">
        <v>2058</v>
      </c>
      <c r="E317" s="78" t="s">
        <v>2001</v>
      </c>
      <c r="F317" s="5" t="s">
        <v>1141</v>
      </c>
      <c r="G317" s="26" t="s">
        <v>1531</v>
      </c>
      <c r="H317" s="12" t="s">
        <v>2057</v>
      </c>
      <c r="I317" s="12">
        <v>786.0</v>
      </c>
      <c r="J317" s="12"/>
      <c r="K317" s="79"/>
      <c r="L317" s="12" t="s">
        <v>2231</v>
      </c>
      <c r="M317" s="12" t="s">
        <v>2716</v>
      </c>
      <c r="N317" s="83" t="s">
        <v>2717</v>
      </c>
      <c r="O317" s="12"/>
      <c r="P317" s="12"/>
      <c r="Q317" s="12"/>
      <c r="R317" s="12"/>
      <c r="S317" s="92"/>
      <c r="T317" s="26" t="s">
        <v>2006</v>
      </c>
      <c r="U317" s="34" t="s">
        <v>22</v>
      </c>
      <c r="V317" s="81"/>
      <c r="W317" s="81"/>
      <c r="X317" s="5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</row>
    <row r="318" ht="12.0" hidden="1" customHeight="1">
      <c r="A318" s="5" t="s">
        <v>2058</v>
      </c>
      <c r="B318" s="12">
        <v>22.0</v>
      </c>
      <c r="C318" s="26" t="s">
        <v>1634</v>
      </c>
      <c r="D318" s="78" t="s">
        <v>2058</v>
      </c>
      <c r="E318" s="78" t="s">
        <v>2001</v>
      </c>
      <c r="F318" s="5" t="s">
        <v>1141</v>
      </c>
      <c r="G318" s="26" t="s">
        <v>1531</v>
      </c>
      <c r="H318" s="12" t="s">
        <v>2718</v>
      </c>
      <c r="I318" s="12">
        <v>1.0</v>
      </c>
      <c r="J318" s="12"/>
      <c r="K318" s="79"/>
      <c r="L318" s="12" t="s">
        <v>2719</v>
      </c>
      <c r="M318" s="12" t="s">
        <v>2720</v>
      </c>
      <c r="N318" s="83" t="s">
        <v>2721</v>
      </c>
      <c r="O318" s="12"/>
      <c r="P318" s="12"/>
      <c r="Q318" s="12"/>
      <c r="R318" s="12"/>
      <c r="S318" s="92"/>
      <c r="T318" s="26" t="s">
        <v>2006</v>
      </c>
      <c r="U318" s="34" t="s">
        <v>22</v>
      </c>
      <c r="V318" s="81"/>
      <c r="W318" s="81"/>
      <c r="X318" s="5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</row>
    <row r="319" ht="12.0" customHeight="1">
      <c r="A319" s="5" t="s">
        <v>2058</v>
      </c>
      <c r="B319" s="12">
        <v>25.0</v>
      </c>
      <c r="C319" s="26" t="s">
        <v>1634</v>
      </c>
      <c r="D319" s="78" t="s">
        <v>2058</v>
      </c>
      <c r="E319" s="78" t="s">
        <v>2059</v>
      </c>
      <c r="F319" s="5" t="s">
        <v>1141</v>
      </c>
      <c r="G319" s="26" t="s">
        <v>1531</v>
      </c>
      <c r="H319" s="5" t="s">
        <v>2722</v>
      </c>
      <c r="I319" s="12">
        <v>2.0</v>
      </c>
      <c r="J319" s="12" t="s">
        <v>2723</v>
      </c>
      <c r="K319" s="82">
        <v>2.0</v>
      </c>
      <c r="L319" s="5" t="s">
        <v>1512</v>
      </c>
      <c r="M319" s="5" t="s">
        <v>2724</v>
      </c>
      <c r="N319" s="83" t="s">
        <v>2725</v>
      </c>
      <c r="O319" s="12" t="s">
        <v>2058</v>
      </c>
      <c r="P319" s="12">
        <v>188.0</v>
      </c>
      <c r="Q319" s="12" t="s">
        <v>2726</v>
      </c>
      <c r="R319" s="12" t="s">
        <v>2727</v>
      </c>
      <c r="S319" s="83" t="s">
        <v>2728</v>
      </c>
      <c r="T319" s="26" t="s">
        <v>2006</v>
      </c>
      <c r="U319" s="34" t="s">
        <v>22</v>
      </c>
      <c r="V319" s="81"/>
      <c r="W319" s="81"/>
      <c r="X319" s="5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</row>
    <row r="320" ht="12.0" customHeight="1">
      <c r="A320" s="5" t="s">
        <v>2058</v>
      </c>
      <c r="B320" s="5">
        <v>26.0</v>
      </c>
      <c r="C320" s="26" t="s">
        <v>1634</v>
      </c>
      <c r="D320" s="78" t="s">
        <v>2058</v>
      </c>
      <c r="E320" s="78" t="s">
        <v>2059</v>
      </c>
      <c r="F320" s="5" t="s">
        <v>1141</v>
      </c>
      <c r="G320" s="26" t="s">
        <v>1531</v>
      </c>
      <c r="H320" s="5" t="s">
        <v>2722</v>
      </c>
      <c r="I320" s="5">
        <v>3.0</v>
      </c>
      <c r="J320" s="12" t="s">
        <v>2723</v>
      </c>
      <c r="K320" s="79">
        <v>3.0</v>
      </c>
      <c r="L320" s="5" t="s">
        <v>1512</v>
      </c>
      <c r="M320" s="5" t="s">
        <v>2724</v>
      </c>
      <c r="N320" s="83" t="s">
        <v>2725</v>
      </c>
      <c r="O320" s="12" t="s">
        <v>2063</v>
      </c>
      <c r="P320" s="12">
        <v>607.0</v>
      </c>
      <c r="Q320" s="12" t="s">
        <v>2399</v>
      </c>
      <c r="R320" s="12" t="s">
        <v>2729</v>
      </c>
      <c r="S320" s="92" t="s">
        <v>2730</v>
      </c>
      <c r="T320" s="26" t="s">
        <v>2006</v>
      </c>
      <c r="U320" s="34" t="s">
        <v>22</v>
      </c>
      <c r="V320" s="81"/>
      <c r="W320" s="81"/>
      <c r="X320" s="5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</row>
    <row r="321" ht="12.0" customHeight="1">
      <c r="A321" s="5" t="s">
        <v>2058</v>
      </c>
      <c r="B321" s="5">
        <v>27.0</v>
      </c>
      <c r="C321" s="26" t="s">
        <v>1634</v>
      </c>
      <c r="D321" s="78" t="s">
        <v>2058</v>
      </c>
      <c r="E321" s="78" t="s">
        <v>2059</v>
      </c>
      <c r="F321" s="5" t="s">
        <v>1141</v>
      </c>
      <c r="G321" s="26" t="s">
        <v>1531</v>
      </c>
      <c r="H321" s="5" t="s">
        <v>2722</v>
      </c>
      <c r="I321" s="5">
        <v>4.0</v>
      </c>
      <c r="J321" s="12" t="s">
        <v>2723</v>
      </c>
      <c r="K321" s="79">
        <v>4.0</v>
      </c>
      <c r="L321" s="5" t="s">
        <v>1512</v>
      </c>
      <c r="M321" s="5" t="s">
        <v>2724</v>
      </c>
      <c r="N321" s="83" t="s">
        <v>2725</v>
      </c>
      <c r="O321" s="12" t="s">
        <v>2731</v>
      </c>
      <c r="P321" s="12">
        <v>103.0</v>
      </c>
      <c r="Q321" s="12" t="s">
        <v>2719</v>
      </c>
      <c r="R321" s="12" t="s">
        <v>2232</v>
      </c>
      <c r="S321" s="98" t="s">
        <v>2732</v>
      </c>
      <c r="T321" s="26" t="s">
        <v>2006</v>
      </c>
      <c r="U321" s="34" t="s">
        <v>22</v>
      </c>
      <c r="V321" s="81"/>
      <c r="W321" s="81"/>
      <c r="X321" s="5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</row>
    <row r="322" ht="12.0" customHeight="1">
      <c r="A322" s="5" t="s">
        <v>2058</v>
      </c>
      <c r="B322" s="5">
        <v>29.0</v>
      </c>
      <c r="C322" s="26" t="s">
        <v>1634</v>
      </c>
      <c r="D322" s="78" t="s">
        <v>2058</v>
      </c>
      <c r="E322" s="78" t="s">
        <v>2059</v>
      </c>
      <c r="F322" s="5" t="s">
        <v>1141</v>
      </c>
      <c r="G322" s="26" t="s">
        <v>1531</v>
      </c>
      <c r="H322" s="5" t="s">
        <v>2722</v>
      </c>
      <c r="I322" s="12">
        <v>6.0</v>
      </c>
      <c r="J322" s="12" t="s">
        <v>2723</v>
      </c>
      <c r="K322" s="82" t="s">
        <v>2290</v>
      </c>
      <c r="L322" s="5" t="s">
        <v>1512</v>
      </c>
      <c r="M322" s="5" t="s">
        <v>2724</v>
      </c>
      <c r="N322" s="83" t="s">
        <v>2725</v>
      </c>
      <c r="O322" s="5" t="s">
        <v>2722</v>
      </c>
      <c r="P322" s="12">
        <v>7.0</v>
      </c>
      <c r="Q322" s="5" t="s">
        <v>1512</v>
      </c>
      <c r="R322" s="5" t="s">
        <v>2724</v>
      </c>
      <c r="S322" s="83" t="s">
        <v>2725</v>
      </c>
      <c r="T322" s="26" t="s">
        <v>2006</v>
      </c>
      <c r="U322" s="34" t="s">
        <v>22</v>
      </c>
      <c r="V322" s="81"/>
      <c r="W322" s="81"/>
      <c r="X322" s="5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</row>
    <row r="323" ht="12.0" customHeight="1">
      <c r="A323" s="5" t="s">
        <v>2058</v>
      </c>
      <c r="B323" s="5">
        <v>31.0</v>
      </c>
      <c r="C323" s="26" t="s">
        <v>1634</v>
      </c>
      <c r="D323" s="78" t="s">
        <v>2058</v>
      </c>
      <c r="E323" s="78" t="s">
        <v>2059</v>
      </c>
      <c r="F323" s="5" t="s">
        <v>1141</v>
      </c>
      <c r="G323" s="26" t="s">
        <v>1531</v>
      </c>
      <c r="H323" s="5" t="s">
        <v>2722</v>
      </c>
      <c r="I323" s="12">
        <v>10.0</v>
      </c>
      <c r="J323" s="12" t="s">
        <v>2723</v>
      </c>
      <c r="K323" s="82" t="s">
        <v>2160</v>
      </c>
      <c r="L323" s="5" t="s">
        <v>1512</v>
      </c>
      <c r="M323" s="5" t="s">
        <v>2724</v>
      </c>
      <c r="N323" s="83" t="s">
        <v>2725</v>
      </c>
      <c r="O323" s="5" t="s">
        <v>2722</v>
      </c>
      <c r="P323" s="12">
        <v>11.0</v>
      </c>
      <c r="Q323" s="5" t="s">
        <v>1512</v>
      </c>
      <c r="R323" s="5" t="s">
        <v>2724</v>
      </c>
      <c r="S323" s="83" t="s">
        <v>2725</v>
      </c>
      <c r="T323" s="26" t="s">
        <v>2006</v>
      </c>
      <c r="U323" s="34" t="s">
        <v>22</v>
      </c>
      <c r="V323" s="81"/>
      <c r="W323" s="81"/>
      <c r="X323" s="5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</row>
    <row r="324" ht="12.0" customHeight="1">
      <c r="A324" s="5" t="s">
        <v>2058</v>
      </c>
      <c r="B324" s="5">
        <v>32.0</v>
      </c>
      <c r="C324" s="26" t="s">
        <v>1634</v>
      </c>
      <c r="D324" s="78" t="s">
        <v>2058</v>
      </c>
      <c r="E324" s="78" t="s">
        <v>2059</v>
      </c>
      <c r="F324" s="5" t="s">
        <v>1141</v>
      </c>
      <c r="G324" s="26" t="s">
        <v>1531</v>
      </c>
      <c r="H324" s="5" t="s">
        <v>2722</v>
      </c>
      <c r="I324" s="12">
        <v>12.0</v>
      </c>
      <c r="J324" s="12" t="s">
        <v>2723</v>
      </c>
      <c r="K324" s="82">
        <v>12.0</v>
      </c>
      <c r="L324" s="5" t="s">
        <v>1512</v>
      </c>
      <c r="M324" s="5" t="s">
        <v>2724</v>
      </c>
      <c r="N324" s="83" t="s">
        <v>2725</v>
      </c>
      <c r="O324" s="12" t="s">
        <v>2057</v>
      </c>
      <c r="P324" s="12">
        <v>814.0</v>
      </c>
      <c r="Q324" s="12" t="s">
        <v>2726</v>
      </c>
      <c r="R324" s="12" t="s">
        <v>2733</v>
      </c>
      <c r="S324" s="83" t="s">
        <v>2734</v>
      </c>
      <c r="T324" s="26" t="s">
        <v>2006</v>
      </c>
      <c r="U324" s="34" t="s">
        <v>22</v>
      </c>
      <c r="V324" s="81"/>
      <c r="W324" s="81"/>
      <c r="X324" s="5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</row>
    <row r="325" ht="12.0" customHeight="1">
      <c r="A325" s="5" t="s">
        <v>2058</v>
      </c>
      <c r="B325" s="12">
        <v>34.0</v>
      </c>
      <c r="C325" s="26" t="s">
        <v>1634</v>
      </c>
      <c r="D325" s="78" t="s">
        <v>2058</v>
      </c>
      <c r="E325" s="78" t="s">
        <v>2059</v>
      </c>
      <c r="F325" s="5" t="s">
        <v>1141</v>
      </c>
      <c r="G325" s="26" t="s">
        <v>1531</v>
      </c>
      <c r="H325" s="12" t="s">
        <v>2057</v>
      </c>
      <c r="I325" s="12">
        <v>817.0</v>
      </c>
      <c r="J325" s="5"/>
      <c r="K325" s="79"/>
      <c r="L325" s="12" t="s">
        <v>2726</v>
      </c>
      <c r="M325" s="12" t="s">
        <v>2733</v>
      </c>
      <c r="N325" s="83" t="s">
        <v>2735</v>
      </c>
      <c r="O325" s="12" t="s">
        <v>2057</v>
      </c>
      <c r="P325" s="12">
        <v>818.0</v>
      </c>
      <c r="Q325" s="12" t="s">
        <v>2726</v>
      </c>
      <c r="R325" s="12" t="s">
        <v>2733</v>
      </c>
      <c r="S325" s="83" t="s">
        <v>2736</v>
      </c>
      <c r="T325" s="26" t="s">
        <v>2006</v>
      </c>
      <c r="U325" s="34" t="s">
        <v>22</v>
      </c>
      <c r="V325" s="81"/>
      <c r="W325" s="81"/>
      <c r="X325" s="5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</row>
    <row r="326" ht="12.0" customHeight="1">
      <c r="A326" s="5" t="s">
        <v>2058</v>
      </c>
      <c r="B326" s="12">
        <v>35.0</v>
      </c>
      <c r="C326" s="26" t="s">
        <v>1634</v>
      </c>
      <c r="D326" s="78" t="s">
        <v>2058</v>
      </c>
      <c r="E326" s="78" t="s">
        <v>2059</v>
      </c>
      <c r="F326" s="5" t="s">
        <v>1141</v>
      </c>
      <c r="G326" s="26" t="s">
        <v>1531</v>
      </c>
      <c r="H326" s="12" t="s">
        <v>2057</v>
      </c>
      <c r="I326" s="12">
        <v>819.0</v>
      </c>
      <c r="J326" s="5"/>
      <c r="K326" s="79"/>
      <c r="L326" s="12" t="s">
        <v>2726</v>
      </c>
      <c r="M326" s="12" t="s">
        <v>2737</v>
      </c>
      <c r="N326" s="83" t="s">
        <v>2738</v>
      </c>
      <c r="O326" s="12" t="s">
        <v>2057</v>
      </c>
      <c r="P326" s="12">
        <v>820.0</v>
      </c>
      <c r="Q326" s="12" t="s">
        <v>2726</v>
      </c>
      <c r="R326" s="12" t="s">
        <v>2739</v>
      </c>
      <c r="S326" s="94" t="s">
        <v>2740</v>
      </c>
      <c r="T326" s="26" t="s">
        <v>2006</v>
      </c>
      <c r="U326" s="34" t="s">
        <v>22</v>
      </c>
      <c r="V326" s="81"/>
      <c r="W326" s="81"/>
      <c r="X326" s="5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</row>
    <row r="327" ht="12.0" customHeight="1">
      <c r="A327" s="5" t="s">
        <v>2058</v>
      </c>
      <c r="B327" s="12">
        <v>37.0</v>
      </c>
      <c r="C327" s="26" t="s">
        <v>1634</v>
      </c>
      <c r="D327" s="78" t="s">
        <v>2134</v>
      </c>
      <c r="E327" s="78" t="s">
        <v>2059</v>
      </c>
      <c r="F327" s="5" t="s">
        <v>1141</v>
      </c>
      <c r="G327" s="26" t="s">
        <v>1531</v>
      </c>
      <c r="H327" s="5" t="s">
        <v>2741</v>
      </c>
      <c r="I327" s="12">
        <v>9.0</v>
      </c>
      <c r="J327" s="12" t="s">
        <v>2742</v>
      </c>
      <c r="K327" s="82">
        <v>2.0</v>
      </c>
      <c r="L327" s="12" t="s">
        <v>1554</v>
      </c>
      <c r="M327" s="12" t="s">
        <v>2743</v>
      </c>
      <c r="N327" s="83" t="s">
        <v>2744</v>
      </c>
      <c r="O327" s="5"/>
      <c r="P327" s="5"/>
      <c r="Q327" s="5"/>
      <c r="R327" s="5"/>
      <c r="S327" s="80"/>
      <c r="T327" s="26" t="s">
        <v>2006</v>
      </c>
      <c r="U327" s="34" t="s">
        <v>22</v>
      </c>
      <c r="V327" s="81"/>
      <c r="W327" s="81"/>
      <c r="X327" s="5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</row>
    <row r="328" ht="12.0" customHeight="1">
      <c r="A328" s="5" t="s">
        <v>2058</v>
      </c>
      <c r="B328" s="12">
        <v>38.0</v>
      </c>
      <c r="C328" s="26" t="s">
        <v>1634</v>
      </c>
      <c r="D328" s="78" t="s">
        <v>2134</v>
      </c>
      <c r="E328" s="78" t="s">
        <v>2059</v>
      </c>
      <c r="F328" s="5" t="s">
        <v>1141</v>
      </c>
      <c r="G328" s="26" t="s">
        <v>1531</v>
      </c>
      <c r="H328" s="5" t="s">
        <v>2741</v>
      </c>
      <c r="I328" s="12">
        <v>10.0</v>
      </c>
      <c r="J328" s="12" t="s">
        <v>2742</v>
      </c>
      <c r="K328" s="82">
        <v>3.0</v>
      </c>
      <c r="L328" s="12" t="s">
        <v>1554</v>
      </c>
      <c r="M328" s="12" t="s">
        <v>2743</v>
      </c>
      <c r="N328" s="83" t="s">
        <v>2744</v>
      </c>
      <c r="O328" s="5"/>
      <c r="P328" s="5"/>
      <c r="Q328" s="5"/>
      <c r="R328" s="5"/>
      <c r="S328" s="80"/>
      <c r="T328" s="26" t="s">
        <v>2006</v>
      </c>
      <c r="U328" s="34" t="s">
        <v>22</v>
      </c>
      <c r="V328" s="81"/>
      <c r="W328" s="81"/>
      <c r="X328" s="5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</row>
    <row r="329" ht="12.0" customHeight="1">
      <c r="A329" s="5" t="s">
        <v>2058</v>
      </c>
      <c r="B329" s="12">
        <v>39.0</v>
      </c>
      <c r="C329" s="26" t="s">
        <v>1634</v>
      </c>
      <c r="D329" s="78" t="s">
        <v>2134</v>
      </c>
      <c r="E329" s="78" t="s">
        <v>2059</v>
      </c>
      <c r="F329" s="5" t="s">
        <v>1141</v>
      </c>
      <c r="G329" s="26" t="s">
        <v>1531</v>
      </c>
      <c r="H329" s="5" t="s">
        <v>2741</v>
      </c>
      <c r="I329" s="12">
        <v>11.0</v>
      </c>
      <c r="J329" s="12" t="s">
        <v>2742</v>
      </c>
      <c r="K329" s="82">
        <v>4.0</v>
      </c>
      <c r="L329" s="12" t="s">
        <v>1554</v>
      </c>
      <c r="M329" s="12" t="s">
        <v>2743</v>
      </c>
      <c r="N329" s="83" t="s">
        <v>2744</v>
      </c>
      <c r="O329" s="5"/>
      <c r="P329" s="5"/>
      <c r="Q329" s="5"/>
      <c r="R329" s="5"/>
      <c r="S329" s="80"/>
      <c r="T329" s="26" t="s">
        <v>2006</v>
      </c>
      <c r="U329" s="34" t="s">
        <v>22</v>
      </c>
      <c r="V329" s="81"/>
      <c r="W329" s="81"/>
      <c r="X329" s="5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</row>
    <row r="330" ht="12.0" customHeight="1">
      <c r="A330" s="5" t="s">
        <v>2058</v>
      </c>
      <c r="B330" s="12">
        <v>40.0</v>
      </c>
      <c r="C330" s="26" t="s">
        <v>1634</v>
      </c>
      <c r="D330" s="78" t="s">
        <v>2134</v>
      </c>
      <c r="E330" s="78" t="s">
        <v>2059</v>
      </c>
      <c r="F330" s="5" t="s">
        <v>1141</v>
      </c>
      <c r="G330" s="26" t="s">
        <v>1531</v>
      </c>
      <c r="H330" s="5" t="s">
        <v>2741</v>
      </c>
      <c r="I330" s="12">
        <v>12.0</v>
      </c>
      <c r="J330" s="12" t="s">
        <v>2742</v>
      </c>
      <c r="K330" s="82">
        <v>5.0</v>
      </c>
      <c r="L330" s="12" t="s">
        <v>1554</v>
      </c>
      <c r="M330" s="12" t="s">
        <v>2743</v>
      </c>
      <c r="N330" s="83" t="s">
        <v>2744</v>
      </c>
      <c r="O330" s="5"/>
      <c r="P330" s="5"/>
      <c r="Q330" s="5"/>
      <c r="R330" s="5"/>
      <c r="S330" s="80"/>
      <c r="T330" s="26" t="s">
        <v>2006</v>
      </c>
      <c r="U330" s="34" t="s">
        <v>22</v>
      </c>
      <c r="V330" s="81"/>
      <c r="W330" s="81"/>
      <c r="X330" s="5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</row>
    <row r="331" ht="12.0" customHeight="1">
      <c r="A331" s="5" t="s">
        <v>2058</v>
      </c>
      <c r="B331" s="12">
        <v>41.0</v>
      </c>
      <c r="C331" s="26" t="s">
        <v>1634</v>
      </c>
      <c r="D331" s="78" t="s">
        <v>2134</v>
      </c>
      <c r="E331" s="78" t="s">
        <v>2059</v>
      </c>
      <c r="F331" s="5" t="s">
        <v>1141</v>
      </c>
      <c r="G331" s="26" t="s">
        <v>1531</v>
      </c>
      <c r="H331" s="5" t="s">
        <v>2741</v>
      </c>
      <c r="I331" s="12">
        <v>13.0</v>
      </c>
      <c r="J331" s="12" t="s">
        <v>2742</v>
      </c>
      <c r="K331" s="82">
        <v>6.0</v>
      </c>
      <c r="L331" s="12" t="s">
        <v>1554</v>
      </c>
      <c r="M331" s="12" t="s">
        <v>2743</v>
      </c>
      <c r="N331" s="83" t="s">
        <v>2744</v>
      </c>
      <c r="O331" s="5"/>
      <c r="P331" s="5"/>
      <c r="Q331" s="5"/>
      <c r="R331" s="5"/>
      <c r="S331" s="80"/>
      <c r="T331" s="26" t="s">
        <v>2006</v>
      </c>
      <c r="U331" s="34" t="s">
        <v>22</v>
      </c>
      <c r="V331" s="81"/>
      <c r="W331" s="81"/>
      <c r="X331" s="5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</row>
    <row r="332" ht="12.0" hidden="1" customHeight="1">
      <c r="A332" s="12" t="s">
        <v>2745</v>
      </c>
      <c r="B332" s="12">
        <v>2.0</v>
      </c>
      <c r="C332" s="26" t="s">
        <v>1634</v>
      </c>
      <c r="D332" s="78" t="s">
        <v>2058</v>
      </c>
      <c r="E332" s="78" t="s">
        <v>2001</v>
      </c>
      <c r="F332" s="5" t="s">
        <v>1141</v>
      </c>
      <c r="G332" s="26" t="s">
        <v>1531</v>
      </c>
      <c r="H332" s="12" t="s">
        <v>2746</v>
      </c>
      <c r="I332" s="12">
        <v>1.0</v>
      </c>
      <c r="J332" s="5"/>
      <c r="K332" s="79"/>
      <c r="L332" s="5" t="s">
        <v>2429</v>
      </c>
      <c r="M332" s="5" t="s">
        <v>2429</v>
      </c>
      <c r="N332" s="83" t="s">
        <v>2702</v>
      </c>
      <c r="O332" s="5"/>
      <c r="P332" s="5"/>
      <c r="Q332" s="5"/>
      <c r="R332" s="5"/>
      <c r="S332" s="80"/>
      <c r="T332" s="42" t="s">
        <v>2003</v>
      </c>
      <c r="U332" s="49" t="s">
        <v>22</v>
      </c>
      <c r="V332" s="90"/>
      <c r="W332" s="90"/>
      <c r="X332" s="5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</row>
    <row r="333" ht="12.0" hidden="1" customHeight="1">
      <c r="A333" s="12" t="s">
        <v>2745</v>
      </c>
      <c r="B333" s="5">
        <v>3.0</v>
      </c>
      <c r="C333" s="26" t="s">
        <v>1634</v>
      </c>
      <c r="D333" s="78" t="s">
        <v>2058</v>
      </c>
      <c r="E333" s="78" t="s">
        <v>2001</v>
      </c>
      <c r="F333" s="5" t="s">
        <v>1141</v>
      </c>
      <c r="G333" s="26" t="s">
        <v>1531</v>
      </c>
      <c r="H333" s="12" t="s">
        <v>2746</v>
      </c>
      <c r="I333" s="5">
        <v>2.0</v>
      </c>
      <c r="J333" s="5"/>
      <c r="K333" s="79"/>
      <c r="L333" s="5" t="s">
        <v>2429</v>
      </c>
      <c r="M333" s="5" t="s">
        <v>2429</v>
      </c>
      <c r="N333" s="83" t="s">
        <v>2747</v>
      </c>
      <c r="O333" s="5"/>
      <c r="P333" s="5"/>
      <c r="Q333" s="5"/>
      <c r="R333" s="5"/>
      <c r="S333" s="80"/>
      <c r="T333" s="42" t="s">
        <v>2003</v>
      </c>
      <c r="U333" s="49" t="s">
        <v>22</v>
      </c>
      <c r="V333" s="90"/>
      <c r="W333" s="90"/>
      <c r="X333" s="5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</row>
    <row r="334" ht="12.0" hidden="1" customHeight="1">
      <c r="A334" s="12" t="s">
        <v>2745</v>
      </c>
      <c r="B334" s="12">
        <v>4.0</v>
      </c>
      <c r="C334" s="26" t="s">
        <v>1634</v>
      </c>
      <c r="D334" s="78" t="s">
        <v>2058</v>
      </c>
      <c r="E334" s="78" t="s">
        <v>2001</v>
      </c>
      <c r="F334" s="5" t="s">
        <v>1141</v>
      </c>
      <c r="G334" s="26" t="s">
        <v>1531</v>
      </c>
      <c r="H334" s="12" t="s">
        <v>2746</v>
      </c>
      <c r="I334" s="12">
        <v>4.0</v>
      </c>
      <c r="J334" s="5"/>
      <c r="K334" s="79"/>
      <c r="L334" s="5" t="s">
        <v>2429</v>
      </c>
      <c r="M334" s="5" t="s">
        <v>2429</v>
      </c>
      <c r="N334" s="83" t="s">
        <v>2748</v>
      </c>
      <c r="O334" s="5"/>
      <c r="P334" s="5"/>
      <c r="Q334" s="5"/>
      <c r="R334" s="5"/>
      <c r="S334" s="80"/>
      <c r="T334" s="42" t="s">
        <v>2003</v>
      </c>
      <c r="U334" s="49" t="s">
        <v>22</v>
      </c>
      <c r="V334" s="90"/>
      <c r="W334" s="90"/>
      <c r="X334" s="5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</row>
    <row r="335" ht="12.0" hidden="1" customHeight="1">
      <c r="A335" s="12" t="s">
        <v>2745</v>
      </c>
      <c r="B335" s="12">
        <v>5.0</v>
      </c>
      <c r="C335" s="26" t="s">
        <v>1634</v>
      </c>
      <c r="D335" s="78" t="s">
        <v>2058</v>
      </c>
      <c r="E335" s="78" t="s">
        <v>2001</v>
      </c>
      <c r="F335" s="5" t="s">
        <v>1141</v>
      </c>
      <c r="G335" s="26" t="s">
        <v>1531</v>
      </c>
      <c r="H335" s="12" t="s">
        <v>2746</v>
      </c>
      <c r="I335" s="12">
        <v>7.0</v>
      </c>
      <c r="J335" s="12"/>
      <c r="K335" s="82"/>
      <c r="L335" s="5" t="s">
        <v>2429</v>
      </c>
      <c r="M335" s="5" t="s">
        <v>2429</v>
      </c>
      <c r="N335" s="83" t="s">
        <v>2749</v>
      </c>
      <c r="O335" s="5"/>
      <c r="P335" s="5"/>
      <c r="Q335" s="5"/>
      <c r="R335" s="5"/>
      <c r="S335" s="80"/>
      <c r="T335" s="42" t="s">
        <v>2003</v>
      </c>
      <c r="U335" s="49" t="s">
        <v>22</v>
      </c>
      <c r="V335" s="90"/>
      <c r="W335" s="90"/>
      <c r="X335" s="5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</row>
    <row r="336" ht="12.0" hidden="1" customHeight="1">
      <c r="A336" s="12" t="s">
        <v>2745</v>
      </c>
      <c r="B336" s="12">
        <v>7.0</v>
      </c>
      <c r="C336" s="26" t="s">
        <v>1634</v>
      </c>
      <c r="D336" s="78" t="s">
        <v>2058</v>
      </c>
      <c r="E336" s="78" t="s">
        <v>2001</v>
      </c>
      <c r="F336" s="5" t="s">
        <v>1141</v>
      </c>
      <c r="G336" s="26" t="s">
        <v>1531</v>
      </c>
      <c r="H336" s="12" t="s">
        <v>2746</v>
      </c>
      <c r="I336" s="12">
        <v>10.0</v>
      </c>
      <c r="J336" s="5"/>
      <c r="K336" s="79"/>
      <c r="L336" s="5" t="s">
        <v>2429</v>
      </c>
      <c r="M336" s="5" t="s">
        <v>2429</v>
      </c>
      <c r="N336" s="83" t="s">
        <v>2750</v>
      </c>
      <c r="O336" s="5"/>
      <c r="P336" s="5"/>
      <c r="Q336" s="5"/>
      <c r="R336" s="5"/>
      <c r="S336" s="80"/>
      <c r="T336" s="42" t="s">
        <v>2003</v>
      </c>
      <c r="U336" s="49" t="s">
        <v>22</v>
      </c>
      <c r="V336" s="90"/>
      <c r="W336" s="90"/>
      <c r="X336" s="5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</row>
    <row r="337" ht="12.0" hidden="1" customHeight="1">
      <c r="A337" s="12" t="s">
        <v>2745</v>
      </c>
      <c r="B337" s="12">
        <v>10.0</v>
      </c>
      <c r="C337" s="26" t="s">
        <v>1634</v>
      </c>
      <c r="D337" s="78" t="s">
        <v>2058</v>
      </c>
      <c r="E337" s="78" t="s">
        <v>2001</v>
      </c>
      <c r="F337" s="5" t="s">
        <v>1141</v>
      </c>
      <c r="G337" s="26" t="s">
        <v>1531</v>
      </c>
      <c r="H337" s="12" t="s">
        <v>2057</v>
      </c>
      <c r="I337" s="12">
        <v>584.0</v>
      </c>
      <c r="J337" s="5"/>
      <c r="K337" s="79"/>
      <c r="L337" s="5" t="s">
        <v>2429</v>
      </c>
      <c r="M337" s="12" t="s">
        <v>2222</v>
      </c>
      <c r="N337" s="83" t="s">
        <v>2751</v>
      </c>
      <c r="O337" s="5"/>
      <c r="P337" s="5"/>
      <c r="Q337" s="5"/>
      <c r="R337" s="5"/>
      <c r="S337" s="80"/>
      <c r="T337" s="42" t="s">
        <v>2003</v>
      </c>
      <c r="U337" s="49" t="s">
        <v>22</v>
      </c>
      <c r="V337" s="90"/>
      <c r="W337" s="90"/>
      <c r="X337" s="5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</row>
    <row r="338" ht="12.0" hidden="1" customHeight="1">
      <c r="A338" s="12" t="s">
        <v>2745</v>
      </c>
      <c r="B338" s="12">
        <v>12.0</v>
      </c>
      <c r="C338" s="26" t="s">
        <v>1634</v>
      </c>
      <c r="D338" s="78" t="s">
        <v>2058</v>
      </c>
      <c r="E338" s="78" t="s">
        <v>2001</v>
      </c>
      <c r="F338" s="5" t="s">
        <v>1141</v>
      </c>
      <c r="G338" s="26" t="s">
        <v>1531</v>
      </c>
      <c r="H338" s="12" t="s">
        <v>2746</v>
      </c>
      <c r="I338" s="12">
        <v>17.0</v>
      </c>
      <c r="J338" s="5"/>
      <c r="K338" s="79"/>
      <c r="L338" s="5" t="s">
        <v>2429</v>
      </c>
      <c r="M338" s="5" t="s">
        <v>2429</v>
      </c>
      <c r="N338" s="83" t="s">
        <v>2752</v>
      </c>
      <c r="O338" s="5"/>
      <c r="P338" s="5"/>
      <c r="Q338" s="5"/>
      <c r="R338" s="5"/>
      <c r="S338" s="80"/>
      <c r="T338" s="42" t="s">
        <v>2003</v>
      </c>
      <c r="U338" s="49" t="s">
        <v>22</v>
      </c>
      <c r="V338" s="90"/>
      <c r="W338" s="90"/>
      <c r="X338" s="5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</row>
    <row r="339" ht="12.0" hidden="1" customHeight="1">
      <c r="A339" s="12" t="s">
        <v>2745</v>
      </c>
      <c r="B339" s="12">
        <v>14.0</v>
      </c>
      <c r="C339" s="26" t="s">
        <v>1634</v>
      </c>
      <c r="D339" s="78" t="s">
        <v>2058</v>
      </c>
      <c r="E339" s="78" t="s">
        <v>2001</v>
      </c>
      <c r="F339" s="5" t="s">
        <v>1141</v>
      </c>
      <c r="G339" s="26" t="s">
        <v>1531</v>
      </c>
      <c r="H339" s="12" t="s">
        <v>2746</v>
      </c>
      <c r="I339" s="12">
        <v>149.0</v>
      </c>
      <c r="J339" s="12" t="s">
        <v>2064</v>
      </c>
      <c r="K339" s="82">
        <v>1.0</v>
      </c>
      <c r="L339" s="12" t="s">
        <v>2065</v>
      </c>
      <c r="M339" s="12" t="s">
        <v>2066</v>
      </c>
      <c r="N339" s="83" t="s">
        <v>2753</v>
      </c>
      <c r="O339" s="5"/>
      <c r="P339" s="5"/>
      <c r="Q339" s="5"/>
      <c r="R339" s="5"/>
      <c r="S339" s="80"/>
      <c r="T339" s="42" t="s">
        <v>2003</v>
      </c>
      <c r="U339" s="49" t="s">
        <v>22</v>
      </c>
      <c r="V339" s="90"/>
      <c r="W339" s="90"/>
      <c r="X339" s="5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</row>
    <row r="340" ht="12.0" hidden="1" customHeight="1">
      <c r="A340" s="12" t="s">
        <v>2745</v>
      </c>
      <c r="B340" s="12">
        <v>16.0</v>
      </c>
      <c r="C340" s="26" t="s">
        <v>1634</v>
      </c>
      <c r="D340" s="78" t="s">
        <v>2058</v>
      </c>
      <c r="E340" s="78" t="s">
        <v>2001</v>
      </c>
      <c r="F340" s="5" t="s">
        <v>1141</v>
      </c>
      <c r="G340" s="26" t="s">
        <v>1531</v>
      </c>
      <c r="H340" s="12" t="s">
        <v>2057</v>
      </c>
      <c r="I340" s="12">
        <v>759.0</v>
      </c>
      <c r="J340" s="12" t="s">
        <v>2064</v>
      </c>
      <c r="K340" s="82">
        <v>3.0</v>
      </c>
      <c r="L340" s="12" t="s">
        <v>2065</v>
      </c>
      <c r="M340" s="12" t="s">
        <v>2066</v>
      </c>
      <c r="N340" s="93" t="s">
        <v>2754</v>
      </c>
      <c r="O340" s="5"/>
      <c r="P340" s="5"/>
      <c r="Q340" s="5"/>
      <c r="R340" s="5"/>
      <c r="S340" s="80"/>
      <c r="T340" s="42" t="s">
        <v>2003</v>
      </c>
      <c r="U340" s="49" t="s">
        <v>22</v>
      </c>
      <c r="V340" s="90"/>
      <c r="W340" s="90"/>
      <c r="X340" s="5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</row>
    <row r="341" ht="12.0" hidden="1" customHeight="1">
      <c r="A341" s="12" t="s">
        <v>2745</v>
      </c>
      <c r="B341" s="12">
        <v>17.0</v>
      </c>
      <c r="C341" s="26" t="s">
        <v>1634</v>
      </c>
      <c r="D341" s="78" t="s">
        <v>2058</v>
      </c>
      <c r="E341" s="78" t="s">
        <v>2001</v>
      </c>
      <c r="F341" s="5" t="s">
        <v>1141</v>
      </c>
      <c r="G341" s="26" t="s">
        <v>1531</v>
      </c>
      <c r="H341" s="12" t="s">
        <v>2755</v>
      </c>
      <c r="I341" s="12">
        <v>94.0</v>
      </c>
      <c r="J341" s="12" t="s">
        <v>2064</v>
      </c>
      <c r="K341" s="82">
        <v>4.0</v>
      </c>
      <c r="L341" s="12" t="s">
        <v>2065</v>
      </c>
      <c r="M341" s="12" t="s">
        <v>2066</v>
      </c>
      <c r="N341" s="83" t="s">
        <v>2756</v>
      </c>
      <c r="O341" s="5"/>
      <c r="P341" s="5"/>
      <c r="Q341" s="5"/>
      <c r="R341" s="5"/>
      <c r="S341" s="80"/>
      <c r="T341" s="42" t="s">
        <v>2003</v>
      </c>
      <c r="U341" s="49" t="s">
        <v>22</v>
      </c>
      <c r="V341" s="90"/>
      <c r="W341" s="90"/>
      <c r="X341" s="5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</row>
    <row r="342" ht="12.0" hidden="1" customHeight="1">
      <c r="A342" s="12" t="s">
        <v>2745</v>
      </c>
      <c r="B342" s="12">
        <v>18.0</v>
      </c>
      <c r="C342" s="26" t="s">
        <v>1634</v>
      </c>
      <c r="D342" s="78" t="s">
        <v>2058</v>
      </c>
      <c r="E342" s="78" t="s">
        <v>2001</v>
      </c>
      <c r="F342" s="5" t="s">
        <v>1141</v>
      </c>
      <c r="G342" s="26" t="s">
        <v>1531</v>
      </c>
      <c r="H342" s="12" t="s">
        <v>2757</v>
      </c>
      <c r="I342" s="12">
        <v>571.0</v>
      </c>
      <c r="J342" s="5"/>
      <c r="K342" s="79"/>
      <c r="L342" s="12" t="s">
        <v>2758</v>
      </c>
      <c r="M342" s="12" t="s">
        <v>2759</v>
      </c>
      <c r="N342" s="83" t="s">
        <v>2760</v>
      </c>
      <c r="O342" s="5"/>
      <c r="P342" s="5"/>
      <c r="Q342" s="5"/>
      <c r="R342" s="5"/>
      <c r="S342" s="80"/>
      <c r="T342" s="42" t="s">
        <v>2003</v>
      </c>
      <c r="U342" s="49" t="s">
        <v>22</v>
      </c>
      <c r="V342" s="90"/>
      <c r="W342" s="90"/>
      <c r="X342" s="5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</row>
    <row r="343" ht="12.0" hidden="1" customHeight="1">
      <c r="A343" s="12" t="s">
        <v>2745</v>
      </c>
      <c r="B343" s="12">
        <v>19.0</v>
      </c>
      <c r="C343" s="26" t="s">
        <v>1634</v>
      </c>
      <c r="D343" s="78" t="s">
        <v>2058</v>
      </c>
      <c r="E343" s="78" t="s">
        <v>2001</v>
      </c>
      <c r="F343" s="5" t="s">
        <v>1141</v>
      </c>
      <c r="G343" s="26" t="s">
        <v>1531</v>
      </c>
      <c r="H343" s="12" t="s">
        <v>2746</v>
      </c>
      <c r="I343" s="12">
        <v>146.0</v>
      </c>
      <c r="J343" s="5"/>
      <c r="K343" s="79"/>
      <c r="L343" s="12" t="s">
        <v>1759</v>
      </c>
      <c r="M343" s="12" t="s">
        <v>1759</v>
      </c>
      <c r="N343" s="83" t="s">
        <v>2761</v>
      </c>
      <c r="O343" s="5"/>
      <c r="P343" s="5"/>
      <c r="Q343" s="5"/>
      <c r="R343" s="5"/>
      <c r="S343" s="80"/>
      <c r="T343" s="42" t="s">
        <v>2003</v>
      </c>
      <c r="U343" s="49" t="s">
        <v>22</v>
      </c>
      <c r="V343" s="90"/>
      <c r="W343" s="90"/>
      <c r="X343" s="5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</row>
    <row r="344" ht="12.0" hidden="1" customHeight="1">
      <c r="A344" s="12" t="s">
        <v>2745</v>
      </c>
      <c r="B344" s="12">
        <v>20.0</v>
      </c>
      <c r="C344" s="26" t="s">
        <v>1634</v>
      </c>
      <c r="D344" s="78" t="s">
        <v>2058</v>
      </c>
      <c r="E344" s="78" t="s">
        <v>2001</v>
      </c>
      <c r="F344" s="5" t="s">
        <v>1141</v>
      </c>
      <c r="G344" s="26" t="s">
        <v>1531</v>
      </c>
      <c r="H344" s="12" t="s">
        <v>2746</v>
      </c>
      <c r="I344" s="12">
        <v>148.0</v>
      </c>
      <c r="J344" s="5"/>
      <c r="K344" s="79"/>
      <c r="L344" s="12" t="s">
        <v>1759</v>
      </c>
      <c r="M344" s="12" t="s">
        <v>2762</v>
      </c>
      <c r="N344" s="83" t="s">
        <v>2763</v>
      </c>
      <c r="O344" s="5"/>
      <c r="P344" s="5"/>
      <c r="Q344" s="5"/>
      <c r="R344" s="5"/>
      <c r="S344" s="80"/>
      <c r="T344" s="42" t="s">
        <v>2003</v>
      </c>
      <c r="U344" s="49" t="s">
        <v>22</v>
      </c>
      <c r="V344" s="90"/>
      <c r="W344" s="90"/>
      <c r="X344" s="5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</row>
    <row r="345" ht="12.0" hidden="1" customHeight="1">
      <c r="A345" s="5" t="s">
        <v>2144</v>
      </c>
      <c r="B345" s="12">
        <v>3.0</v>
      </c>
      <c r="C345" s="26" t="s">
        <v>1634</v>
      </c>
      <c r="D345" s="78" t="s">
        <v>2091</v>
      </c>
      <c r="E345" s="78" t="s">
        <v>2001</v>
      </c>
      <c r="F345" s="5" t="s">
        <v>1141</v>
      </c>
      <c r="G345" s="26" t="s">
        <v>1531</v>
      </c>
      <c r="H345" s="5" t="s">
        <v>2144</v>
      </c>
      <c r="I345" s="12">
        <v>48.0</v>
      </c>
      <c r="J345" s="5"/>
      <c r="K345" s="79"/>
      <c r="L345" s="12" t="s">
        <v>2399</v>
      </c>
      <c r="M345" s="5" t="s">
        <v>2764</v>
      </c>
      <c r="N345" s="92" t="s">
        <v>2765</v>
      </c>
      <c r="O345" s="5"/>
      <c r="P345" s="5"/>
      <c r="Q345" s="5"/>
      <c r="R345" s="5"/>
      <c r="S345" s="80"/>
      <c r="T345" s="26" t="s">
        <v>2006</v>
      </c>
      <c r="U345" s="34" t="s">
        <v>22</v>
      </c>
      <c r="V345" s="81"/>
      <c r="W345" s="81"/>
      <c r="X345" s="5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</row>
    <row r="346" ht="12.0" hidden="1" customHeight="1">
      <c r="A346" s="5" t="s">
        <v>2144</v>
      </c>
      <c r="B346" s="12">
        <v>5.0</v>
      </c>
      <c r="C346" s="26" t="s">
        <v>1634</v>
      </c>
      <c r="D346" s="78" t="s">
        <v>2091</v>
      </c>
      <c r="E346" s="78" t="s">
        <v>2001</v>
      </c>
      <c r="F346" s="5" t="s">
        <v>1141</v>
      </c>
      <c r="G346" s="26" t="s">
        <v>1531</v>
      </c>
      <c r="H346" s="5" t="s">
        <v>2144</v>
      </c>
      <c r="I346" s="12">
        <v>32.0</v>
      </c>
      <c r="J346" s="5"/>
      <c r="K346" s="79"/>
      <c r="L346" s="12" t="s">
        <v>2766</v>
      </c>
      <c r="M346" s="5" t="s">
        <v>2764</v>
      </c>
      <c r="N346" s="83" t="s">
        <v>2767</v>
      </c>
      <c r="O346" s="5"/>
      <c r="P346" s="5"/>
      <c r="Q346" s="5"/>
      <c r="R346" s="5"/>
      <c r="S346" s="80"/>
      <c r="T346" s="26" t="s">
        <v>2006</v>
      </c>
      <c r="U346" s="34" t="s">
        <v>22</v>
      </c>
      <c r="V346" s="81"/>
      <c r="W346" s="81"/>
      <c r="X346" s="5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</row>
    <row r="347" ht="12.0" hidden="1" customHeight="1">
      <c r="A347" s="5" t="s">
        <v>2144</v>
      </c>
      <c r="B347" s="12">
        <v>7.0</v>
      </c>
      <c r="C347" s="26" t="s">
        <v>1634</v>
      </c>
      <c r="D347" s="78" t="s">
        <v>2091</v>
      </c>
      <c r="E347" s="78" t="s">
        <v>2001</v>
      </c>
      <c r="F347" s="5" t="s">
        <v>1141</v>
      </c>
      <c r="G347" s="26" t="s">
        <v>1531</v>
      </c>
      <c r="H347" s="5" t="s">
        <v>2144</v>
      </c>
      <c r="I347" s="12">
        <v>33.0</v>
      </c>
      <c r="J347" s="5"/>
      <c r="K347" s="79"/>
      <c r="L347" s="12" t="s">
        <v>1771</v>
      </c>
      <c r="M347" s="5" t="s">
        <v>2764</v>
      </c>
      <c r="N347" s="83" t="s">
        <v>2768</v>
      </c>
      <c r="O347" s="5"/>
      <c r="P347" s="5"/>
      <c r="Q347" s="5"/>
      <c r="R347" s="5"/>
      <c r="S347" s="80"/>
      <c r="T347" s="26" t="s">
        <v>2006</v>
      </c>
      <c r="U347" s="34" t="s">
        <v>22</v>
      </c>
      <c r="V347" s="81"/>
      <c r="W347" s="81"/>
      <c r="X347" s="5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</row>
    <row r="348" ht="12.0" hidden="1" customHeight="1">
      <c r="A348" s="5" t="s">
        <v>2144</v>
      </c>
      <c r="B348" s="12">
        <v>9.0</v>
      </c>
      <c r="C348" s="26" t="s">
        <v>1634</v>
      </c>
      <c r="D348" s="78" t="s">
        <v>2091</v>
      </c>
      <c r="E348" s="78" t="s">
        <v>2001</v>
      </c>
      <c r="F348" s="5" t="s">
        <v>1141</v>
      </c>
      <c r="G348" s="26" t="s">
        <v>1531</v>
      </c>
      <c r="H348" s="5" t="s">
        <v>2144</v>
      </c>
      <c r="I348" s="12">
        <v>44.0</v>
      </c>
      <c r="J348" s="5"/>
      <c r="K348" s="79"/>
      <c r="L348" s="12" t="s">
        <v>2766</v>
      </c>
      <c r="M348" s="12" t="s">
        <v>2769</v>
      </c>
      <c r="N348" s="83" t="s">
        <v>2770</v>
      </c>
      <c r="O348" s="5"/>
      <c r="P348" s="5"/>
      <c r="Q348" s="5"/>
      <c r="R348" s="5"/>
      <c r="S348" s="80"/>
      <c r="T348" s="26" t="s">
        <v>2006</v>
      </c>
      <c r="U348" s="34" t="s">
        <v>22</v>
      </c>
      <c r="V348" s="81"/>
      <c r="W348" s="81"/>
      <c r="X348" s="5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</row>
    <row r="349" ht="12.0" hidden="1" customHeight="1">
      <c r="A349" s="5" t="s">
        <v>2144</v>
      </c>
      <c r="B349" s="12">
        <v>10.0</v>
      </c>
      <c r="C349" s="26" t="s">
        <v>1634</v>
      </c>
      <c r="D349" s="78" t="s">
        <v>2091</v>
      </c>
      <c r="E349" s="78" t="s">
        <v>2001</v>
      </c>
      <c r="F349" s="5" t="s">
        <v>1141</v>
      </c>
      <c r="G349" s="26" t="s">
        <v>1531</v>
      </c>
      <c r="H349" s="5" t="s">
        <v>2144</v>
      </c>
      <c r="I349" s="12">
        <v>46.0</v>
      </c>
      <c r="J349" s="5"/>
      <c r="K349" s="79"/>
      <c r="L349" s="12" t="s">
        <v>2726</v>
      </c>
      <c r="M349" s="5" t="s">
        <v>2764</v>
      </c>
      <c r="N349" s="92" t="s">
        <v>2771</v>
      </c>
      <c r="O349" s="5"/>
      <c r="P349" s="5"/>
      <c r="Q349" s="5"/>
      <c r="R349" s="5"/>
      <c r="S349" s="80"/>
      <c r="T349" s="26" t="s">
        <v>2006</v>
      </c>
      <c r="U349" s="34" t="s">
        <v>22</v>
      </c>
      <c r="V349" s="81"/>
      <c r="W349" s="81"/>
      <c r="X349" s="5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</row>
    <row r="350" ht="12.0" hidden="1" customHeight="1">
      <c r="A350" s="5" t="s">
        <v>2144</v>
      </c>
      <c r="B350" s="12">
        <v>12.0</v>
      </c>
      <c r="C350" s="26" t="s">
        <v>1634</v>
      </c>
      <c r="D350" s="78" t="s">
        <v>2091</v>
      </c>
      <c r="E350" s="78" t="s">
        <v>2001</v>
      </c>
      <c r="F350" s="5" t="s">
        <v>1141</v>
      </c>
      <c r="G350" s="26" t="s">
        <v>1531</v>
      </c>
      <c r="H350" s="5" t="s">
        <v>2144</v>
      </c>
      <c r="I350" s="12">
        <v>52.0</v>
      </c>
      <c r="J350" s="5"/>
      <c r="K350" s="79"/>
      <c r="L350" s="12" t="s">
        <v>1771</v>
      </c>
      <c r="M350" s="12" t="s">
        <v>2769</v>
      </c>
      <c r="N350" s="83" t="s">
        <v>2772</v>
      </c>
      <c r="O350" s="5"/>
      <c r="P350" s="5"/>
      <c r="Q350" s="5"/>
      <c r="R350" s="5"/>
      <c r="S350" s="80"/>
      <c r="T350" s="26" t="s">
        <v>2006</v>
      </c>
      <c r="U350" s="34" t="s">
        <v>22</v>
      </c>
      <c r="V350" s="81"/>
      <c r="W350" s="81"/>
      <c r="X350" s="5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</row>
    <row r="351" ht="12.0" customHeight="1">
      <c r="A351" s="5" t="s">
        <v>2144</v>
      </c>
      <c r="B351" s="12">
        <v>14.0</v>
      </c>
      <c r="C351" s="26" t="s">
        <v>1634</v>
      </c>
      <c r="D351" s="78" t="s">
        <v>2091</v>
      </c>
      <c r="E351" s="78" t="s">
        <v>2059</v>
      </c>
      <c r="F351" s="5" t="s">
        <v>1141</v>
      </c>
      <c r="G351" s="26" t="s">
        <v>1531</v>
      </c>
      <c r="H351" s="5" t="s">
        <v>2144</v>
      </c>
      <c r="I351" s="12">
        <v>55.0</v>
      </c>
      <c r="J351" s="12" t="s">
        <v>2773</v>
      </c>
      <c r="K351" s="82">
        <v>2.0</v>
      </c>
      <c r="L351" s="12" t="s">
        <v>2774</v>
      </c>
      <c r="M351" s="12" t="s">
        <v>2769</v>
      </c>
      <c r="N351" s="83" t="s">
        <v>2775</v>
      </c>
      <c r="O351" s="5"/>
      <c r="P351" s="5"/>
      <c r="Q351" s="5"/>
      <c r="R351" s="5"/>
      <c r="S351" s="80"/>
      <c r="T351" s="26" t="s">
        <v>2006</v>
      </c>
      <c r="U351" s="34" t="s">
        <v>22</v>
      </c>
      <c r="V351" s="81"/>
      <c r="W351" s="81"/>
      <c r="X351" s="5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</row>
    <row r="352" ht="12.0" hidden="1" customHeight="1">
      <c r="A352" s="5" t="s">
        <v>2144</v>
      </c>
      <c r="B352" s="5">
        <v>15.0</v>
      </c>
      <c r="C352" s="26" t="s">
        <v>1634</v>
      </c>
      <c r="D352" s="78" t="s">
        <v>2091</v>
      </c>
      <c r="E352" s="78" t="s">
        <v>2001</v>
      </c>
      <c r="F352" s="5" t="s">
        <v>1141</v>
      </c>
      <c r="G352" s="26" t="s">
        <v>1531</v>
      </c>
      <c r="H352" s="5" t="s">
        <v>2144</v>
      </c>
      <c r="I352" s="5">
        <v>59.0</v>
      </c>
      <c r="J352" s="5"/>
      <c r="K352" s="79"/>
      <c r="L352" s="5" t="s">
        <v>2776</v>
      </c>
      <c r="M352" s="5" t="s">
        <v>2764</v>
      </c>
      <c r="N352" s="80" t="s">
        <v>2777</v>
      </c>
      <c r="O352" s="5"/>
      <c r="P352" s="5"/>
      <c r="Q352" s="5"/>
      <c r="R352" s="5"/>
      <c r="S352" s="80"/>
      <c r="T352" s="26" t="s">
        <v>2006</v>
      </c>
      <c r="U352" s="34" t="s">
        <v>22</v>
      </c>
      <c r="V352" s="81"/>
      <c r="W352" s="81"/>
      <c r="X352" s="5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</row>
    <row r="353" ht="12.0" hidden="1" customHeight="1">
      <c r="A353" s="5" t="s">
        <v>2144</v>
      </c>
      <c r="B353" s="5">
        <v>18.0</v>
      </c>
      <c r="C353" s="26" t="s">
        <v>1634</v>
      </c>
      <c r="D353" s="78" t="s">
        <v>2091</v>
      </c>
      <c r="E353" s="78" t="s">
        <v>2001</v>
      </c>
      <c r="F353" s="5" t="s">
        <v>1141</v>
      </c>
      <c r="G353" s="26" t="s">
        <v>1531</v>
      </c>
      <c r="H353" s="5" t="s">
        <v>2144</v>
      </c>
      <c r="I353" s="5">
        <v>22.0</v>
      </c>
      <c r="J353" s="5"/>
      <c r="K353" s="79"/>
      <c r="L353" s="5" t="s">
        <v>1771</v>
      </c>
      <c r="M353" s="5" t="s">
        <v>1402</v>
      </c>
      <c r="N353" s="80" t="s">
        <v>2778</v>
      </c>
      <c r="O353" s="5"/>
      <c r="P353" s="5"/>
      <c r="Q353" s="5"/>
      <c r="R353" s="5"/>
      <c r="S353" s="80"/>
      <c r="T353" s="26" t="s">
        <v>2006</v>
      </c>
      <c r="U353" s="34" t="s">
        <v>22</v>
      </c>
      <c r="V353" s="81"/>
      <c r="W353" s="81"/>
      <c r="X353" s="5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ht="12.0" hidden="1" customHeight="1">
      <c r="A354" s="12" t="s">
        <v>2779</v>
      </c>
      <c r="B354" s="12">
        <v>3.0</v>
      </c>
      <c r="C354" s="26" t="s">
        <v>1634</v>
      </c>
      <c r="D354" s="78" t="s">
        <v>2091</v>
      </c>
      <c r="E354" s="78" t="s">
        <v>2001</v>
      </c>
      <c r="F354" s="5" t="s">
        <v>1141</v>
      </c>
      <c r="G354" s="26" t="s">
        <v>1531</v>
      </c>
      <c r="H354" s="5" t="s">
        <v>2144</v>
      </c>
      <c r="I354" s="12">
        <v>4.0</v>
      </c>
      <c r="J354" s="5"/>
      <c r="K354" s="79"/>
      <c r="L354" s="12" t="s">
        <v>2570</v>
      </c>
      <c r="M354" s="12" t="s">
        <v>2309</v>
      </c>
      <c r="N354" s="83" t="s">
        <v>2780</v>
      </c>
      <c r="O354" s="5"/>
      <c r="P354" s="5"/>
      <c r="Q354" s="5"/>
      <c r="R354" s="5"/>
      <c r="S354" s="80"/>
      <c r="T354" s="42" t="s">
        <v>2003</v>
      </c>
      <c r="U354" s="34" t="s">
        <v>22</v>
      </c>
      <c r="V354" s="81"/>
      <c r="W354" s="81"/>
      <c r="X354" s="12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</row>
    <row r="355" ht="12.0" hidden="1" customHeight="1">
      <c r="A355" s="12" t="s">
        <v>2779</v>
      </c>
      <c r="B355" s="12">
        <v>4.0</v>
      </c>
      <c r="C355" s="26" t="s">
        <v>1634</v>
      </c>
      <c r="D355" s="78" t="s">
        <v>2091</v>
      </c>
      <c r="E355" s="78" t="s">
        <v>2001</v>
      </c>
      <c r="F355" s="5" t="s">
        <v>1141</v>
      </c>
      <c r="G355" s="26" t="s">
        <v>1531</v>
      </c>
      <c r="H355" s="5" t="s">
        <v>2144</v>
      </c>
      <c r="I355" s="12">
        <v>5.0</v>
      </c>
      <c r="J355" s="5"/>
      <c r="K355" s="79"/>
      <c r="L355" s="12" t="s">
        <v>2570</v>
      </c>
      <c r="M355" s="12" t="s">
        <v>2309</v>
      </c>
      <c r="N355" s="83" t="s">
        <v>2781</v>
      </c>
      <c r="O355" s="5"/>
      <c r="P355" s="5"/>
      <c r="Q355" s="5"/>
      <c r="R355" s="5"/>
      <c r="S355" s="80"/>
      <c r="T355" s="42" t="s">
        <v>2003</v>
      </c>
      <c r="U355" s="34" t="s">
        <v>22</v>
      </c>
      <c r="V355" s="81"/>
      <c r="W355" s="81"/>
      <c r="X355" s="12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</row>
    <row r="356" ht="12.0" hidden="1" customHeight="1">
      <c r="A356" s="12" t="s">
        <v>2779</v>
      </c>
      <c r="B356" s="12">
        <v>5.0</v>
      </c>
      <c r="C356" s="26" t="s">
        <v>1634</v>
      </c>
      <c r="D356" s="78" t="s">
        <v>2091</v>
      </c>
      <c r="E356" s="78" t="s">
        <v>2001</v>
      </c>
      <c r="F356" s="5" t="s">
        <v>1141</v>
      </c>
      <c r="G356" s="26" t="s">
        <v>1531</v>
      </c>
      <c r="H356" s="5" t="s">
        <v>2144</v>
      </c>
      <c r="I356" s="12">
        <v>10.0</v>
      </c>
      <c r="J356" s="5"/>
      <c r="K356" s="79"/>
      <c r="L356" s="12" t="s">
        <v>2570</v>
      </c>
      <c r="M356" s="12" t="s">
        <v>2309</v>
      </c>
      <c r="N356" s="83" t="s">
        <v>2782</v>
      </c>
      <c r="O356" s="5"/>
      <c r="P356" s="5"/>
      <c r="Q356" s="5"/>
      <c r="R356" s="5"/>
      <c r="S356" s="80"/>
      <c r="T356" s="42" t="s">
        <v>2003</v>
      </c>
      <c r="U356" s="34" t="s">
        <v>22</v>
      </c>
      <c r="V356" s="90">
        <v>3.5</v>
      </c>
      <c r="W356" s="81"/>
      <c r="X356" s="12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</row>
    <row r="357" ht="12.0" hidden="1" customHeight="1">
      <c r="A357" s="12" t="s">
        <v>2779</v>
      </c>
      <c r="B357" s="12">
        <v>6.0</v>
      </c>
      <c r="C357" s="26" t="s">
        <v>1634</v>
      </c>
      <c r="D357" s="78" t="s">
        <v>2091</v>
      </c>
      <c r="E357" s="78" t="s">
        <v>2001</v>
      </c>
      <c r="F357" s="5" t="s">
        <v>1141</v>
      </c>
      <c r="G357" s="26" t="s">
        <v>1531</v>
      </c>
      <c r="H357" s="5" t="s">
        <v>2144</v>
      </c>
      <c r="I357" s="12">
        <v>13.0</v>
      </c>
      <c r="J357" s="5"/>
      <c r="K357" s="79"/>
      <c r="L357" s="12" t="s">
        <v>2570</v>
      </c>
      <c r="M357" s="12" t="s">
        <v>2309</v>
      </c>
      <c r="N357" s="94" t="s">
        <v>2783</v>
      </c>
      <c r="O357" s="5"/>
      <c r="P357" s="5"/>
      <c r="Q357" s="5"/>
      <c r="R357" s="5"/>
      <c r="S357" s="80"/>
      <c r="T357" s="42" t="s">
        <v>2003</v>
      </c>
      <c r="U357" s="34" t="s">
        <v>22</v>
      </c>
      <c r="V357" s="81"/>
      <c r="W357" s="81"/>
      <c r="X357" s="12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</row>
    <row r="358" ht="12.0" hidden="1" customHeight="1">
      <c r="A358" s="12" t="s">
        <v>2779</v>
      </c>
      <c r="B358" s="12">
        <v>7.0</v>
      </c>
      <c r="C358" s="26" t="s">
        <v>1634</v>
      </c>
      <c r="D358" s="78" t="s">
        <v>2091</v>
      </c>
      <c r="E358" s="78" t="s">
        <v>2001</v>
      </c>
      <c r="F358" s="5" t="s">
        <v>1141</v>
      </c>
      <c r="G358" s="26" t="s">
        <v>1531</v>
      </c>
      <c r="H358" s="5" t="s">
        <v>2144</v>
      </c>
      <c r="I358" s="12">
        <v>27.0</v>
      </c>
      <c r="J358" s="5"/>
      <c r="K358" s="79"/>
      <c r="L358" s="12" t="s">
        <v>1771</v>
      </c>
      <c r="M358" s="12" t="s">
        <v>2769</v>
      </c>
      <c r="N358" s="83" t="s">
        <v>2784</v>
      </c>
      <c r="O358" s="5"/>
      <c r="P358" s="5"/>
      <c r="Q358" s="5"/>
      <c r="R358" s="5"/>
      <c r="S358" s="80"/>
      <c r="T358" s="42" t="s">
        <v>2003</v>
      </c>
      <c r="U358" s="34" t="s">
        <v>22</v>
      </c>
      <c r="V358" s="81"/>
      <c r="W358" s="81"/>
      <c r="X358" s="12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</row>
    <row r="359" ht="12.0" hidden="1" customHeight="1">
      <c r="A359" s="12" t="s">
        <v>2779</v>
      </c>
      <c r="B359" s="12">
        <v>12.0</v>
      </c>
      <c r="C359" s="26" t="s">
        <v>1634</v>
      </c>
      <c r="D359" s="78" t="s">
        <v>2091</v>
      </c>
      <c r="E359" s="78" t="s">
        <v>2001</v>
      </c>
      <c r="F359" s="5" t="s">
        <v>1141</v>
      </c>
      <c r="G359" s="26" t="s">
        <v>1531</v>
      </c>
      <c r="H359" s="5" t="s">
        <v>2144</v>
      </c>
      <c r="I359" s="12">
        <v>33.0</v>
      </c>
      <c r="J359" s="5"/>
      <c r="K359" s="79"/>
      <c r="L359" s="12" t="s">
        <v>1771</v>
      </c>
      <c r="M359" s="12" t="s">
        <v>2764</v>
      </c>
      <c r="N359" s="83" t="s">
        <v>2768</v>
      </c>
      <c r="O359" s="5"/>
      <c r="P359" s="5"/>
      <c r="Q359" s="5"/>
      <c r="R359" s="5"/>
      <c r="S359" s="80"/>
      <c r="T359" s="42" t="s">
        <v>2003</v>
      </c>
      <c r="U359" s="34" t="s">
        <v>22</v>
      </c>
      <c r="V359" s="81"/>
      <c r="W359" s="81"/>
      <c r="X359" s="12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</row>
    <row r="360" ht="12.0" hidden="1" customHeight="1">
      <c r="A360" s="12" t="s">
        <v>2779</v>
      </c>
      <c r="B360" s="12">
        <v>13.0</v>
      </c>
      <c r="C360" s="26" t="s">
        <v>1634</v>
      </c>
      <c r="D360" s="78" t="s">
        <v>2091</v>
      </c>
      <c r="E360" s="78" t="s">
        <v>2001</v>
      </c>
      <c r="F360" s="5" t="s">
        <v>1141</v>
      </c>
      <c r="G360" s="26" t="s">
        <v>1531</v>
      </c>
      <c r="H360" s="5" t="s">
        <v>2144</v>
      </c>
      <c r="I360" s="12">
        <v>3.0</v>
      </c>
      <c r="J360" s="5"/>
      <c r="K360" s="79"/>
      <c r="L360" s="12" t="s">
        <v>2570</v>
      </c>
      <c r="M360" s="12" t="s">
        <v>2309</v>
      </c>
      <c r="N360" s="83" t="s">
        <v>2785</v>
      </c>
      <c r="O360" s="5"/>
      <c r="P360" s="5"/>
      <c r="Q360" s="5"/>
      <c r="R360" s="5"/>
      <c r="S360" s="80"/>
      <c r="T360" s="42" t="s">
        <v>2003</v>
      </c>
      <c r="U360" s="34" t="s">
        <v>22</v>
      </c>
      <c r="V360" s="81"/>
      <c r="W360" s="81"/>
      <c r="X360" s="12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</row>
    <row r="361" ht="12.0" hidden="1" customHeight="1">
      <c r="A361" s="12" t="s">
        <v>2779</v>
      </c>
      <c r="B361" s="12">
        <v>14.0</v>
      </c>
      <c r="C361" s="26" t="s">
        <v>1634</v>
      </c>
      <c r="D361" s="78" t="s">
        <v>2091</v>
      </c>
      <c r="E361" s="78" t="s">
        <v>2001</v>
      </c>
      <c r="F361" s="5" t="s">
        <v>1141</v>
      </c>
      <c r="G361" s="26" t="s">
        <v>1531</v>
      </c>
      <c r="H361" s="5" t="s">
        <v>2144</v>
      </c>
      <c r="I361" s="12">
        <v>20.0</v>
      </c>
      <c r="J361" s="5"/>
      <c r="K361" s="79"/>
      <c r="L361" s="12" t="s">
        <v>2570</v>
      </c>
      <c r="M361" s="12" t="s">
        <v>2309</v>
      </c>
      <c r="N361" s="83" t="s">
        <v>2786</v>
      </c>
      <c r="O361" s="5"/>
      <c r="P361" s="5"/>
      <c r="Q361" s="5"/>
      <c r="R361" s="5"/>
      <c r="S361" s="80"/>
      <c r="T361" s="42" t="s">
        <v>2003</v>
      </c>
      <c r="U361" s="34" t="s">
        <v>22</v>
      </c>
      <c r="V361" s="81"/>
      <c r="W361" s="81"/>
      <c r="X361" s="12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</row>
    <row r="362" ht="12.0" hidden="1" customHeight="1">
      <c r="A362" s="112" t="s">
        <v>2787</v>
      </c>
      <c r="B362" s="112">
        <v>1.0</v>
      </c>
      <c r="C362" s="113" t="s">
        <v>1634</v>
      </c>
      <c r="D362" s="114" t="s">
        <v>2091</v>
      </c>
      <c r="E362" s="114" t="s">
        <v>2001</v>
      </c>
      <c r="F362" s="115" t="s">
        <v>1141</v>
      </c>
      <c r="G362" s="113" t="s">
        <v>1531</v>
      </c>
      <c r="H362" s="115" t="s">
        <v>2144</v>
      </c>
      <c r="I362" s="112">
        <v>47.0</v>
      </c>
      <c r="J362" s="115"/>
      <c r="K362" s="116"/>
      <c r="L362" s="112" t="s">
        <v>2788</v>
      </c>
      <c r="M362" s="112" t="s">
        <v>2769</v>
      </c>
      <c r="N362" s="117" t="s">
        <v>2789</v>
      </c>
      <c r="O362" s="115"/>
      <c r="P362" s="115"/>
      <c r="Q362" s="115"/>
      <c r="R362" s="115"/>
      <c r="S362" s="118"/>
      <c r="T362" s="113" t="s">
        <v>2006</v>
      </c>
      <c r="U362" s="119" t="s">
        <v>22</v>
      </c>
      <c r="V362" s="120"/>
      <c r="W362" s="120"/>
      <c r="X362" s="112" t="s">
        <v>2790</v>
      </c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</row>
    <row r="363" ht="12.0" customHeight="1">
      <c r="A363" s="5" t="s">
        <v>2791</v>
      </c>
      <c r="B363" s="5">
        <v>3.0</v>
      </c>
      <c r="C363" s="26" t="s">
        <v>1634</v>
      </c>
      <c r="D363" s="78" t="s">
        <v>2134</v>
      </c>
      <c r="E363" s="78" t="s">
        <v>2059</v>
      </c>
      <c r="F363" s="5" t="s">
        <v>1141</v>
      </c>
      <c r="G363" s="26" t="s">
        <v>1531</v>
      </c>
      <c r="H363" s="5" t="s">
        <v>2791</v>
      </c>
      <c r="I363" s="5">
        <v>3.0</v>
      </c>
      <c r="J363" s="12" t="s">
        <v>2792</v>
      </c>
      <c r="K363" s="79">
        <v>3.0</v>
      </c>
      <c r="L363" s="5" t="s">
        <v>2136</v>
      </c>
      <c r="M363" s="5" t="s">
        <v>2720</v>
      </c>
      <c r="N363" s="80" t="s">
        <v>2793</v>
      </c>
      <c r="O363" s="5"/>
      <c r="P363" s="5"/>
      <c r="Q363" s="5"/>
      <c r="R363" s="5"/>
      <c r="S363" s="80"/>
      <c r="T363" s="26" t="s">
        <v>2006</v>
      </c>
      <c r="U363" s="34" t="s">
        <v>22</v>
      </c>
      <c r="V363" s="81"/>
      <c r="W363" s="81"/>
      <c r="X363" s="5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</row>
    <row r="364" ht="12.0" customHeight="1">
      <c r="A364" s="5" t="s">
        <v>2791</v>
      </c>
      <c r="B364" s="5">
        <v>4.0</v>
      </c>
      <c r="C364" s="26" t="s">
        <v>1634</v>
      </c>
      <c r="D364" s="78" t="s">
        <v>2134</v>
      </c>
      <c r="E364" s="78" t="s">
        <v>2059</v>
      </c>
      <c r="F364" s="5" t="s">
        <v>1141</v>
      </c>
      <c r="G364" s="26" t="s">
        <v>1531</v>
      </c>
      <c r="H364" s="5" t="s">
        <v>2791</v>
      </c>
      <c r="I364" s="5">
        <v>4.0</v>
      </c>
      <c r="J364" s="12" t="s">
        <v>2792</v>
      </c>
      <c r="K364" s="79">
        <v>4.0</v>
      </c>
      <c r="L364" s="5" t="s">
        <v>2136</v>
      </c>
      <c r="M364" s="5" t="s">
        <v>2720</v>
      </c>
      <c r="N364" s="80" t="s">
        <v>2794</v>
      </c>
      <c r="O364" s="5"/>
      <c r="P364" s="5"/>
      <c r="Q364" s="5"/>
      <c r="R364" s="5"/>
      <c r="S364" s="80"/>
      <c r="T364" s="26" t="s">
        <v>2006</v>
      </c>
      <c r="U364" s="34" t="s">
        <v>22</v>
      </c>
      <c r="V364" s="81"/>
      <c r="W364" s="81"/>
      <c r="X364" s="5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</row>
    <row r="365" ht="12.0" customHeight="1">
      <c r="A365" s="5" t="s">
        <v>2791</v>
      </c>
      <c r="B365" s="5">
        <v>5.0</v>
      </c>
      <c r="C365" s="26" t="s">
        <v>1634</v>
      </c>
      <c r="D365" s="78" t="s">
        <v>2134</v>
      </c>
      <c r="E365" s="78" t="s">
        <v>2059</v>
      </c>
      <c r="F365" s="5" t="s">
        <v>1141</v>
      </c>
      <c r="G365" s="26" t="s">
        <v>1531</v>
      </c>
      <c r="H365" s="5" t="s">
        <v>2791</v>
      </c>
      <c r="I365" s="5">
        <v>5.0</v>
      </c>
      <c r="J365" s="12" t="s">
        <v>2792</v>
      </c>
      <c r="K365" s="79">
        <v>5.0</v>
      </c>
      <c r="L365" s="5" t="s">
        <v>2136</v>
      </c>
      <c r="M365" s="5" t="s">
        <v>2720</v>
      </c>
      <c r="N365" s="80" t="s">
        <v>2795</v>
      </c>
      <c r="O365" s="5"/>
      <c r="P365" s="5"/>
      <c r="Q365" s="5"/>
      <c r="R365" s="5"/>
      <c r="S365" s="80"/>
      <c r="T365" s="26" t="s">
        <v>2006</v>
      </c>
      <c r="U365" s="34" t="s">
        <v>22</v>
      </c>
      <c r="V365" s="81"/>
      <c r="W365" s="81"/>
      <c r="X365" s="5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</row>
    <row r="366" ht="12.0" customHeight="1">
      <c r="A366" s="5" t="s">
        <v>2791</v>
      </c>
      <c r="B366" s="5">
        <v>6.0</v>
      </c>
      <c r="C366" s="26" t="s">
        <v>1634</v>
      </c>
      <c r="D366" s="78" t="s">
        <v>2134</v>
      </c>
      <c r="E366" s="78" t="s">
        <v>2059</v>
      </c>
      <c r="F366" s="5" t="s">
        <v>1141</v>
      </c>
      <c r="G366" s="26" t="s">
        <v>1531</v>
      </c>
      <c r="H366" s="5" t="s">
        <v>2791</v>
      </c>
      <c r="I366" s="5">
        <v>6.0</v>
      </c>
      <c r="J366" s="12" t="s">
        <v>2792</v>
      </c>
      <c r="K366" s="79">
        <v>6.0</v>
      </c>
      <c r="L366" s="5" t="s">
        <v>2136</v>
      </c>
      <c r="M366" s="5" t="s">
        <v>2720</v>
      </c>
      <c r="N366" s="80" t="s">
        <v>2796</v>
      </c>
      <c r="O366" s="5"/>
      <c r="P366" s="5"/>
      <c r="Q366" s="5"/>
      <c r="R366" s="5"/>
      <c r="S366" s="80"/>
      <c r="T366" s="26" t="s">
        <v>2006</v>
      </c>
      <c r="U366" s="34" t="s">
        <v>22</v>
      </c>
      <c r="V366" s="81"/>
      <c r="W366" s="81"/>
      <c r="X366" s="5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</row>
    <row r="367" ht="12.0" customHeight="1">
      <c r="A367" s="5" t="s">
        <v>2791</v>
      </c>
      <c r="B367" s="5">
        <v>7.0</v>
      </c>
      <c r="C367" s="26" t="s">
        <v>1634</v>
      </c>
      <c r="D367" s="78" t="s">
        <v>2134</v>
      </c>
      <c r="E367" s="78" t="s">
        <v>2059</v>
      </c>
      <c r="F367" s="5" t="s">
        <v>1141</v>
      </c>
      <c r="G367" s="26" t="s">
        <v>1531</v>
      </c>
      <c r="H367" s="5" t="s">
        <v>2791</v>
      </c>
      <c r="I367" s="5">
        <v>7.0</v>
      </c>
      <c r="J367" s="12" t="s">
        <v>2792</v>
      </c>
      <c r="K367" s="79">
        <v>7.0</v>
      </c>
      <c r="L367" s="5" t="s">
        <v>2136</v>
      </c>
      <c r="M367" s="5" t="s">
        <v>2797</v>
      </c>
      <c r="N367" s="80" t="s">
        <v>2798</v>
      </c>
      <c r="O367" s="5"/>
      <c r="P367" s="5"/>
      <c r="Q367" s="5"/>
      <c r="R367" s="5"/>
      <c r="S367" s="80"/>
      <c r="T367" s="26" t="s">
        <v>2006</v>
      </c>
      <c r="U367" s="34" t="s">
        <v>22</v>
      </c>
      <c r="V367" s="81"/>
      <c r="W367" s="81"/>
      <c r="X367" s="5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</row>
    <row r="368" ht="12.0" hidden="1" customHeight="1">
      <c r="A368" s="5" t="s">
        <v>2791</v>
      </c>
      <c r="B368" s="5">
        <v>8.0</v>
      </c>
      <c r="C368" s="26" t="s">
        <v>1634</v>
      </c>
      <c r="D368" s="78" t="s">
        <v>2134</v>
      </c>
      <c r="E368" s="78" t="s">
        <v>2001</v>
      </c>
      <c r="F368" s="5" t="s">
        <v>1141</v>
      </c>
      <c r="G368" s="26" t="s">
        <v>1531</v>
      </c>
      <c r="H368" s="5" t="s">
        <v>2791</v>
      </c>
      <c r="I368" s="5">
        <v>8.0</v>
      </c>
      <c r="J368" s="12" t="s">
        <v>2799</v>
      </c>
      <c r="K368" s="82">
        <v>0.0</v>
      </c>
      <c r="L368" s="5" t="s">
        <v>2136</v>
      </c>
      <c r="M368" s="5" t="s">
        <v>2797</v>
      </c>
      <c r="N368" s="80" t="s">
        <v>2800</v>
      </c>
      <c r="O368" s="5"/>
      <c r="P368" s="5"/>
      <c r="Q368" s="5"/>
      <c r="R368" s="5"/>
      <c r="S368" s="80"/>
      <c r="T368" s="26" t="s">
        <v>2006</v>
      </c>
      <c r="U368" s="34" t="s">
        <v>22</v>
      </c>
      <c r="V368" s="81"/>
      <c r="W368" s="81"/>
      <c r="X368" s="5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</row>
    <row r="369" ht="12.0" hidden="1" customHeight="1">
      <c r="A369" s="5" t="s">
        <v>2791</v>
      </c>
      <c r="B369" s="5">
        <v>9.0</v>
      </c>
      <c r="C369" s="26" t="s">
        <v>1634</v>
      </c>
      <c r="D369" s="78" t="s">
        <v>2134</v>
      </c>
      <c r="E369" s="78" t="s">
        <v>2001</v>
      </c>
      <c r="F369" s="5" t="s">
        <v>1141</v>
      </c>
      <c r="G369" s="26" t="s">
        <v>1531</v>
      </c>
      <c r="H369" s="5" t="s">
        <v>2791</v>
      </c>
      <c r="I369" s="5">
        <v>9.0</v>
      </c>
      <c r="J369" s="12" t="s">
        <v>2799</v>
      </c>
      <c r="K369" s="82">
        <v>0.1</v>
      </c>
      <c r="L369" s="5" t="s">
        <v>2136</v>
      </c>
      <c r="M369" s="5" t="s">
        <v>2720</v>
      </c>
      <c r="N369" s="80" t="s">
        <v>2801</v>
      </c>
      <c r="O369" s="5"/>
      <c r="P369" s="5"/>
      <c r="Q369" s="5"/>
      <c r="R369" s="5"/>
      <c r="S369" s="80"/>
      <c r="T369" s="26" t="s">
        <v>2006</v>
      </c>
      <c r="U369" s="34" t="s">
        <v>22</v>
      </c>
      <c r="V369" s="81"/>
      <c r="W369" s="81"/>
      <c r="X369" s="5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</row>
    <row r="370" ht="12.0" hidden="1" customHeight="1">
      <c r="A370" s="5" t="s">
        <v>2791</v>
      </c>
      <c r="B370" s="5">
        <v>10.0</v>
      </c>
      <c r="C370" s="26" t="s">
        <v>1634</v>
      </c>
      <c r="D370" s="78" t="s">
        <v>2134</v>
      </c>
      <c r="E370" s="78" t="s">
        <v>2001</v>
      </c>
      <c r="F370" s="5" t="s">
        <v>1141</v>
      </c>
      <c r="G370" s="26" t="s">
        <v>1531</v>
      </c>
      <c r="H370" s="5" t="s">
        <v>2791</v>
      </c>
      <c r="I370" s="5">
        <v>10.0</v>
      </c>
      <c r="J370" s="12" t="s">
        <v>2799</v>
      </c>
      <c r="K370" s="82">
        <v>1.0</v>
      </c>
      <c r="L370" s="5" t="s">
        <v>2136</v>
      </c>
      <c r="M370" s="5" t="s">
        <v>2720</v>
      </c>
      <c r="N370" s="93" t="s">
        <v>2802</v>
      </c>
      <c r="O370" s="5"/>
      <c r="P370" s="5"/>
      <c r="Q370" s="5"/>
      <c r="R370" s="5"/>
      <c r="S370" s="80"/>
      <c r="T370" s="26" t="s">
        <v>2006</v>
      </c>
      <c r="U370" s="34" t="s">
        <v>22</v>
      </c>
      <c r="V370" s="81"/>
      <c r="W370" s="81"/>
      <c r="X370" s="5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</row>
    <row r="371" ht="12.0" hidden="1" customHeight="1">
      <c r="A371" s="5" t="s">
        <v>2791</v>
      </c>
      <c r="B371" s="12">
        <v>11.0</v>
      </c>
      <c r="C371" s="26" t="s">
        <v>1634</v>
      </c>
      <c r="D371" s="78" t="s">
        <v>2134</v>
      </c>
      <c r="E371" s="78" t="s">
        <v>2001</v>
      </c>
      <c r="F371" s="5" t="s">
        <v>1141</v>
      </c>
      <c r="G371" s="26" t="s">
        <v>1531</v>
      </c>
      <c r="H371" s="5" t="s">
        <v>2791</v>
      </c>
      <c r="I371" s="12">
        <v>11.0</v>
      </c>
      <c r="J371" s="12" t="s">
        <v>2799</v>
      </c>
      <c r="K371" s="82">
        <v>2.0</v>
      </c>
      <c r="L371" s="5" t="s">
        <v>2136</v>
      </c>
      <c r="M371" s="5" t="s">
        <v>2720</v>
      </c>
      <c r="N371" s="83" t="s">
        <v>2803</v>
      </c>
      <c r="O371" s="5"/>
      <c r="P371" s="5"/>
      <c r="Q371" s="5"/>
      <c r="R371" s="5"/>
      <c r="S371" s="80"/>
      <c r="T371" s="26" t="s">
        <v>2006</v>
      </c>
      <c r="U371" s="34" t="s">
        <v>22</v>
      </c>
      <c r="V371" s="81"/>
      <c r="W371" s="81"/>
      <c r="X371" s="5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</row>
    <row r="372" ht="12.0" hidden="1" customHeight="1">
      <c r="A372" s="5" t="s">
        <v>2791</v>
      </c>
      <c r="B372" s="12">
        <v>12.0</v>
      </c>
      <c r="C372" s="26" t="s">
        <v>1634</v>
      </c>
      <c r="D372" s="78" t="s">
        <v>2134</v>
      </c>
      <c r="E372" s="78" t="s">
        <v>2001</v>
      </c>
      <c r="F372" s="5" t="s">
        <v>1141</v>
      </c>
      <c r="G372" s="26" t="s">
        <v>1531</v>
      </c>
      <c r="H372" s="5" t="s">
        <v>2791</v>
      </c>
      <c r="I372" s="12">
        <v>12.0</v>
      </c>
      <c r="J372" s="12" t="s">
        <v>2799</v>
      </c>
      <c r="K372" s="82">
        <v>3.0</v>
      </c>
      <c r="L372" s="5" t="s">
        <v>2136</v>
      </c>
      <c r="M372" s="5" t="s">
        <v>2720</v>
      </c>
      <c r="N372" s="83" t="s">
        <v>2804</v>
      </c>
      <c r="O372" s="5"/>
      <c r="P372" s="5"/>
      <c r="Q372" s="5"/>
      <c r="R372" s="5"/>
      <c r="S372" s="80"/>
      <c r="T372" s="26" t="s">
        <v>2006</v>
      </c>
      <c r="U372" s="34" t="s">
        <v>22</v>
      </c>
      <c r="V372" s="81"/>
      <c r="W372" s="81"/>
      <c r="X372" s="5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</row>
    <row r="373" ht="12.0" hidden="1" customHeight="1">
      <c r="A373" s="5" t="s">
        <v>2791</v>
      </c>
      <c r="B373" s="12">
        <v>14.0</v>
      </c>
      <c r="C373" s="26" t="s">
        <v>1634</v>
      </c>
      <c r="D373" s="78" t="s">
        <v>2134</v>
      </c>
      <c r="E373" s="78" t="s">
        <v>2001</v>
      </c>
      <c r="F373" s="5" t="s">
        <v>1141</v>
      </c>
      <c r="G373" s="26" t="s">
        <v>1531</v>
      </c>
      <c r="H373" s="5" t="s">
        <v>2791</v>
      </c>
      <c r="I373" s="12">
        <v>14.0</v>
      </c>
      <c r="J373" s="12" t="s">
        <v>2805</v>
      </c>
      <c r="K373" s="82">
        <v>2.0</v>
      </c>
      <c r="L373" s="5" t="s">
        <v>2136</v>
      </c>
      <c r="M373" s="5" t="s">
        <v>2797</v>
      </c>
      <c r="N373" s="83" t="s">
        <v>2806</v>
      </c>
      <c r="O373" s="5"/>
      <c r="P373" s="5"/>
      <c r="Q373" s="5"/>
      <c r="R373" s="5"/>
      <c r="S373" s="80"/>
      <c r="T373" s="26" t="s">
        <v>2006</v>
      </c>
      <c r="U373" s="34" t="s">
        <v>22</v>
      </c>
      <c r="V373" s="81"/>
      <c r="W373" s="81"/>
      <c r="X373" s="5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</row>
    <row r="374" ht="12.0" hidden="1" customHeight="1">
      <c r="A374" s="5" t="s">
        <v>2791</v>
      </c>
      <c r="B374" s="12">
        <v>15.0</v>
      </c>
      <c r="C374" s="26" t="s">
        <v>1634</v>
      </c>
      <c r="D374" s="78" t="s">
        <v>2134</v>
      </c>
      <c r="E374" s="78" t="s">
        <v>2001</v>
      </c>
      <c r="F374" s="5" t="s">
        <v>1141</v>
      </c>
      <c r="G374" s="26" t="s">
        <v>1531</v>
      </c>
      <c r="H374" s="5" t="s">
        <v>2791</v>
      </c>
      <c r="I374" s="12">
        <v>15.0</v>
      </c>
      <c r="J374" s="12" t="s">
        <v>2805</v>
      </c>
      <c r="K374" s="82">
        <v>3.0</v>
      </c>
      <c r="L374" s="5" t="s">
        <v>2136</v>
      </c>
      <c r="M374" s="5" t="s">
        <v>2797</v>
      </c>
      <c r="N374" s="83" t="s">
        <v>2807</v>
      </c>
      <c r="O374" s="5"/>
      <c r="P374" s="5"/>
      <c r="Q374" s="5"/>
      <c r="R374" s="5"/>
      <c r="S374" s="80"/>
      <c r="T374" s="26" t="s">
        <v>2006</v>
      </c>
      <c r="U374" s="34" t="s">
        <v>22</v>
      </c>
      <c r="V374" s="81"/>
      <c r="W374" s="81"/>
      <c r="X374" s="5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</row>
    <row r="375" ht="12.0" hidden="1" customHeight="1">
      <c r="A375" s="78" t="s">
        <v>2808</v>
      </c>
      <c r="B375" s="12">
        <v>2.0</v>
      </c>
      <c r="C375" s="26" t="s">
        <v>1634</v>
      </c>
      <c r="D375" s="78" t="s">
        <v>1650</v>
      </c>
      <c r="E375" s="78" t="s">
        <v>2001</v>
      </c>
      <c r="F375" s="5" t="s">
        <v>1141</v>
      </c>
      <c r="G375" s="26" t="s">
        <v>1650</v>
      </c>
      <c r="H375" s="12" t="s">
        <v>2809</v>
      </c>
      <c r="I375" s="12">
        <v>35.0</v>
      </c>
      <c r="J375" s="12"/>
      <c r="K375" s="82"/>
      <c r="L375" s="12" t="s">
        <v>1741</v>
      </c>
      <c r="M375" s="12" t="s">
        <v>2167</v>
      </c>
      <c r="N375" s="83" t="s">
        <v>2810</v>
      </c>
      <c r="O375" s="5"/>
      <c r="P375" s="5"/>
      <c r="Q375" s="5"/>
      <c r="R375" s="5"/>
      <c r="S375" s="80"/>
      <c r="T375" s="26" t="s">
        <v>2006</v>
      </c>
      <c r="U375" s="34" t="s">
        <v>22</v>
      </c>
      <c r="V375" s="81"/>
      <c r="W375" s="81"/>
      <c r="X375" s="5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</row>
    <row r="376" ht="12.0" hidden="1" customHeight="1">
      <c r="A376" s="78" t="s">
        <v>2808</v>
      </c>
      <c r="B376" s="12">
        <v>5.0</v>
      </c>
      <c r="C376" s="26" t="s">
        <v>1634</v>
      </c>
      <c r="D376" s="78" t="s">
        <v>1650</v>
      </c>
      <c r="E376" s="78"/>
      <c r="F376" s="5" t="s">
        <v>1141</v>
      </c>
      <c r="G376" s="26" t="s">
        <v>1650</v>
      </c>
      <c r="H376" s="12" t="s">
        <v>2809</v>
      </c>
      <c r="I376" s="12">
        <v>1.0</v>
      </c>
      <c r="J376" s="12"/>
      <c r="K376" s="82"/>
      <c r="L376" s="12" t="s">
        <v>2429</v>
      </c>
      <c r="M376" s="12" t="s">
        <v>2811</v>
      </c>
      <c r="N376" s="83" t="s">
        <v>2812</v>
      </c>
      <c r="O376" s="12"/>
      <c r="P376" s="12"/>
      <c r="Q376" s="12"/>
      <c r="R376" s="12"/>
      <c r="S376" s="84"/>
      <c r="T376" s="26"/>
      <c r="U376" s="34"/>
      <c r="V376" s="81"/>
      <c r="W376" s="81"/>
      <c r="X376" s="12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</row>
    <row r="377" ht="12.0" hidden="1" customHeight="1">
      <c r="A377" s="78" t="s">
        <v>2808</v>
      </c>
      <c r="B377" s="12">
        <v>6.0</v>
      </c>
      <c r="C377" s="26" t="s">
        <v>1634</v>
      </c>
      <c r="D377" s="78" t="s">
        <v>1650</v>
      </c>
      <c r="E377" s="78" t="s">
        <v>2001</v>
      </c>
      <c r="F377" s="5" t="s">
        <v>1141</v>
      </c>
      <c r="G377" s="26" t="s">
        <v>1650</v>
      </c>
      <c r="H377" s="12" t="s">
        <v>2809</v>
      </c>
      <c r="I377" s="12">
        <v>2.0</v>
      </c>
      <c r="J377" s="12"/>
      <c r="K377" s="82"/>
      <c r="L377" s="12" t="s">
        <v>2429</v>
      </c>
      <c r="M377" s="12" t="s">
        <v>2811</v>
      </c>
      <c r="N377" s="83" t="s">
        <v>2813</v>
      </c>
      <c r="O377" s="12"/>
      <c r="P377" s="12"/>
      <c r="Q377" s="12"/>
      <c r="R377" s="12"/>
      <c r="S377" s="84"/>
      <c r="T377" s="26" t="s">
        <v>2006</v>
      </c>
      <c r="U377" s="34" t="s">
        <v>22</v>
      </c>
      <c r="V377" s="81"/>
      <c r="W377" s="81"/>
      <c r="X377" s="12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</row>
    <row r="378" ht="12.0" hidden="1" customHeight="1">
      <c r="A378" s="78" t="s">
        <v>2808</v>
      </c>
      <c r="B378" s="12">
        <v>7.0</v>
      </c>
      <c r="C378" s="26" t="s">
        <v>1634</v>
      </c>
      <c r="D378" s="78" t="s">
        <v>1650</v>
      </c>
      <c r="E378" s="78" t="s">
        <v>2001</v>
      </c>
      <c r="F378" s="5" t="s">
        <v>1141</v>
      </c>
      <c r="G378" s="26" t="s">
        <v>1650</v>
      </c>
      <c r="H378" s="12" t="s">
        <v>2809</v>
      </c>
      <c r="I378" s="12">
        <v>3.0</v>
      </c>
      <c r="J378" s="12"/>
      <c r="K378" s="82"/>
      <c r="L378" s="12" t="s">
        <v>2429</v>
      </c>
      <c r="M378" s="12" t="s">
        <v>2811</v>
      </c>
      <c r="N378" s="83" t="s">
        <v>2814</v>
      </c>
      <c r="O378" s="12"/>
      <c r="P378" s="12"/>
      <c r="Q378" s="12"/>
      <c r="R378" s="12"/>
      <c r="S378" s="84"/>
      <c r="T378" s="26" t="s">
        <v>2006</v>
      </c>
      <c r="U378" s="34" t="s">
        <v>22</v>
      </c>
      <c r="V378" s="81"/>
      <c r="W378" s="81"/>
      <c r="X378" s="12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</row>
    <row r="379" ht="12.0" hidden="1" customHeight="1">
      <c r="A379" s="78" t="s">
        <v>2808</v>
      </c>
      <c r="B379" s="12">
        <v>9.0</v>
      </c>
      <c r="C379" s="26" t="s">
        <v>1634</v>
      </c>
      <c r="D379" s="78" t="s">
        <v>1650</v>
      </c>
      <c r="E379" s="78" t="s">
        <v>2001</v>
      </c>
      <c r="F379" s="5" t="s">
        <v>1141</v>
      </c>
      <c r="G379" s="26" t="s">
        <v>1650</v>
      </c>
      <c r="H379" s="12" t="s">
        <v>2809</v>
      </c>
      <c r="I379" s="12">
        <v>5.0</v>
      </c>
      <c r="J379" s="12"/>
      <c r="K379" s="82"/>
      <c r="L379" s="12" t="s">
        <v>2429</v>
      </c>
      <c r="M379" s="12" t="s">
        <v>1759</v>
      </c>
      <c r="N379" s="83" t="s">
        <v>2815</v>
      </c>
      <c r="O379" s="12" t="s">
        <v>2809</v>
      </c>
      <c r="P379" s="12">
        <v>6.0</v>
      </c>
      <c r="Q379" s="12" t="s">
        <v>2429</v>
      </c>
      <c r="R379" s="12" t="s">
        <v>2811</v>
      </c>
      <c r="S379" s="83" t="s">
        <v>2816</v>
      </c>
      <c r="T379" s="26" t="s">
        <v>2006</v>
      </c>
      <c r="U379" s="34" t="s">
        <v>22</v>
      </c>
      <c r="V379" s="81"/>
      <c r="W379" s="81"/>
      <c r="X379" s="12" t="s">
        <v>2817</v>
      </c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</row>
    <row r="380" ht="12.0" hidden="1" customHeight="1">
      <c r="A380" s="78" t="s">
        <v>2808</v>
      </c>
      <c r="B380" s="12">
        <v>10.0</v>
      </c>
      <c r="C380" s="26" t="s">
        <v>1634</v>
      </c>
      <c r="D380" s="78" t="s">
        <v>1650</v>
      </c>
      <c r="E380" s="78" t="s">
        <v>2001</v>
      </c>
      <c r="F380" s="5" t="s">
        <v>1141</v>
      </c>
      <c r="G380" s="26" t="s">
        <v>1650</v>
      </c>
      <c r="H380" s="12" t="s">
        <v>2809</v>
      </c>
      <c r="I380" s="12">
        <v>7.0</v>
      </c>
      <c r="J380" s="12"/>
      <c r="K380" s="82"/>
      <c r="L380" s="12" t="s">
        <v>2429</v>
      </c>
      <c r="M380" s="5" t="s">
        <v>2811</v>
      </c>
      <c r="N380" s="83" t="s">
        <v>2818</v>
      </c>
      <c r="O380" s="12" t="s">
        <v>2809</v>
      </c>
      <c r="P380" s="12">
        <v>8.0</v>
      </c>
      <c r="Q380" s="12" t="s">
        <v>2819</v>
      </c>
      <c r="R380" s="12" t="s">
        <v>2811</v>
      </c>
      <c r="S380" s="83" t="s">
        <v>2820</v>
      </c>
      <c r="T380" s="26" t="s">
        <v>2006</v>
      </c>
      <c r="U380" s="34" t="s">
        <v>22</v>
      </c>
      <c r="V380" s="81"/>
      <c r="W380" s="81"/>
      <c r="X380" s="5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</row>
    <row r="381" ht="12.0" customHeight="1">
      <c r="A381" s="78" t="s">
        <v>2808</v>
      </c>
      <c r="B381" s="12">
        <v>12.0</v>
      </c>
      <c r="C381" s="26" t="s">
        <v>1634</v>
      </c>
      <c r="D381" s="78" t="s">
        <v>1650</v>
      </c>
      <c r="E381" s="78" t="s">
        <v>2059</v>
      </c>
      <c r="F381" s="5" t="s">
        <v>1141</v>
      </c>
      <c r="G381" s="26" t="s">
        <v>1650</v>
      </c>
      <c r="H381" s="12" t="s">
        <v>2809</v>
      </c>
      <c r="I381" s="12">
        <v>11.0</v>
      </c>
      <c r="J381" s="12"/>
      <c r="K381" s="82"/>
      <c r="L381" s="12" t="s">
        <v>2541</v>
      </c>
      <c r="M381" s="5" t="s">
        <v>2811</v>
      </c>
      <c r="N381" s="83" t="s">
        <v>2821</v>
      </c>
      <c r="O381" s="12" t="s">
        <v>2822</v>
      </c>
      <c r="P381" s="12">
        <v>29.0</v>
      </c>
      <c r="Q381" s="12" t="s">
        <v>2011</v>
      </c>
      <c r="R381" s="12" t="s">
        <v>2429</v>
      </c>
      <c r="S381" s="83" t="s">
        <v>2823</v>
      </c>
      <c r="T381" s="26" t="s">
        <v>2006</v>
      </c>
      <c r="U381" s="34" t="s">
        <v>22</v>
      </c>
      <c r="V381" s="81"/>
      <c r="W381" s="81"/>
      <c r="X381" s="5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</row>
    <row r="382" ht="12.0" hidden="1" customHeight="1">
      <c r="A382" s="78" t="s">
        <v>2808</v>
      </c>
      <c r="B382" s="12">
        <v>13.0</v>
      </c>
      <c r="C382" s="26" t="s">
        <v>1634</v>
      </c>
      <c r="D382" s="78" t="s">
        <v>1650</v>
      </c>
      <c r="E382" s="78" t="s">
        <v>2001</v>
      </c>
      <c r="F382" s="5" t="s">
        <v>1141</v>
      </c>
      <c r="G382" s="26" t="s">
        <v>1650</v>
      </c>
      <c r="H382" s="12" t="s">
        <v>2809</v>
      </c>
      <c r="I382" s="12">
        <v>12.0</v>
      </c>
      <c r="J382" s="12" t="s">
        <v>2824</v>
      </c>
      <c r="K382" s="82">
        <v>1.0</v>
      </c>
      <c r="L382" s="5" t="s">
        <v>2675</v>
      </c>
      <c r="M382" s="5" t="s">
        <v>2811</v>
      </c>
      <c r="N382" s="83" t="s">
        <v>2825</v>
      </c>
      <c r="O382" s="5"/>
      <c r="P382" s="5"/>
      <c r="Q382" s="5"/>
      <c r="R382" s="5"/>
      <c r="S382" s="80"/>
      <c r="T382" s="26" t="s">
        <v>2006</v>
      </c>
      <c r="U382" s="34" t="s">
        <v>22</v>
      </c>
      <c r="V382" s="81"/>
      <c r="W382" s="81"/>
      <c r="X382" s="5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</row>
    <row r="383" ht="12.0" hidden="1" customHeight="1">
      <c r="A383" s="78" t="s">
        <v>2808</v>
      </c>
      <c r="B383" s="12">
        <v>14.0</v>
      </c>
      <c r="C383" s="26" t="s">
        <v>1634</v>
      </c>
      <c r="D383" s="78" t="s">
        <v>1650</v>
      </c>
      <c r="E383" s="78" t="s">
        <v>2001</v>
      </c>
      <c r="F383" s="5" t="s">
        <v>1141</v>
      </c>
      <c r="G383" s="26" t="s">
        <v>1650</v>
      </c>
      <c r="H383" s="12" t="s">
        <v>2809</v>
      </c>
      <c r="I383" s="12">
        <v>13.0</v>
      </c>
      <c r="J383" s="12" t="s">
        <v>2826</v>
      </c>
      <c r="K383" s="82" t="s">
        <v>2827</v>
      </c>
      <c r="L383" s="5" t="s">
        <v>2675</v>
      </c>
      <c r="M383" s="5" t="s">
        <v>2811</v>
      </c>
      <c r="N383" s="83" t="s">
        <v>2828</v>
      </c>
      <c r="O383" s="12" t="s">
        <v>2809</v>
      </c>
      <c r="P383" s="12">
        <v>14.0</v>
      </c>
      <c r="Q383" s="5" t="s">
        <v>2675</v>
      </c>
      <c r="R383" s="5" t="s">
        <v>2811</v>
      </c>
      <c r="S383" s="83" t="s">
        <v>2829</v>
      </c>
      <c r="T383" s="26" t="s">
        <v>2006</v>
      </c>
      <c r="U383" s="34" t="s">
        <v>22</v>
      </c>
      <c r="V383" s="81"/>
      <c r="W383" s="81"/>
      <c r="X383" s="5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</row>
    <row r="384" ht="12.0" customHeight="1">
      <c r="A384" s="12" t="s">
        <v>2808</v>
      </c>
      <c r="B384" s="12">
        <v>15.0</v>
      </c>
      <c r="C384" s="26" t="s">
        <v>1634</v>
      </c>
      <c r="D384" s="78" t="s">
        <v>1650</v>
      </c>
      <c r="E384" s="78" t="s">
        <v>2059</v>
      </c>
      <c r="F384" s="5" t="s">
        <v>1141</v>
      </c>
      <c r="G384" s="26" t="s">
        <v>1650</v>
      </c>
      <c r="H384" s="12" t="s">
        <v>2809</v>
      </c>
      <c r="I384" s="12">
        <v>15.0</v>
      </c>
      <c r="J384" s="12" t="s">
        <v>2830</v>
      </c>
      <c r="K384" s="82" t="s">
        <v>2243</v>
      </c>
      <c r="L384" s="5" t="s">
        <v>2675</v>
      </c>
      <c r="M384" s="5" t="s">
        <v>2811</v>
      </c>
      <c r="N384" s="83" t="s">
        <v>2829</v>
      </c>
      <c r="O384" s="12" t="s">
        <v>2809</v>
      </c>
      <c r="P384" s="12">
        <v>16.0</v>
      </c>
      <c r="Q384" s="5" t="s">
        <v>2675</v>
      </c>
      <c r="R384" s="5" t="s">
        <v>2811</v>
      </c>
      <c r="S384" s="83" t="s">
        <v>2829</v>
      </c>
      <c r="T384" s="26" t="s">
        <v>2006</v>
      </c>
      <c r="U384" s="34" t="s">
        <v>22</v>
      </c>
      <c r="V384" s="81"/>
      <c r="W384" s="81"/>
      <c r="X384" s="5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</row>
    <row r="385" ht="12.0" customHeight="1">
      <c r="A385" s="12" t="s">
        <v>2808</v>
      </c>
      <c r="B385" s="5">
        <v>16.0</v>
      </c>
      <c r="C385" s="26" t="s">
        <v>1634</v>
      </c>
      <c r="D385" s="78" t="s">
        <v>1650</v>
      </c>
      <c r="E385" s="78" t="s">
        <v>2059</v>
      </c>
      <c r="F385" s="5" t="s">
        <v>1141</v>
      </c>
      <c r="G385" s="26" t="s">
        <v>1650</v>
      </c>
      <c r="H385" s="12" t="s">
        <v>2809</v>
      </c>
      <c r="I385" s="5">
        <v>17.0</v>
      </c>
      <c r="J385" s="12" t="s">
        <v>2830</v>
      </c>
      <c r="K385" s="82">
        <v>4.0</v>
      </c>
      <c r="L385" s="5" t="s">
        <v>2675</v>
      </c>
      <c r="M385" s="5" t="s">
        <v>2811</v>
      </c>
      <c r="N385" s="80" t="s">
        <v>2831</v>
      </c>
      <c r="O385" s="5"/>
      <c r="P385" s="5"/>
      <c r="Q385" s="5"/>
      <c r="R385" s="5"/>
      <c r="S385" s="80"/>
      <c r="T385" s="26" t="s">
        <v>2006</v>
      </c>
      <c r="U385" s="34" t="s">
        <v>22</v>
      </c>
      <c r="V385" s="81"/>
      <c r="W385" s="81"/>
      <c r="X385" s="5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</row>
    <row r="386" ht="12.0" customHeight="1">
      <c r="A386" s="12" t="s">
        <v>2808</v>
      </c>
      <c r="B386" s="12">
        <v>17.0</v>
      </c>
      <c r="C386" s="26" t="s">
        <v>1634</v>
      </c>
      <c r="D386" s="78" t="s">
        <v>1650</v>
      </c>
      <c r="E386" s="78" t="s">
        <v>2059</v>
      </c>
      <c r="F386" s="5" t="s">
        <v>1141</v>
      </c>
      <c r="G386" s="26" t="s">
        <v>1650</v>
      </c>
      <c r="H386" s="12" t="s">
        <v>2809</v>
      </c>
      <c r="I386" s="12">
        <v>18.0</v>
      </c>
      <c r="J386" s="12" t="s">
        <v>2830</v>
      </c>
      <c r="K386" s="82">
        <v>5.0</v>
      </c>
      <c r="L386" s="5" t="s">
        <v>2675</v>
      </c>
      <c r="M386" s="5" t="s">
        <v>2811</v>
      </c>
      <c r="N386" s="83" t="s">
        <v>2832</v>
      </c>
      <c r="O386" s="5"/>
      <c r="P386" s="5"/>
      <c r="Q386" s="5"/>
      <c r="R386" s="5"/>
      <c r="S386" s="80"/>
      <c r="T386" s="26"/>
      <c r="U386" s="34"/>
      <c r="V386" s="81"/>
      <c r="W386" s="81"/>
      <c r="X386" s="5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</row>
    <row r="387" ht="12.0" customHeight="1">
      <c r="A387" s="12" t="s">
        <v>2808</v>
      </c>
      <c r="B387" s="12">
        <v>18.0</v>
      </c>
      <c r="C387" s="26" t="s">
        <v>1634</v>
      </c>
      <c r="D387" s="78" t="s">
        <v>1650</v>
      </c>
      <c r="E387" s="78" t="s">
        <v>2059</v>
      </c>
      <c r="F387" s="5" t="s">
        <v>1141</v>
      </c>
      <c r="G387" s="26" t="s">
        <v>1650</v>
      </c>
      <c r="H387" s="12" t="s">
        <v>2809</v>
      </c>
      <c r="I387" s="12">
        <v>19.0</v>
      </c>
      <c r="J387" s="12" t="s">
        <v>2830</v>
      </c>
      <c r="K387" s="82">
        <v>6.0</v>
      </c>
      <c r="L387" s="5" t="s">
        <v>2675</v>
      </c>
      <c r="M387" s="5" t="s">
        <v>2811</v>
      </c>
      <c r="N387" s="83" t="s">
        <v>2833</v>
      </c>
      <c r="O387" s="5"/>
      <c r="P387" s="5"/>
      <c r="Q387" s="5"/>
      <c r="R387" s="5"/>
      <c r="S387" s="80"/>
      <c r="T387" s="26"/>
      <c r="U387" s="34"/>
      <c r="V387" s="81"/>
      <c r="W387" s="81"/>
      <c r="X387" s="5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</row>
    <row r="388" ht="12.0" hidden="1" customHeight="1">
      <c r="A388" s="12" t="s">
        <v>2808</v>
      </c>
      <c r="B388" s="12">
        <v>25.0</v>
      </c>
      <c r="C388" s="26" t="s">
        <v>1634</v>
      </c>
      <c r="D388" s="78" t="s">
        <v>1650</v>
      </c>
      <c r="E388" s="78" t="s">
        <v>2001</v>
      </c>
      <c r="F388" s="5" t="s">
        <v>1141</v>
      </c>
      <c r="G388" s="26" t="s">
        <v>1650</v>
      </c>
      <c r="H388" s="12" t="s">
        <v>2809</v>
      </c>
      <c r="I388" s="12">
        <v>77.0</v>
      </c>
      <c r="J388" s="12" t="s">
        <v>2834</v>
      </c>
      <c r="K388" s="82">
        <v>1.0</v>
      </c>
      <c r="L388" s="12" t="s">
        <v>1748</v>
      </c>
      <c r="M388" s="12" t="s">
        <v>2453</v>
      </c>
      <c r="N388" s="83" t="s">
        <v>2835</v>
      </c>
      <c r="O388" s="5"/>
      <c r="P388" s="5"/>
      <c r="Q388" s="5"/>
      <c r="R388" s="5"/>
      <c r="S388" s="80"/>
      <c r="T388" s="26" t="s">
        <v>2006</v>
      </c>
      <c r="U388" s="34" t="s">
        <v>22</v>
      </c>
      <c r="V388" s="81"/>
      <c r="W388" s="81"/>
      <c r="X388" s="5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</row>
    <row r="389" ht="12.0" hidden="1" customHeight="1">
      <c r="A389" s="12" t="s">
        <v>2808</v>
      </c>
      <c r="B389" s="12">
        <v>26.0</v>
      </c>
      <c r="C389" s="26" t="s">
        <v>1634</v>
      </c>
      <c r="D389" s="78" t="s">
        <v>1650</v>
      </c>
      <c r="E389" s="78" t="s">
        <v>2001</v>
      </c>
      <c r="F389" s="5" t="s">
        <v>1141</v>
      </c>
      <c r="G389" s="26" t="s">
        <v>1650</v>
      </c>
      <c r="H389" s="12" t="s">
        <v>2809</v>
      </c>
      <c r="I389" s="12">
        <v>78.0</v>
      </c>
      <c r="J389" s="12" t="s">
        <v>2834</v>
      </c>
      <c r="K389" s="82">
        <v>2.0</v>
      </c>
      <c r="L389" s="12" t="s">
        <v>1748</v>
      </c>
      <c r="M389" s="12" t="s">
        <v>2453</v>
      </c>
      <c r="N389" s="83" t="s">
        <v>2835</v>
      </c>
      <c r="O389" s="5"/>
      <c r="P389" s="5"/>
      <c r="Q389" s="5"/>
      <c r="R389" s="5"/>
      <c r="S389" s="80"/>
      <c r="T389" s="26" t="s">
        <v>2006</v>
      </c>
      <c r="U389" s="34" t="s">
        <v>22</v>
      </c>
      <c r="V389" s="81"/>
      <c r="W389" s="81"/>
      <c r="X389" s="5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</row>
    <row r="390" ht="12.0" hidden="1" customHeight="1">
      <c r="A390" s="12" t="s">
        <v>2808</v>
      </c>
      <c r="B390" s="12">
        <v>27.0</v>
      </c>
      <c r="C390" s="26" t="s">
        <v>1634</v>
      </c>
      <c r="D390" s="78" t="s">
        <v>1650</v>
      </c>
      <c r="E390" s="78" t="s">
        <v>2001</v>
      </c>
      <c r="F390" s="5" t="s">
        <v>1141</v>
      </c>
      <c r="G390" s="26" t="s">
        <v>1650</v>
      </c>
      <c r="H390" s="12" t="s">
        <v>2809</v>
      </c>
      <c r="I390" s="12">
        <v>79.0</v>
      </c>
      <c r="J390" s="12" t="s">
        <v>2834</v>
      </c>
      <c r="K390" s="82">
        <v>3.0</v>
      </c>
      <c r="L390" s="12" t="s">
        <v>1748</v>
      </c>
      <c r="M390" s="12" t="s">
        <v>2453</v>
      </c>
      <c r="N390" s="83" t="s">
        <v>2835</v>
      </c>
      <c r="O390" s="5"/>
      <c r="P390" s="5"/>
      <c r="Q390" s="5"/>
      <c r="R390" s="5"/>
      <c r="S390" s="80"/>
      <c r="T390" s="26" t="s">
        <v>2006</v>
      </c>
      <c r="U390" s="34" t="s">
        <v>22</v>
      </c>
      <c r="V390" s="81"/>
      <c r="W390" s="81"/>
      <c r="X390" s="5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</row>
    <row r="391" ht="12.0" hidden="1" customHeight="1">
      <c r="A391" s="12" t="s">
        <v>2808</v>
      </c>
      <c r="B391" s="12">
        <v>28.0</v>
      </c>
      <c r="C391" s="26" t="s">
        <v>1634</v>
      </c>
      <c r="D391" s="78" t="s">
        <v>1650</v>
      </c>
      <c r="E391" s="78" t="s">
        <v>2001</v>
      </c>
      <c r="F391" s="5" t="s">
        <v>1141</v>
      </c>
      <c r="G391" s="26" t="s">
        <v>1650</v>
      </c>
      <c r="H391" s="12" t="s">
        <v>2809</v>
      </c>
      <c r="I391" s="12">
        <v>80.0</v>
      </c>
      <c r="J391" s="12" t="s">
        <v>2834</v>
      </c>
      <c r="K391" s="82">
        <v>4.0</v>
      </c>
      <c r="L391" s="12" t="s">
        <v>1748</v>
      </c>
      <c r="M391" s="12" t="s">
        <v>2453</v>
      </c>
      <c r="N391" s="83" t="s">
        <v>2835</v>
      </c>
      <c r="O391" s="5"/>
      <c r="P391" s="5"/>
      <c r="Q391" s="5"/>
      <c r="R391" s="5"/>
      <c r="S391" s="80"/>
      <c r="T391" s="26" t="s">
        <v>2006</v>
      </c>
      <c r="U391" s="34" t="s">
        <v>22</v>
      </c>
      <c r="V391" s="81"/>
      <c r="W391" s="81"/>
      <c r="X391" s="5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</row>
    <row r="392" ht="12.0" hidden="1" customHeight="1">
      <c r="A392" s="12" t="s">
        <v>2808</v>
      </c>
      <c r="B392" s="12">
        <v>29.0</v>
      </c>
      <c r="C392" s="26" t="s">
        <v>1634</v>
      </c>
      <c r="D392" s="78" t="s">
        <v>1650</v>
      </c>
      <c r="E392" s="78" t="s">
        <v>2001</v>
      </c>
      <c r="F392" s="5" t="s">
        <v>1141</v>
      </c>
      <c r="G392" s="26" t="s">
        <v>1650</v>
      </c>
      <c r="H392" s="12" t="s">
        <v>2809</v>
      </c>
      <c r="I392" s="12">
        <v>81.0</v>
      </c>
      <c r="J392" s="12" t="s">
        <v>2834</v>
      </c>
      <c r="K392" s="82">
        <v>5.0</v>
      </c>
      <c r="L392" s="12" t="s">
        <v>1748</v>
      </c>
      <c r="M392" s="12" t="s">
        <v>2453</v>
      </c>
      <c r="N392" s="83" t="s">
        <v>2835</v>
      </c>
      <c r="O392" s="5"/>
      <c r="P392" s="5"/>
      <c r="Q392" s="5"/>
      <c r="R392" s="5"/>
      <c r="S392" s="80"/>
      <c r="T392" s="26" t="s">
        <v>2006</v>
      </c>
      <c r="U392" s="34" t="s">
        <v>22</v>
      </c>
      <c r="V392" s="81"/>
      <c r="W392" s="81"/>
      <c r="X392" s="5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</row>
    <row r="393" ht="12.0" hidden="1" customHeight="1">
      <c r="A393" s="12" t="s">
        <v>2808</v>
      </c>
      <c r="B393" s="12">
        <v>30.0</v>
      </c>
      <c r="C393" s="26" t="s">
        <v>1634</v>
      </c>
      <c r="D393" s="78" t="s">
        <v>1650</v>
      </c>
      <c r="E393" s="78" t="s">
        <v>2001</v>
      </c>
      <c r="F393" s="5" t="s">
        <v>1141</v>
      </c>
      <c r="G393" s="26" t="s">
        <v>1650</v>
      </c>
      <c r="H393" s="12" t="s">
        <v>2809</v>
      </c>
      <c r="I393" s="12">
        <v>82.0</v>
      </c>
      <c r="J393" s="5"/>
      <c r="K393" s="79"/>
      <c r="L393" s="12" t="s">
        <v>1748</v>
      </c>
      <c r="M393" s="12" t="s">
        <v>2836</v>
      </c>
      <c r="N393" s="83" t="s">
        <v>2837</v>
      </c>
      <c r="O393" s="5"/>
      <c r="P393" s="5"/>
      <c r="Q393" s="5"/>
      <c r="R393" s="5"/>
      <c r="S393" s="80"/>
      <c r="T393" s="26" t="s">
        <v>2006</v>
      </c>
      <c r="U393" s="34" t="s">
        <v>22</v>
      </c>
      <c r="V393" s="81"/>
      <c r="W393" s="81"/>
      <c r="X393" s="5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</row>
    <row r="394" ht="12.0" customHeight="1">
      <c r="A394" s="12" t="s">
        <v>2808</v>
      </c>
      <c r="B394" s="12">
        <v>32.0</v>
      </c>
      <c r="C394" s="26" t="s">
        <v>1634</v>
      </c>
      <c r="D394" s="78" t="s">
        <v>1650</v>
      </c>
      <c r="E394" s="78" t="s">
        <v>2059</v>
      </c>
      <c r="F394" s="5" t="s">
        <v>1141</v>
      </c>
      <c r="G394" s="26" t="s">
        <v>1650</v>
      </c>
      <c r="H394" s="12" t="s">
        <v>2809</v>
      </c>
      <c r="I394" s="12">
        <v>89.0</v>
      </c>
      <c r="J394" s="12" t="s">
        <v>2838</v>
      </c>
      <c r="K394" s="82">
        <v>2.0</v>
      </c>
      <c r="L394" s="5" t="s">
        <v>2839</v>
      </c>
      <c r="M394" s="5" t="s">
        <v>2840</v>
      </c>
      <c r="N394" s="83" t="s">
        <v>2841</v>
      </c>
      <c r="O394" s="5"/>
      <c r="P394" s="5"/>
      <c r="Q394" s="5"/>
      <c r="R394" s="5"/>
      <c r="S394" s="80"/>
      <c r="T394" s="26" t="s">
        <v>2006</v>
      </c>
      <c r="U394" s="34" t="s">
        <v>22</v>
      </c>
      <c r="V394" s="81"/>
      <c r="W394" s="81"/>
      <c r="X394" s="5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</row>
    <row r="395" ht="12.0" hidden="1" customHeight="1">
      <c r="A395" s="5" t="s">
        <v>2842</v>
      </c>
      <c r="B395" s="5">
        <v>4.0</v>
      </c>
      <c r="C395" s="26" t="s">
        <v>1634</v>
      </c>
      <c r="D395" s="78" t="s">
        <v>2036</v>
      </c>
      <c r="E395" s="78" t="s">
        <v>2001</v>
      </c>
      <c r="F395" s="5" t="s">
        <v>1141</v>
      </c>
      <c r="G395" s="26" t="s">
        <v>1531</v>
      </c>
      <c r="H395" s="5" t="s">
        <v>2842</v>
      </c>
      <c r="I395" s="5">
        <v>4.0</v>
      </c>
      <c r="J395" s="5"/>
      <c r="K395" s="79"/>
      <c r="L395" s="5" t="s">
        <v>2843</v>
      </c>
      <c r="M395" s="5" t="s">
        <v>2844</v>
      </c>
      <c r="N395" s="80" t="s">
        <v>2845</v>
      </c>
      <c r="O395" s="5"/>
      <c r="P395" s="5"/>
      <c r="Q395" s="5"/>
      <c r="R395" s="5"/>
      <c r="S395" s="80"/>
      <c r="T395" s="26" t="s">
        <v>2006</v>
      </c>
      <c r="U395" s="34" t="s">
        <v>22</v>
      </c>
      <c r="V395" s="81"/>
      <c r="W395" s="81"/>
      <c r="X395" s="5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</row>
    <row r="396" ht="12.0" customHeight="1">
      <c r="A396" s="12" t="s">
        <v>2846</v>
      </c>
      <c r="B396" s="12">
        <v>1.0</v>
      </c>
      <c r="C396" s="26" t="s">
        <v>1634</v>
      </c>
      <c r="D396" s="78" t="s">
        <v>2000</v>
      </c>
      <c r="E396" s="78" t="s">
        <v>2059</v>
      </c>
      <c r="F396" s="12" t="s">
        <v>1133</v>
      </c>
      <c r="G396" s="26"/>
      <c r="H396" s="5"/>
      <c r="I396" s="5"/>
      <c r="J396" s="12"/>
      <c r="K396" s="82"/>
      <c r="L396" s="12" t="s">
        <v>2847</v>
      </c>
      <c r="M396" s="12" t="s">
        <v>2695</v>
      </c>
      <c r="N396" s="83" t="s">
        <v>2848</v>
      </c>
      <c r="O396" s="5"/>
      <c r="P396" s="5"/>
      <c r="Q396" s="5"/>
      <c r="R396" s="5"/>
      <c r="S396" s="80"/>
      <c r="T396" s="42" t="s">
        <v>2006</v>
      </c>
      <c r="U396" s="34" t="s">
        <v>22</v>
      </c>
      <c r="V396" s="81"/>
      <c r="W396" s="81"/>
      <c r="X396" s="5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</row>
    <row r="397" ht="12.0" customHeight="1">
      <c r="A397" s="12" t="s">
        <v>2846</v>
      </c>
      <c r="B397" s="12">
        <v>2.0</v>
      </c>
      <c r="C397" s="26" t="s">
        <v>1634</v>
      </c>
      <c r="D397" s="78" t="s">
        <v>2000</v>
      </c>
      <c r="E397" s="78" t="s">
        <v>2059</v>
      </c>
      <c r="F397" s="12" t="s">
        <v>1133</v>
      </c>
      <c r="G397" s="26"/>
      <c r="H397" s="5"/>
      <c r="I397" s="5"/>
      <c r="J397" s="12"/>
      <c r="K397" s="82"/>
      <c r="L397" s="12" t="s">
        <v>2847</v>
      </c>
      <c r="M397" s="12" t="s">
        <v>2695</v>
      </c>
      <c r="N397" s="83" t="s">
        <v>2849</v>
      </c>
      <c r="O397" s="5"/>
      <c r="P397" s="5"/>
      <c r="Q397" s="5"/>
      <c r="R397" s="5"/>
      <c r="S397" s="80"/>
      <c r="T397" s="42" t="s">
        <v>2006</v>
      </c>
      <c r="U397" s="34" t="s">
        <v>22</v>
      </c>
      <c r="V397" s="81"/>
      <c r="W397" s="81"/>
      <c r="X397" s="5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</row>
    <row r="398" ht="12.0" customHeight="1">
      <c r="A398" s="5" t="s">
        <v>2850</v>
      </c>
      <c r="B398" s="5">
        <v>11.0</v>
      </c>
      <c r="C398" s="26" t="s">
        <v>1634</v>
      </c>
      <c r="D398" s="78" t="s">
        <v>2051</v>
      </c>
      <c r="E398" s="78" t="s">
        <v>2059</v>
      </c>
      <c r="F398" s="5" t="s">
        <v>1141</v>
      </c>
      <c r="G398" s="26" t="s">
        <v>1531</v>
      </c>
      <c r="H398" s="5" t="s">
        <v>2851</v>
      </c>
      <c r="I398" s="5">
        <v>1.0</v>
      </c>
      <c r="J398" s="12" t="s">
        <v>2852</v>
      </c>
      <c r="K398" s="79">
        <v>1.0</v>
      </c>
      <c r="L398" s="5" t="s">
        <v>2853</v>
      </c>
      <c r="M398" s="5" t="s">
        <v>2854</v>
      </c>
      <c r="N398" s="83" t="s">
        <v>2855</v>
      </c>
      <c r="O398" s="5"/>
      <c r="P398" s="5"/>
      <c r="Q398" s="5"/>
      <c r="R398" s="5"/>
      <c r="S398" s="80"/>
      <c r="T398" s="26" t="s">
        <v>2006</v>
      </c>
      <c r="U398" s="34" t="s">
        <v>22</v>
      </c>
      <c r="V398" s="81"/>
      <c r="W398" s="81"/>
      <c r="X398" s="91" t="s">
        <v>2640</v>
      </c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</row>
    <row r="399" ht="12.0" customHeight="1">
      <c r="A399" s="5" t="s">
        <v>2850</v>
      </c>
      <c r="B399" s="5">
        <v>14.0</v>
      </c>
      <c r="C399" s="26" t="s">
        <v>1634</v>
      </c>
      <c r="D399" s="78" t="s">
        <v>2051</v>
      </c>
      <c r="E399" s="78" t="s">
        <v>2059</v>
      </c>
      <c r="F399" s="5" t="s">
        <v>1141</v>
      </c>
      <c r="G399" s="26" t="s">
        <v>1531</v>
      </c>
      <c r="H399" s="5" t="s">
        <v>2851</v>
      </c>
      <c r="I399" s="5">
        <v>4.0</v>
      </c>
      <c r="J399" s="12" t="s">
        <v>2852</v>
      </c>
      <c r="K399" s="79">
        <v>4.0</v>
      </c>
      <c r="L399" s="5" t="s">
        <v>2853</v>
      </c>
      <c r="M399" s="5" t="s">
        <v>2854</v>
      </c>
      <c r="N399" s="83" t="s">
        <v>2855</v>
      </c>
      <c r="O399" s="5"/>
      <c r="P399" s="5"/>
      <c r="Q399" s="5"/>
      <c r="R399" s="5"/>
      <c r="S399" s="80"/>
      <c r="T399" s="26" t="s">
        <v>2006</v>
      </c>
      <c r="U399" s="34" t="s">
        <v>22</v>
      </c>
      <c r="V399" s="81"/>
      <c r="W399" s="81"/>
      <c r="X399" s="91" t="s">
        <v>2640</v>
      </c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</row>
    <row r="400" ht="12.0" customHeight="1">
      <c r="A400" s="5" t="s">
        <v>2850</v>
      </c>
      <c r="B400" s="5">
        <v>15.0</v>
      </c>
      <c r="C400" s="26" t="s">
        <v>1634</v>
      </c>
      <c r="D400" s="78" t="s">
        <v>2051</v>
      </c>
      <c r="E400" s="78" t="s">
        <v>2059</v>
      </c>
      <c r="F400" s="5" t="s">
        <v>1141</v>
      </c>
      <c r="G400" s="26" t="s">
        <v>1531</v>
      </c>
      <c r="H400" s="5" t="s">
        <v>2851</v>
      </c>
      <c r="I400" s="5">
        <v>5.0</v>
      </c>
      <c r="J400" s="12" t="s">
        <v>2852</v>
      </c>
      <c r="K400" s="79">
        <v>5.0</v>
      </c>
      <c r="L400" s="5" t="s">
        <v>2853</v>
      </c>
      <c r="M400" s="5" t="s">
        <v>2854</v>
      </c>
      <c r="N400" s="83" t="s">
        <v>2855</v>
      </c>
      <c r="O400" s="5"/>
      <c r="P400" s="5"/>
      <c r="Q400" s="5"/>
      <c r="R400" s="5"/>
      <c r="S400" s="80"/>
      <c r="T400" s="26" t="s">
        <v>2006</v>
      </c>
      <c r="U400" s="34" t="s">
        <v>22</v>
      </c>
      <c r="V400" s="81"/>
      <c r="W400" s="81"/>
      <c r="X400" s="91" t="s">
        <v>2640</v>
      </c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</row>
    <row r="401" ht="12.0" customHeight="1">
      <c r="A401" s="5" t="s">
        <v>2856</v>
      </c>
      <c r="B401" s="5">
        <v>1.0</v>
      </c>
      <c r="C401" s="26" t="s">
        <v>1634</v>
      </c>
      <c r="D401" s="78" t="s">
        <v>1650</v>
      </c>
      <c r="E401" s="78" t="s">
        <v>2059</v>
      </c>
      <c r="F401" s="5" t="s">
        <v>1141</v>
      </c>
      <c r="G401" s="26" t="s">
        <v>1650</v>
      </c>
      <c r="H401" s="12" t="s">
        <v>2857</v>
      </c>
      <c r="I401" s="5">
        <v>1.0</v>
      </c>
      <c r="J401" s="12" t="s">
        <v>2858</v>
      </c>
      <c r="K401" s="82">
        <v>1.0</v>
      </c>
      <c r="L401" s="5" t="s">
        <v>2859</v>
      </c>
      <c r="M401" s="5" t="s">
        <v>2860</v>
      </c>
      <c r="N401" s="80" t="s">
        <v>2861</v>
      </c>
      <c r="O401" s="5"/>
      <c r="P401" s="5"/>
      <c r="Q401" s="5"/>
      <c r="R401" s="5"/>
      <c r="S401" s="80"/>
      <c r="T401" s="26" t="s">
        <v>2006</v>
      </c>
      <c r="U401" s="34" t="s">
        <v>22</v>
      </c>
      <c r="V401" s="81"/>
      <c r="W401" s="81"/>
      <c r="X401" s="5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</row>
    <row r="402" ht="12.0" customHeight="1">
      <c r="A402" s="5" t="s">
        <v>2856</v>
      </c>
      <c r="B402" s="5">
        <v>2.0</v>
      </c>
      <c r="C402" s="26" t="s">
        <v>1634</v>
      </c>
      <c r="D402" s="78" t="s">
        <v>1650</v>
      </c>
      <c r="E402" s="78" t="s">
        <v>2059</v>
      </c>
      <c r="F402" s="5" t="s">
        <v>1141</v>
      </c>
      <c r="G402" s="26" t="s">
        <v>1650</v>
      </c>
      <c r="H402" s="12" t="s">
        <v>2857</v>
      </c>
      <c r="I402" s="5">
        <v>2.0</v>
      </c>
      <c r="J402" s="12" t="s">
        <v>2858</v>
      </c>
      <c r="K402" s="82">
        <v>2.0</v>
      </c>
      <c r="L402" s="5" t="s">
        <v>2859</v>
      </c>
      <c r="M402" s="5" t="s">
        <v>2860</v>
      </c>
      <c r="N402" s="80" t="s">
        <v>2862</v>
      </c>
      <c r="O402" s="5"/>
      <c r="P402" s="5"/>
      <c r="Q402" s="5"/>
      <c r="R402" s="5"/>
      <c r="S402" s="80"/>
      <c r="T402" s="26" t="s">
        <v>2006</v>
      </c>
      <c r="U402" s="34" t="s">
        <v>22</v>
      </c>
      <c r="V402" s="81"/>
      <c r="W402" s="81"/>
      <c r="X402" s="5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</row>
    <row r="403" ht="12.0" customHeight="1">
      <c r="A403" s="5" t="s">
        <v>2856</v>
      </c>
      <c r="B403" s="5">
        <v>4.0</v>
      </c>
      <c r="C403" s="26" t="s">
        <v>1634</v>
      </c>
      <c r="D403" s="78" t="s">
        <v>1650</v>
      </c>
      <c r="E403" s="78" t="s">
        <v>2059</v>
      </c>
      <c r="F403" s="5" t="s">
        <v>1141</v>
      </c>
      <c r="G403" s="26" t="s">
        <v>1650</v>
      </c>
      <c r="H403" s="12" t="s">
        <v>2857</v>
      </c>
      <c r="I403" s="5">
        <v>4.0</v>
      </c>
      <c r="J403" s="12" t="s">
        <v>2858</v>
      </c>
      <c r="K403" s="82">
        <v>4.0</v>
      </c>
      <c r="L403" s="5" t="s">
        <v>2859</v>
      </c>
      <c r="M403" s="5" t="s">
        <v>2860</v>
      </c>
      <c r="N403" s="80" t="s">
        <v>2863</v>
      </c>
      <c r="O403" s="5"/>
      <c r="P403" s="5"/>
      <c r="Q403" s="5"/>
      <c r="R403" s="5"/>
      <c r="S403" s="80"/>
      <c r="T403" s="26" t="s">
        <v>2006</v>
      </c>
      <c r="U403" s="34" t="s">
        <v>22</v>
      </c>
      <c r="V403" s="81"/>
      <c r="W403" s="81"/>
      <c r="X403" s="5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</row>
    <row r="404" ht="12.0" customHeight="1">
      <c r="A404" s="5" t="s">
        <v>2864</v>
      </c>
      <c r="B404" s="5">
        <v>3.0</v>
      </c>
      <c r="C404" s="26" t="s">
        <v>1634</v>
      </c>
      <c r="D404" s="78" t="s">
        <v>2609</v>
      </c>
      <c r="E404" s="78" t="s">
        <v>2059</v>
      </c>
      <c r="F404" s="5" t="s">
        <v>1141</v>
      </c>
      <c r="G404" s="26" t="s">
        <v>1650</v>
      </c>
      <c r="H404" s="5" t="s">
        <v>2864</v>
      </c>
      <c r="I404" s="5">
        <v>3.0</v>
      </c>
      <c r="J404" s="12" t="s">
        <v>2865</v>
      </c>
      <c r="K404" s="82">
        <v>3.0</v>
      </c>
      <c r="L404" s="5" t="s">
        <v>2866</v>
      </c>
      <c r="M404" s="5" t="s">
        <v>1772</v>
      </c>
      <c r="N404" s="80" t="s">
        <v>2867</v>
      </c>
      <c r="O404" s="5"/>
      <c r="P404" s="5"/>
      <c r="Q404" s="5"/>
      <c r="R404" s="5"/>
      <c r="S404" s="80"/>
      <c r="T404" s="26" t="s">
        <v>2006</v>
      </c>
      <c r="U404" s="34" t="s">
        <v>22</v>
      </c>
      <c r="V404" s="81"/>
      <c r="W404" s="81"/>
      <c r="X404" s="5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</row>
    <row r="405" ht="12.0" customHeight="1">
      <c r="A405" s="5" t="s">
        <v>2864</v>
      </c>
      <c r="B405" s="5">
        <v>4.0</v>
      </c>
      <c r="C405" s="26" t="s">
        <v>1634</v>
      </c>
      <c r="D405" s="78" t="s">
        <v>2609</v>
      </c>
      <c r="E405" s="78" t="s">
        <v>2059</v>
      </c>
      <c r="F405" s="5" t="s">
        <v>1141</v>
      </c>
      <c r="G405" s="26" t="s">
        <v>1650</v>
      </c>
      <c r="H405" s="5" t="s">
        <v>2864</v>
      </c>
      <c r="I405" s="5">
        <v>4.0</v>
      </c>
      <c r="J405" s="12" t="s">
        <v>2865</v>
      </c>
      <c r="K405" s="82">
        <v>4.0</v>
      </c>
      <c r="L405" s="5" t="s">
        <v>2866</v>
      </c>
      <c r="M405" s="5" t="s">
        <v>1772</v>
      </c>
      <c r="N405" s="80" t="s">
        <v>2868</v>
      </c>
      <c r="O405" s="5"/>
      <c r="P405" s="5"/>
      <c r="Q405" s="5"/>
      <c r="R405" s="5"/>
      <c r="S405" s="80"/>
      <c r="T405" s="26" t="s">
        <v>2006</v>
      </c>
      <c r="U405" s="34" t="s">
        <v>22</v>
      </c>
      <c r="V405" s="81"/>
      <c r="W405" s="81"/>
      <c r="X405" s="5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</row>
    <row r="406" ht="12.0" customHeight="1">
      <c r="A406" s="5" t="s">
        <v>2864</v>
      </c>
      <c r="B406" s="5">
        <v>5.0</v>
      </c>
      <c r="C406" s="26" t="s">
        <v>1634</v>
      </c>
      <c r="D406" s="78" t="s">
        <v>2609</v>
      </c>
      <c r="E406" s="78" t="s">
        <v>2059</v>
      </c>
      <c r="F406" s="5" t="s">
        <v>1141</v>
      </c>
      <c r="G406" s="26" t="s">
        <v>1650</v>
      </c>
      <c r="H406" s="5" t="s">
        <v>2864</v>
      </c>
      <c r="I406" s="5">
        <v>5.0</v>
      </c>
      <c r="J406" s="12" t="s">
        <v>2865</v>
      </c>
      <c r="K406" s="82">
        <v>5.0</v>
      </c>
      <c r="L406" s="5" t="s">
        <v>1654</v>
      </c>
      <c r="M406" s="5" t="s">
        <v>1772</v>
      </c>
      <c r="N406" s="80" t="s">
        <v>2869</v>
      </c>
      <c r="O406" s="5"/>
      <c r="P406" s="5"/>
      <c r="Q406" s="5"/>
      <c r="R406" s="5"/>
      <c r="S406" s="80"/>
      <c r="T406" s="26" t="s">
        <v>2006</v>
      </c>
      <c r="U406" s="34" t="s">
        <v>22</v>
      </c>
      <c r="V406" s="81"/>
      <c r="W406" s="81"/>
      <c r="X406" s="5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ht="12.0" customHeight="1">
      <c r="A407" s="5" t="s">
        <v>2864</v>
      </c>
      <c r="B407" s="5">
        <v>7.0</v>
      </c>
      <c r="C407" s="26" t="s">
        <v>1634</v>
      </c>
      <c r="D407" s="78" t="s">
        <v>2609</v>
      </c>
      <c r="E407" s="78" t="s">
        <v>2059</v>
      </c>
      <c r="F407" s="5" t="s">
        <v>1141</v>
      </c>
      <c r="G407" s="26" t="s">
        <v>1650</v>
      </c>
      <c r="H407" s="5" t="s">
        <v>2864</v>
      </c>
      <c r="I407" s="5">
        <v>7.0</v>
      </c>
      <c r="J407" s="12" t="s">
        <v>2870</v>
      </c>
      <c r="K407" s="82">
        <v>1.0</v>
      </c>
      <c r="L407" s="5" t="s">
        <v>2619</v>
      </c>
      <c r="M407" s="5" t="s">
        <v>2871</v>
      </c>
      <c r="N407" s="80" t="s">
        <v>2872</v>
      </c>
      <c r="O407" s="5"/>
      <c r="P407" s="5"/>
      <c r="Q407" s="5"/>
      <c r="R407" s="5"/>
      <c r="S407" s="80"/>
      <c r="T407" s="26" t="s">
        <v>2006</v>
      </c>
      <c r="U407" s="34" t="s">
        <v>22</v>
      </c>
      <c r="V407" s="81"/>
      <c r="W407" s="81"/>
      <c r="X407" s="5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</row>
    <row r="408" ht="12.0" hidden="1" customHeight="1">
      <c r="A408" s="5" t="s">
        <v>2873</v>
      </c>
      <c r="B408" s="12">
        <v>11.0</v>
      </c>
      <c r="C408" s="26" t="s">
        <v>1634</v>
      </c>
      <c r="D408" s="78" t="s">
        <v>2609</v>
      </c>
      <c r="E408" s="78" t="s">
        <v>2040</v>
      </c>
      <c r="F408" s="5" t="s">
        <v>1141</v>
      </c>
      <c r="G408" s="26" t="s">
        <v>1650</v>
      </c>
      <c r="H408" s="5" t="s">
        <v>2873</v>
      </c>
      <c r="I408" s="12">
        <v>11.0</v>
      </c>
      <c r="J408" s="5"/>
      <c r="K408" s="79"/>
      <c r="L408" s="5" t="s">
        <v>1654</v>
      </c>
      <c r="M408" s="5" t="s">
        <v>2874</v>
      </c>
      <c r="N408" s="83" t="s">
        <v>2875</v>
      </c>
      <c r="O408" s="5"/>
      <c r="P408" s="12"/>
      <c r="Q408" s="5"/>
      <c r="R408" s="5"/>
      <c r="S408" s="93"/>
      <c r="T408" s="26" t="s">
        <v>2006</v>
      </c>
      <c r="U408" s="34" t="s">
        <v>22</v>
      </c>
      <c r="V408" s="81"/>
      <c r="W408" s="81"/>
      <c r="X408" s="5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</row>
    <row r="409" ht="12.0" hidden="1" customHeight="1">
      <c r="A409" s="5" t="s">
        <v>2873</v>
      </c>
      <c r="B409" s="5">
        <v>16.0</v>
      </c>
      <c r="C409" s="26" t="s">
        <v>1634</v>
      </c>
      <c r="D409" s="78" t="s">
        <v>2609</v>
      </c>
      <c r="E409" s="78" t="s">
        <v>2040</v>
      </c>
      <c r="F409" s="5" t="s">
        <v>1141</v>
      </c>
      <c r="G409" s="26" t="s">
        <v>1650</v>
      </c>
      <c r="H409" s="5" t="s">
        <v>2873</v>
      </c>
      <c r="I409" s="12">
        <v>18.0</v>
      </c>
      <c r="J409" s="5"/>
      <c r="K409" s="79"/>
      <c r="L409" s="5" t="s">
        <v>1654</v>
      </c>
      <c r="M409" s="5" t="s">
        <v>2874</v>
      </c>
      <c r="N409" s="83" t="s">
        <v>2876</v>
      </c>
      <c r="O409" s="5" t="s">
        <v>2873</v>
      </c>
      <c r="P409" s="12">
        <v>19.0</v>
      </c>
      <c r="Q409" s="5" t="s">
        <v>1654</v>
      </c>
      <c r="R409" s="5" t="s">
        <v>2874</v>
      </c>
      <c r="S409" s="93" t="s">
        <v>2877</v>
      </c>
      <c r="T409" s="26" t="s">
        <v>2006</v>
      </c>
      <c r="U409" s="34" t="s">
        <v>22</v>
      </c>
      <c r="V409" s="81"/>
      <c r="W409" s="81"/>
      <c r="X409" s="5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</row>
    <row r="410" ht="12.0" hidden="1" customHeight="1">
      <c r="A410" s="5" t="s">
        <v>2873</v>
      </c>
      <c r="B410" s="5">
        <v>17.0</v>
      </c>
      <c r="C410" s="26" t="s">
        <v>1634</v>
      </c>
      <c r="D410" s="78" t="s">
        <v>2609</v>
      </c>
      <c r="E410" s="78" t="s">
        <v>2040</v>
      </c>
      <c r="F410" s="5" t="s">
        <v>1141</v>
      </c>
      <c r="G410" s="26" t="s">
        <v>1650</v>
      </c>
      <c r="H410" s="5" t="s">
        <v>2873</v>
      </c>
      <c r="I410" s="12">
        <v>20.0</v>
      </c>
      <c r="J410" s="5"/>
      <c r="K410" s="79"/>
      <c r="L410" s="5" t="s">
        <v>1654</v>
      </c>
      <c r="M410" s="5" t="s">
        <v>2874</v>
      </c>
      <c r="N410" s="83" t="s">
        <v>2878</v>
      </c>
      <c r="O410" s="5" t="s">
        <v>2873</v>
      </c>
      <c r="P410" s="12">
        <v>21.0</v>
      </c>
      <c r="Q410" s="5" t="s">
        <v>1654</v>
      </c>
      <c r="R410" s="5" t="s">
        <v>2874</v>
      </c>
      <c r="S410" s="83" t="s">
        <v>2879</v>
      </c>
      <c r="T410" s="26" t="s">
        <v>2006</v>
      </c>
      <c r="U410" s="34" t="s">
        <v>22</v>
      </c>
      <c r="V410" s="81"/>
      <c r="W410" s="81"/>
      <c r="X410" s="5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</row>
    <row r="411" ht="12.0" hidden="1" customHeight="1">
      <c r="A411" s="5" t="s">
        <v>2873</v>
      </c>
      <c r="B411" s="5">
        <v>18.0</v>
      </c>
      <c r="C411" s="26" t="s">
        <v>1634</v>
      </c>
      <c r="D411" s="78" t="s">
        <v>2609</v>
      </c>
      <c r="E411" s="78" t="s">
        <v>2040</v>
      </c>
      <c r="F411" s="5" t="s">
        <v>1141</v>
      </c>
      <c r="G411" s="26" t="s">
        <v>1650</v>
      </c>
      <c r="H411" s="5" t="s">
        <v>2873</v>
      </c>
      <c r="I411" s="12">
        <v>22.0</v>
      </c>
      <c r="J411" s="5"/>
      <c r="K411" s="79"/>
      <c r="L411" s="5" t="s">
        <v>1654</v>
      </c>
      <c r="M411" s="5" t="s">
        <v>2874</v>
      </c>
      <c r="N411" s="80" t="s">
        <v>2880</v>
      </c>
      <c r="O411" s="5"/>
      <c r="P411" s="5"/>
      <c r="Q411" s="5"/>
      <c r="R411" s="5"/>
      <c r="S411" s="80"/>
      <c r="T411" s="26" t="s">
        <v>2006</v>
      </c>
      <c r="U411" s="34" t="s">
        <v>22</v>
      </c>
      <c r="V411" s="81"/>
      <c r="W411" s="81"/>
      <c r="X411" s="12" t="s">
        <v>2881</v>
      </c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</row>
    <row r="412" ht="12.0" hidden="1" customHeight="1">
      <c r="A412" s="5" t="s">
        <v>2873</v>
      </c>
      <c r="B412" s="12">
        <v>19.0</v>
      </c>
      <c r="C412" s="26" t="s">
        <v>1634</v>
      </c>
      <c r="D412" s="78" t="s">
        <v>2609</v>
      </c>
      <c r="E412" s="78" t="s">
        <v>2040</v>
      </c>
      <c r="F412" s="5" t="s">
        <v>1141</v>
      </c>
      <c r="G412" s="26" t="s">
        <v>1650</v>
      </c>
      <c r="H412" s="5" t="s">
        <v>2873</v>
      </c>
      <c r="I412" s="12">
        <v>23.0</v>
      </c>
      <c r="J412" s="5"/>
      <c r="K412" s="79"/>
      <c r="L412" s="5" t="s">
        <v>1654</v>
      </c>
      <c r="M412" s="5" t="s">
        <v>2874</v>
      </c>
      <c r="N412" s="83" t="s">
        <v>2882</v>
      </c>
      <c r="O412" s="5" t="s">
        <v>2873</v>
      </c>
      <c r="P412" s="12">
        <v>24.0</v>
      </c>
      <c r="Q412" s="5" t="s">
        <v>1654</v>
      </c>
      <c r="R412" s="5" t="s">
        <v>2874</v>
      </c>
      <c r="S412" s="80"/>
      <c r="T412" s="26"/>
      <c r="U412" s="34"/>
      <c r="V412" s="81"/>
      <c r="W412" s="81"/>
      <c r="X412" s="12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</row>
    <row r="413" ht="12.0" hidden="1" customHeight="1">
      <c r="A413" s="5" t="s">
        <v>2873</v>
      </c>
      <c r="B413" s="12">
        <v>20.0</v>
      </c>
      <c r="C413" s="26" t="s">
        <v>1634</v>
      </c>
      <c r="D413" s="78" t="s">
        <v>2609</v>
      </c>
      <c r="E413" s="78" t="s">
        <v>2040</v>
      </c>
      <c r="F413" s="5" t="s">
        <v>1141</v>
      </c>
      <c r="G413" s="26" t="s">
        <v>1650</v>
      </c>
      <c r="H413" s="5" t="s">
        <v>2873</v>
      </c>
      <c r="I413" s="12">
        <v>25.0</v>
      </c>
      <c r="J413" s="5"/>
      <c r="K413" s="79"/>
      <c r="L413" s="5" t="s">
        <v>1654</v>
      </c>
      <c r="M413" s="5" t="s">
        <v>2874</v>
      </c>
      <c r="N413" s="83" t="s">
        <v>2883</v>
      </c>
      <c r="O413" s="5" t="s">
        <v>2873</v>
      </c>
      <c r="P413" s="12">
        <v>26.0</v>
      </c>
      <c r="Q413" s="5" t="s">
        <v>1654</v>
      </c>
      <c r="R413" s="5" t="s">
        <v>2874</v>
      </c>
      <c r="S413" s="80"/>
      <c r="T413" s="26"/>
      <c r="U413" s="34"/>
      <c r="V413" s="81"/>
      <c r="W413" s="81"/>
      <c r="X413" s="12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</row>
    <row r="414" ht="12.0" hidden="1" customHeight="1">
      <c r="A414" s="5" t="s">
        <v>2873</v>
      </c>
      <c r="B414" s="5">
        <v>21.0</v>
      </c>
      <c r="C414" s="26" t="s">
        <v>1634</v>
      </c>
      <c r="D414" s="78" t="s">
        <v>2609</v>
      </c>
      <c r="E414" s="78" t="s">
        <v>2040</v>
      </c>
      <c r="F414" s="5" t="s">
        <v>1141</v>
      </c>
      <c r="G414" s="26" t="s">
        <v>1650</v>
      </c>
      <c r="H414" s="5" t="s">
        <v>2873</v>
      </c>
      <c r="I414" s="5">
        <v>27.0</v>
      </c>
      <c r="J414" s="5"/>
      <c r="K414" s="79"/>
      <c r="L414" s="5" t="s">
        <v>1654</v>
      </c>
      <c r="M414" s="5" t="s">
        <v>2874</v>
      </c>
      <c r="N414" s="80" t="s">
        <v>2884</v>
      </c>
      <c r="O414" s="5" t="s">
        <v>2873</v>
      </c>
      <c r="P414" s="12">
        <v>28.0</v>
      </c>
      <c r="Q414" s="5" t="s">
        <v>1654</v>
      </c>
      <c r="R414" s="5" t="s">
        <v>2874</v>
      </c>
      <c r="S414" s="80"/>
      <c r="T414" s="26" t="s">
        <v>2006</v>
      </c>
      <c r="U414" s="34" t="s">
        <v>22</v>
      </c>
      <c r="V414" s="81"/>
      <c r="W414" s="81"/>
      <c r="X414" s="5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</row>
    <row r="415" ht="12.0" hidden="1" customHeight="1">
      <c r="A415" s="5" t="s">
        <v>2873</v>
      </c>
      <c r="B415" s="5">
        <v>22.0</v>
      </c>
      <c r="C415" s="26" t="s">
        <v>1634</v>
      </c>
      <c r="D415" s="78" t="s">
        <v>2609</v>
      </c>
      <c r="E415" s="78" t="s">
        <v>2040</v>
      </c>
      <c r="F415" s="5" t="s">
        <v>1141</v>
      </c>
      <c r="G415" s="26" t="s">
        <v>1650</v>
      </c>
      <c r="H415" s="5" t="s">
        <v>2873</v>
      </c>
      <c r="I415" s="5">
        <v>29.0</v>
      </c>
      <c r="J415" s="5"/>
      <c r="K415" s="79"/>
      <c r="L415" s="5" t="s">
        <v>1654</v>
      </c>
      <c r="M415" s="5" t="s">
        <v>2874</v>
      </c>
      <c r="N415" s="80" t="s">
        <v>2885</v>
      </c>
      <c r="O415" s="5" t="s">
        <v>2873</v>
      </c>
      <c r="P415" s="12">
        <v>30.0</v>
      </c>
      <c r="Q415" s="5" t="s">
        <v>1654</v>
      </c>
      <c r="R415" s="5" t="s">
        <v>2874</v>
      </c>
      <c r="S415" s="80"/>
      <c r="T415" s="26" t="s">
        <v>2006</v>
      </c>
      <c r="U415" s="34" t="s">
        <v>22</v>
      </c>
      <c r="V415" s="81"/>
      <c r="W415" s="81"/>
      <c r="X415" s="5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</row>
    <row r="416" ht="12.0" hidden="1" customHeight="1">
      <c r="A416" s="5" t="s">
        <v>2873</v>
      </c>
      <c r="B416" s="5">
        <v>24.0</v>
      </c>
      <c r="C416" s="26" t="s">
        <v>1634</v>
      </c>
      <c r="D416" s="78" t="s">
        <v>2609</v>
      </c>
      <c r="E416" s="78" t="s">
        <v>2040</v>
      </c>
      <c r="F416" s="5" t="s">
        <v>1141</v>
      </c>
      <c r="G416" s="26" t="s">
        <v>1650</v>
      </c>
      <c r="H416" s="5" t="s">
        <v>2873</v>
      </c>
      <c r="I416" s="5">
        <v>33.0</v>
      </c>
      <c r="J416" s="5"/>
      <c r="K416" s="79"/>
      <c r="L416" s="5" t="s">
        <v>1654</v>
      </c>
      <c r="M416" s="5" t="s">
        <v>2874</v>
      </c>
      <c r="N416" s="80" t="s">
        <v>2886</v>
      </c>
      <c r="O416" s="5" t="s">
        <v>2873</v>
      </c>
      <c r="P416" s="12">
        <v>34.0</v>
      </c>
      <c r="Q416" s="5" t="s">
        <v>1654</v>
      </c>
      <c r="R416" s="5" t="s">
        <v>2874</v>
      </c>
      <c r="S416" s="80"/>
      <c r="T416" s="26" t="s">
        <v>2006</v>
      </c>
      <c r="U416" s="34" t="s">
        <v>22</v>
      </c>
      <c r="V416" s="81"/>
      <c r="W416" s="81"/>
      <c r="X416" s="5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</row>
    <row r="417" ht="12.0" hidden="1" customHeight="1">
      <c r="A417" s="5" t="s">
        <v>2873</v>
      </c>
      <c r="B417" s="5">
        <v>25.0</v>
      </c>
      <c r="C417" s="26" t="s">
        <v>1634</v>
      </c>
      <c r="D417" s="78" t="s">
        <v>2609</v>
      </c>
      <c r="E417" s="78" t="s">
        <v>2040</v>
      </c>
      <c r="F417" s="5" t="s">
        <v>1141</v>
      </c>
      <c r="G417" s="26" t="s">
        <v>1650</v>
      </c>
      <c r="H417" s="5" t="s">
        <v>2873</v>
      </c>
      <c r="I417" s="5">
        <v>35.0</v>
      </c>
      <c r="J417" s="5"/>
      <c r="K417" s="79"/>
      <c r="L417" s="5" t="s">
        <v>1654</v>
      </c>
      <c r="M417" s="5" t="s">
        <v>2874</v>
      </c>
      <c r="N417" s="80" t="s">
        <v>2887</v>
      </c>
      <c r="O417" s="5" t="s">
        <v>2873</v>
      </c>
      <c r="P417" s="12">
        <v>36.0</v>
      </c>
      <c r="Q417" s="5" t="s">
        <v>1654</v>
      </c>
      <c r="R417" s="5" t="s">
        <v>2874</v>
      </c>
      <c r="S417" s="80"/>
      <c r="T417" s="26" t="s">
        <v>2006</v>
      </c>
      <c r="U417" s="34" t="s">
        <v>22</v>
      </c>
      <c r="V417" s="81"/>
      <c r="W417" s="81"/>
      <c r="X417" s="5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</row>
    <row r="418" ht="12.0" hidden="1" customHeight="1">
      <c r="A418" s="5" t="s">
        <v>2873</v>
      </c>
      <c r="B418" s="5">
        <v>26.0</v>
      </c>
      <c r="C418" s="26" t="s">
        <v>1634</v>
      </c>
      <c r="D418" s="78" t="s">
        <v>2609</v>
      </c>
      <c r="E418" s="78" t="s">
        <v>2040</v>
      </c>
      <c r="F418" s="5" t="s">
        <v>1141</v>
      </c>
      <c r="G418" s="26" t="s">
        <v>1650</v>
      </c>
      <c r="H418" s="5" t="s">
        <v>2873</v>
      </c>
      <c r="I418" s="5">
        <v>37.0</v>
      </c>
      <c r="J418" s="5"/>
      <c r="K418" s="79"/>
      <c r="L418" s="5" t="s">
        <v>1654</v>
      </c>
      <c r="M418" s="5" t="s">
        <v>2874</v>
      </c>
      <c r="N418" s="80" t="s">
        <v>2888</v>
      </c>
      <c r="O418" s="5" t="s">
        <v>2873</v>
      </c>
      <c r="P418" s="12">
        <v>38.0</v>
      </c>
      <c r="Q418" s="5" t="s">
        <v>1654</v>
      </c>
      <c r="R418" s="5" t="s">
        <v>2874</v>
      </c>
      <c r="S418" s="80"/>
      <c r="T418" s="26" t="s">
        <v>2006</v>
      </c>
      <c r="U418" s="34" t="s">
        <v>22</v>
      </c>
      <c r="V418" s="81"/>
      <c r="W418" s="81"/>
      <c r="X418" s="5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</row>
    <row r="419" ht="12.0" hidden="1" customHeight="1">
      <c r="A419" s="5" t="s">
        <v>2873</v>
      </c>
      <c r="B419" s="5">
        <v>28.0</v>
      </c>
      <c r="C419" s="26" t="s">
        <v>1634</v>
      </c>
      <c r="D419" s="78" t="s">
        <v>2609</v>
      </c>
      <c r="E419" s="78" t="s">
        <v>2040</v>
      </c>
      <c r="F419" s="5" t="s">
        <v>1141</v>
      </c>
      <c r="G419" s="26" t="s">
        <v>1650</v>
      </c>
      <c r="H419" s="5" t="s">
        <v>2873</v>
      </c>
      <c r="I419" s="5">
        <v>41.0</v>
      </c>
      <c r="J419" s="5"/>
      <c r="K419" s="79"/>
      <c r="L419" s="5" t="s">
        <v>1654</v>
      </c>
      <c r="M419" s="5" t="s">
        <v>2874</v>
      </c>
      <c r="N419" s="83" t="s">
        <v>2889</v>
      </c>
      <c r="O419" s="5" t="s">
        <v>2873</v>
      </c>
      <c r="P419" s="12">
        <v>42.0</v>
      </c>
      <c r="Q419" s="5" t="s">
        <v>1654</v>
      </c>
      <c r="R419" s="5" t="s">
        <v>2874</v>
      </c>
      <c r="S419" s="83" t="s">
        <v>2890</v>
      </c>
      <c r="T419" s="26" t="s">
        <v>2006</v>
      </c>
      <c r="U419" s="34" t="s">
        <v>22</v>
      </c>
      <c r="V419" s="81"/>
      <c r="W419" s="81"/>
      <c r="X419" s="5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</row>
    <row r="420" ht="12.0" hidden="1" customHeight="1">
      <c r="A420" s="5" t="s">
        <v>2873</v>
      </c>
      <c r="B420" s="5">
        <v>30.0</v>
      </c>
      <c r="C420" s="26" t="s">
        <v>1634</v>
      </c>
      <c r="D420" s="78" t="s">
        <v>2609</v>
      </c>
      <c r="E420" s="78" t="s">
        <v>2001</v>
      </c>
      <c r="F420" s="5" t="s">
        <v>1141</v>
      </c>
      <c r="G420" s="26" t="s">
        <v>1650</v>
      </c>
      <c r="H420" s="5" t="s">
        <v>2873</v>
      </c>
      <c r="I420" s="5">
        <v>51.0</v>
      </c>
      <c r="J420" s="12" t="s">
        <v>2891</v>
      </c>
      <c r="K420" s="82">
        <v>2.0</v>
      </c>
      <c r="L420" s="5" t="s">
        <v>1654</v>
      </c>
      <c r="M420" s="5" t="s">
        <v>2874</v>
      </c>
      <c r="N420" s="80" t="s">
        <v>2892</v>
      </c>
      <c r="O420" s="5"/>
      <c r="P420" s="5"/>
      <c r="Q420" s="5"/>
      <c r="R420" s="5"/>
      <c r="S420" s="80"/>
      <c r="T420" s="26" t="s">
        <v>2006</v>
      </c>
      <c r="U420" s="34" t="s">
        <v>22</v>
      </c>
      <c r="V420" s="81"/>
      <c r="W420" s="81"/>
      <c r="X420" s="5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</row>
    <row r="421" ht="12.0" hidden="1" customHeight="1">
      <c r="A421" s="5" t="s">
        <v>2873</v>
      </c>
      <c r="B421" s="5">
        <v>31.0</v>
      </c>
      <c r="C421" s="26" t="s">
        <v>1634</v>
      </c>
      <c r="D421" s="78" t="s">
        <v>2609</v>
      </c>
      <c r="E421" s="78" t="s">
        <v>2001</v>
      </c>
      <c r="F421" s="5" t="s">
        <v>1141</v>
      </c>
      <c r="G421" s="26" t="s">
        <v>1650</v>
      </c>
      <c r="H421" s="5" t="s">
        <v>2873</v>
      </c>
      <c r="I421" s="5">
        <v>52.0</v>
      </c>
      <c r="J421" s="12" t="s">
        <v>2891</v>
      </c>
      <c r="K421" s="82">
        <v>3.0</v>
      </c>
      <c r="L421" s="5" t="s">
        <v>1654</v>
      </c>
      <c r="M421" s="5" t="s">
        <v>2874</v>
      </c>
      <c r="N421" s="80" t="s">
        <v>2893</v>
      </c>
      <c r="O421" s="5"/>
      <c r="P421" s="5"/>
      <c r="Q421" s="5"/>
      <c r="R421" s="5"/>
      <c r="S421" s="80"/>
      <c r="T421" s="26" t="s">
        <v>2006</v>
      </c>
      <c r="U421" s="49" t="s">
        <v>22</v>
      </c>
      <c r="V421" s="81"/>
      <c r="W421" s="81"/>
      <c r="X421" s="5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</row>
    <row r="422" ht="12.0" hidden="1" customHeight="1">
      <c r="A422" s="5" t="s">
        <v>2873</v>
      </c>
      <c r="B422" s="5">
        <v>32.0</v>
      </c>
      <c r="C422" s="26" t="s">
        <v>1634</v>
      </c>
      <c r="D422" s="78" t="s">
        <v>2609</v>
      </c>
      <c r="E422" s="78" t="s">
        <v>2001</v>
      </c>
      <c r="F422" s="5" t="s">
        <v>1141</v>
      </c>
      <c r="G422" s="26" t="s">
        <v>1650</v>
      </c>
      <c r="H422" s="5" t="s">
        <v>2873</v>
      </c>
      <c r="I422" s="5">
        <v>53.0</v>
      </c>
      <c r="J422" s="12" t="s">
        <v>2891</v>
      </c>
      <c r="K422" s="82">
        <v>4.0</v>
      </c>
      <c r="L422" s="5" t="s">
        <v>1654</v>
      </c>
      <c r="M422" s="5" t="s">
        <v>2874</v>
      </c>
      <c r="N422" s="80" t="s">
        <v>2894</v>
      </c>
      <c r="O422" s="5"/>
      <c r="P422" s="5"/>
      <c r="Q422" s="5"/>
      <c r="R422" s="5"/>
      <c r="S422" s="80"/>
      <c r="T422" s="26" t="s">
        <v>2006</v>
      </c>
      <c r="U422" s="34" t="s">
        <v>22</v>
      </c>
      <c r="V422" s="81"/>
      <c r="W422" s="81"/>
      <c r="X422" s="5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</row>
    <row r="423" ht="12.0" customHeight="1">
      <c r="A423" s="5" t="s">
        <v>2873</v>
      </c>
      <c r="B423" s="12">
        <v>33.0</v>
      </c>
      <c r="C423" s="26" t="s">
        <v>1634</v>
      </c>
      <c r="D423" s="78" t="s">
        <v>2609</v>
      </c>
      <c r="E423" s="78" t="s">
        <v>2059</v>
      </c>
      <c r="F423" s="5" t="s">
        <v>1141</v>
      </c>
      <c r="G423" s="26" t="s">
        <v>1650</v>
      </c>
      <c r="H423" s="5" t="s">
        <v>2873</v>
      </c>
      <c r="I423" s="12">
        <v>54.0</v>
      </c>
      <c r="J423" s="12" t="s">
        <v>2895</v>
      </c>
      <c r="K423" s="82">
        <v>1.0</v>
      </c>
      <c r="L423" s="5" t="s">
        <v>1654</v>
      </c>
      <c r="M423" s="5" t="s">
        <v>2874</v>
      </c>
      <c r="N423" s="83" t="s">
        <v>2896</v>
      </c>
      <c r="O423" s="5"/>
      <c r="P423" s="5"/>
      <c r="Q423" s="5"/>
      <c r="R423" s="5"/>
      <c r="S423" s="80"/>
      <c r="T423" s="26" t="s">
        <v>2006</v>
      </c>
      <c r="U423" s="34" t="s">
        <v>22</v>
      </c>
      <c r="V423" s="81"/>
      <c r="W423" s="81"/>
      <c r="X423" s="5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</row>
    <row r="424" ht="12.0" customHeight="1">
      <c r="A424" s="5" t="s">
        <v>2873</v>
      </c>
      <c r="B424" s="5">
        <v>34.0</v>
      </c>
      <c r="C424" s="26" t="s">
        <v>1634</v>
      </c>
      <c r="D424" s="78" t="s">
        <v>2609</v>
      </c>
      <c r="E424" s="78" t="s">
        <v>2059</v>
      </c>
      <c r="F424" s="5" t="s">
        <v>1141</v>
      </c>
      <c r="G424" s="26" t="s">
        <v>1650</v>
      </c>
      <c r="H424" s="5" t="s">
        <v>2873</v>
      </c>
      <c r="I424" s="5">
        <v>55.0</v>
      </c>
      <c r="J424" s="12" t="s">
        <v>2895</v>
      </c>
      <c r="K424" s="82">
        <v>2.0</v>
      </c>
      <c r="L424" s="5" t="s">
        <v>1654</v>
      </c>
      <c r="M424" s="5" t="s">
        <v>2874</v>
      </c>
      <c r="N424" s="80" t="s">
        <v>2897</v>
      </c>
      <c r="O424" s="5"/>
      <c r="P424" s="5"/>
      <c r="Q424" s="5"/>
      <c r="R424" s="5"/>
      <c r="S424" s="80"/>
      <c r="T424" s="26" t="s">
        <v>2006</v>
      </c>
      <c r="U424" s="34" t="s">
        <v>22</v>
      </c>
      <c r="V424" s="81"/>
      <c r="W424" s="81"/>
      <c r="X424" s="5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</row>
    <row r="425" ht="12.0" customHeight="1">
      <c r="A425" s="5" t="s">
        <v>2873</v>
      </c>
      <c r="B425" s="5">
        <v>35.0</v>
      </c>
      <c r="C425" s="26" t="s">
        <v>1634</v>
      </c>
      <c r="D425" s="78" t="s">
        <v>2609</v>
      </c>
      <c r="E425" s="78" t="s">
        <v>2059</v>
      </c>
      <c r="F425" s="5" t="s">
        <v>1141</v>
      </c>
      <c r="G425" s="26" t="s">
        <v>1650</v>
      </c>
      <c r="H425" s="5" t="s">
        <v>2873</v>
      </c>
      <c r="I425" s="5">
        <v>56.0</v>
      </c>
      <c r="J425" s="12" t="s">
        <v>2895</v>
      </c>
      <c r="K425" s="82">
        <v>3.0</v>
      </c>
      <c r="L425" s="5" t="s">
        <v>1654</v>
      </c>
      <c r="M425" s="5" t="s">
        <v>2874</v>
      </c>
      <c r="N425" s="80" t="s">
        <v>2898</v>
      </c>
      <c r="O425" s="5"/>
      <c r="P425" s="5"/>
      <c r="Q425" s="5"/>
      <c r="R425" s="5"/>
      <c r="S425" s="80"/>
      <c r="T425" s="26" t="s">
        <v>2006</v>
      </c>
      <c r="U425" s="34" t="s">
        <v>22</v>
      </c>
      <c r="V425" s="81"/>
      <c r="W425" s="81"/>
      <c r="X425" s="5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</row>
    <row r="426" ht="12.0" hidden="1" customHeight="1">
      <c r="A426" s="5" t="s">
        <v>2873</v>
      </c>
      <c r="B426" s="12" t="s">
        <v>2899</v>
      </c>
      <c r="C426" s="26" t="s">
        <v>1634</v>
      </c>
      <c r="D426" s="78" t="s">
        <v>2609</v>
      </c>
      <c r="E426" s="78" t="s">
        <v>2040</v>
      </c>
      <c r="F426" s="5" t="s">
        <v>1141</v>
      </c>
      <c r="G426" s="26" t="s">
        <v>1650</v>
      </c>
      <c r="H426" s="5" t="s">
        <v>2873</v>
      </c>
      <c r="I426" s="5">
        <v>43.0</v>
      </c>
      <c r="J426" s="5"/>
      <c r="K426" s="79"/>
      <c r="L426" s="5" t="s">
        <v>1654</v>
      </c>
      <c r="M426" s="5" t="s">
        <v>2874</v>
      </c>
      <c r="N426" s="83" t="s">
        <v>2900</v>
      </c>
      <c r="O426" s="5" t="s">
        <v>2873</v>
      </c>
      <c r="P426" s="12">
        <v>44.0</v>
      </c>
      <c r="Q426" s="5" t="s">
        <v>1654</v>
      </c>
      <c r="R426" s="5" t="s">
        <v>2874</v>
      </c>
      <c r="S426" s="83" t="s">
        <v>2901</v>
      </c>
      <c r="T426" s="26" t="s">
        <v>2006</v>
      </c>
      <c r="U426" s="34" t="s">
        <v>22</v>
      </c>
      <c r="V426" s="81"/>
      <c r="W426" s="81"/>
      <c r="X426" s="5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</row>
    <row r="427" ht="12.0" hidden="1" customHeight="1">
      <c r="A427" s="12" t="s">
        <v>2902</v>
      </c>
      <c r="B427" s="12">
        <v>1.0</v>
      </c>
      <c r="C427" s="26" t="s">
        <v>1634</v>
      </c>
      <c r="D427" s="78" t="s">
        <v>2609</v>
      </c>
      <c r="E427" s="78" t="s">
        <v>2001</v>
      </c>
      <c r="F427" s="5" t="s">
        <v>1141</v>
      </c>
      <c r="G427" s="26" t="s">
        <v>1650</v>
      </c>
      <c r="H427" s="5" t="s">
        <v>2873</v>
      </c>
      <c r="I427" s="12">
        <v>1.0</v>
      </c>
      <c r="J427" s="5"/>
      <c r="K427" s="79"/>
      <c r="L427" s="5" t="s">
        <v>1654</v>
      </c>
      <c r="M427" s="5" t="s">
        <v>2874</v>
      </c>
      <c r="N427" s="83" t="s">
        <v>2903</v>
      </c>
      <c r="O427" s="5" t="s">
        <v>2873</v>
      </c>
      <c r="P427" s="12">
        <v>2.0</v>
      </c>
      <c r="Q427" s="5" t="s">
        <v>1654</v>
      </c>
      <c r="R427" s="5" t="s">
        <v>2874</v>
      </c>
      <c r="S427" s="83" t="s">
        <v>2904</v>
      </c>
      <c r="T427" s="42" t="s">
        <v>2003</v>
      </c>
      <c r="U427" s="34" t="s">
        <v>22</v>
      </c>
      <c r="V427" s="81"/>
      <c r="W427" s="81"/>
      <c r="X427" s="5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</row>
    <row r="428" ht="12.0" hidden="1" customHeight="1">
      <c r="A428" s="12" t="s">
        <v>2902</v>
      </c>
      <c r="B428" s="12">
        <v>2.0</v>
      </c>
      <c r="C428" s="26" t="s">
        <v>1634</v>
      </c>
      <c r="D428" s="78" t="s">
        <v>2609</v>
      </c>
      <c r="E428" s="78" t="s">
        <v>2001</v>
      </c>
      <c r="F428" s="5" t="s">
        <v>1141</v>
      </c>
      <c r="G428" s="26" t="s">
        <v>1650</v>
      </c>
      <c r="H428" s="5" t="s">
        <v>2873</v>
      </c>
      <c r="I428" s="12">
        <v>3.0</v>
      </c>
      <c r="J428" s="5"/>
      <c r="K428" s="79"/>
      <c r="L428" s="5" t="s">
        <v>1654</v>
      </c>
      <c r="M428" s="5" t="s">
        <v>2874</v>
      </c>
      <c r="N428" s="83" t="s">
        <v>2905</v>
      </c>
      <c r="O428" s="5" t="s">
        <v>2873</v>
      </c>
      <c r="P428" s="12">
        <v>4.0</v>
      </c>
      <c r="Q428" s="5" t="s">
        <v>1654</v>
      </c>
      <c r="R428" s="5" t="s">
        <v>2874</v>
      </c>
      <c r="S428" s="83" t="s">
        <v>2906</v>
      </c>
      <c r="T428" s="42" t="s">
        <v>2003</v>
      </c>
      <c r="U428" s="34" t="s">
        <v>22</v>
      </c>
      <c r="V428" s="81"/>
      <c r="W428" s="81"/>
      <c r="X428" s="12" t="s">
        <v>2907</v>
      </c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</row>
    <row r="429" ht="12.0" customHeight="1">
      <c r="A429" s="5" t="s">
        <v>1770</v>
      </c>
      <c r="B429" s="5">
        <v>1.0</v>
      </c>
      <c r="C429" s="26" t="s">
        <v>1634</v>
      </c>
      <c r="D429" s="78" t="s">
        <v>2609</v>
      </c>
      <c r="E429" s="78" t="s">
        <v>2059</v>
      </c>
      <c r="F429" s="5" t="s">
        <v>1141</v>
      </c>
      <c r="G429" s="26" t="s">
        <v>1650</v>
      </c>
      <c r="H429" s="5" t="s">
        <v>1770</v>
      </c>
      <c r="I429" s="5">
        <v>1.0</v>
      </c>
      <c r="J429" s="12" t="s">
        <v>2908</v>
      </c>
      <c r="K429" s="82">
        <v>1.0</v>
      </c>
      <c r="L429" s="5" t="s">
        <v>1771</v>
      </c>
      <c r="M429" s="5" t="s">
        <v>1772</v>
      </c>
      <c r="N429" s="80" t="s">
        <v>2909</v>
      </c>
      <c r="O429" s="5"/>
      <c r="P429" s="5"/>
      <c r="Q429" s="5"/>
      <c r="R429" s="5"/>
      <c r="S429" s="80"/>
      <c r="T429" s="26" t="s">
        <v>2006</v>
      </c>
      <c r="U429" s="34" t="s">
        <v>22</v>
      </c>
      <c r="V429" s="81"/>
      <c r="W429" s="81"/>
      <c r="X429" s="5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</row>
    <row r="430" ht="12.0" customHeight="1">
      <c r="A430" s="5" t="s">
        <v>1770</v>
      </c>
      <c r="B430" s="5">
        <v>4.0</v>
      </c>
      <c r="C430" s="26" t="s">
        <v>1634</v>
      </c>
      <c r="D430" s="78" t="s">
        <v>2609</v>
      </c>
      <c r="E430" s="78" t="s">
        <v>2059</v>
      </c>
      <c r="F430" s="5" t="s">
        <v>1141</v>
      </c>
      <c r="G430" s="26" t="s">
        <v>1650</v>
      </c>
      <c r="H430" s="5" t="s">
        <v>1770</v>
      </c>
      <c r="I430" s="5">
        <v>4.0</v>
      </c>
      <c r="J430" s="12" t="s">
        <v>2908</v>
      </c>
      <c r="K430" s="82">
        <v>4.0</v>
      </c>
      <c r="L430" s="5" t="s">
        <v>1771</v>
      </c>
      <c r="M430" s="5" t="s">
        <v>1772</v>
      </c>
      <c r="N430" s="80" t="s">
        <v>2910</v>
      </c>
      <c r="O430" s="5"/>
      <c r="P430" s="5"/>
      <c r="Q430" s="5"/>
      <c r="R430" s="5"/>
      <c r="S430" s="80"/>
      <c r="T430" s="26" t="s">
        <v>2006</v>
      </c>
      <c r="U430" s="34" t="s">
        <v>22</v>
      </c>
      <c r="V430" s="81"/>
      <c r="W430" s="81"/>
      <c r="X430" s="5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</row>
    <row r="431" ht="12.0" customHeight="1">
      <c r="A431" s="5" t="s">
        <v>1770</v>
      </c>
      <c r="B431" s="5">
        <v>6.0</v>
      </c>
      <c r="C431" s="26" t="s">
        <v>1634</v>
      </c>
      <c r="D431" s="78" t="s">
        <v>2609</v>
      </c>
      <c r="E431" s="78" t="s">
        <v>2059</v>
      </c>
      <c r="F431" s="5" t="s">
        <v>1141</v>
      </c>
      <c r="G431" s="26" t="s">
        <v>1650</v>
      </c>
      <c r="H431" s="5" t="s">
        <v>1770</v>
      </c>
      <c r="I431" s="12">
        <v>6.0</v>
      </c>
      <c r="J431" s="12" t="s">
        <v>2908</v>
      </c>
      <c r="K431" s="82">
        <v>6.0</v>
      </c>
      <c r="L431" s="5" t="s">
        <v>1771</v>
      </c>
      <c r="M431" s="5" t="s">
        <v>1772</v>
      </c>
      <c r="N431" s="83" t="s">
        <v>2911</v>
      </c>
      <c r="O431" s="5"/>
      <c r="P431" s="5"/>
      <c r="Q431" s="5"/>
      <c r="R431" s="5"/>
      <c r="S431" s="80"/>
      <c r="T431" s="26" t="s">
        <v>2006</v>
      </c>
      <c r="U431" s="34" t="s">
        <v>22</v>
      </c>
      <c r="V431" s="81"/>
      <c r="W431" s="81"/>
      <c r="X431" s="5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</row>
    <row r="432" ht="12.0" customHeight="1">
      <c r="A432" s="122" t="s">
        <v>1770</v>
      </c>
      <c r="B432" s="122">
        <v>7.0</v>
      </c>
      <c r="C432" s="123" t="s">
        <v>1634</v>
      </c>
      <c r="D432" s="124" t="s">
        <v>2609</v>
      </c>
      <c r="E432" s="124" t="s">
        <v>2059</v>
      </c>
      <c r="F432" s="122" t="s">
        <v>1141</v>
      </c>
      <c r="G432" s="123" t="s">
        <v>1650</v>
      </c>
      <c r="H432" s="122" t="s">
        <v>1770</v>
      </c>
      <c r="I432" s="125">
        <v>7.0</v>
      </c>
      <c r="J432" s="125" t="s">
        <v>2912</v>
      </c>
      <c r="K432" s="126" t="s">
        <v>2171</v>
      </c>
      <c r="L432" s="122" t="s">
        <v>1771</v>
      </c>
      <c r="M432" s="122" t="s">
        <v>1772</v>
      </c>
      <c r="N432" s="127" t="s">
        <v>2913</v>
      </c>
      <c r="O432" s="122" t="s">
        <v>1770</v>
      </c>
      <c r="P432" s="125">
        <v>8.0</v>
      </c>
      <c r="Q432" s="122" t="s">
        <v>1771</v>
      </c>
      <c r="R432" s="122" t="s">
        <v>1772</v>
      </c>
      <c r="S432" s="127" t="s">
        <v>2914</v>
      </c>
      <c r="T432" s="123" t="s">
        <v>2006</v>
      </c>
      <c r="U432" s="128" t="s">
        <v>22</v>
      </c>
      <c r="V432" s="129"/>
      <c r="W432" s="129"/>
      <c r="X432" s="122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</row>
    <row r="433" ht="12.0" customHeight="1">
      <c r="A433" s="122" t="s">
        <v>1770</v>
      </c>
      <c r="B433" s="122">
        <v>8.0</v>
      </c>
      <c r="C433" s="123" t="s">
        <v>1634</v>
      </c>
      <c r="D433" s="124" t="s">
        <v>2609</v>
      </c>
      <c r="E433" s="124" t="s">
        <v>2059</v>
      </c>
      <c r="F433" s="122" t="s">
        <v>1141</v>
      </c>
      <c r="G433" s="123" t="s">
        <v>1650</v>
      </c>
      <c r="H433" s="122" t="s">
        <v>1770</v>
      </c>
      <c r="I433" s="122">
        <v>9.0</v>
      </c>
      <c r="J433" s="125" t="s">
        <v>2912</v>
      </c>
      <c r="K433" s="126" t="s">
        <v>2369</v>
      </c>
      <c r="L433" s="122" t="s">
        <v>1771</v>
      </c>
      <c r="M433" s="122" t="s">
        <v>2915</v>
      </c>
      <c r="N433" s="130" t="s">
        <v>2916</v>
      </c>
      <c r="O433" s="122" t="s">
        <v>1770</v>
      </c>
      <c r="P433" s="125">
        <v>10.0</v>
      </c>
      <c r="Q433" s="122" t="s">
        <v>1771</v>
      </c>
      <c r="R433" s="122" t="s">
        <v>1772</v>
      </c>
      <c r="S433" s="127" t="s">
        <v>2917</v>
      </c>
      <c r="T433" s="123" t="s">
        <v>2006</v>
      </c>
      <c r="U433" s="128" t="s">
        <v>22</v>
      </c>
      <c r="V433" s="129"/>
      <c r="W433" s="129"/>
      <c r="X433" s="122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</row>
    <row r="434" ht="12.0" customHeight="1">
      <c r="A434" s="5" t="s">
        <v>2918</v>
      </c>
      <c r="B434" s="5">
        <v>1.0</v>
      </c>
      <c r="C434" s="26" t="s">
        <v>1634</v>
      </c>
      <c r="D434" s="78" t="s">
        <v>2609</v>
      </c>
      <c r="E434" s="78" t="s">
        <v>2059</v>
      </c>
      <c r="F434" s="5" t="s">
        <v>1141</v>
      </c>
      <c r="G434" s="26" t="s">
        <v>1650</v>
      </c>
      <c r="H434" s="5" t="s">
        <v>2919</v>
      </c>
      <c r="I434" s="5">
        <v>1.0</v>
      </c>
      <c r="J434" s="12" t="s">
        <v>2920</v>
      </c>
      <c r="K434" s="5">
        <v>1.0</v>
      </c>
      <c r="L434" s="5" t="s">
        <v>1771</v>
      </c>
      <c r="M434" s="5" t="s">
        <v>2525</v>
      </c>
      <c r="N434" s="80" t="s">
        <v>2921</v>
      </c>
      <c r="O434" s="5"/>
      <c r="P434" s="5"/>
      <c r="Q434" s="5"/>
      <c r="R434" s="5"/>
      <c r="S434" s="80"/>
      <c r="T434" s="26" t="s">
        <v>2006</v>
      </c>
      <c r="U434" s="34" t="s">
        <v>22</v>
      </c>
      <c r="V434" s="81"/>
      <c r="W434" s="81"/>
      <c r="X434" s="5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</row>
    <row r="435" ht="12.0" customHeight="1">
      <c r="A435" s="5" t="s">
        <v>2918</v>
      </c>
      <c r="B435" s="5">
        <v>2.0</v>
      </c>
      <c r="C435" s="26" t="s">
        <v>1634</v>
      </c>
      <c r="D435" s="78" t="s">
        <v>2609</v>
      </c>
      <c r="E435" s="78" t="s">
        <v>2059</v>
      </c>
      <c r="F435" s="5" t="s">
        <v>1141</v>
      </c>
      <c r="G435" s="26" t="s">
        <v>1650</v>
      </c>
      <c r="H435" s="5" t="s">
        <v>2919</v>
      </c>
      <c r="I435" s="5">
        <v>2.0</v>
      </c>
      <c r="J435" s="12" t="s">
        <v>2920</v>
      </c>
      <c r="K435" s="5">
        <v>2.0</v>
      </c>
      <c r="L435" s="5" t="s">
        <v>1771</v>
      </c>
      <c r="M435" s="5" t="s">
        <v>2525</v>
      </c>
      <c r="N435" s="80" t="s">
        <v>2922</v>
      </c>
      <c r="O435" s="5"/>
      <c r="P435" s="5"/>
      <c r="Q435" s="5"/>
      <c r="R435" s="5"/>
      <c r="S435" s="80"/>
      <c r="T435" s="26" t="s">
        <v>2006</v>
      </c>
      <c r="U435" s="34" t="s">
        <v>22</v>
      </c>
      <c r="V435" s="81"/>
      <c r="W435" s="81"/>
      <c r="X435" s="5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</row>
    <row r="436" ht="12.0" customHeight="1">
      <c r="A436" s="5" t="s">
        <v>2918</v>
      </c>
      <c r="B436" s="12">
        <v>3.0</v>
      </c>
      <c r="C436" s="26" t="s">
        <v>1634</v>
      </c>
      <c r="D436" s="78" t="s">
        <v>2609</v>
      </c>
      <c r="E436" s="78" t="s">
        <v>2059</v>
      </c>
      <c r="F436" s="5" t="s">
        <v>1141</v>
      </c>
      <c r="G436" s="26" t="s">
        <v>1650</v>
      </c>
      <c r="H436" s="5" t="s">
        <v>2919</v>
      </c>
      <c r="I436" s="12">
        <v>3.0</v>
      </c>
      <c r="J436" s="12" t="s">
        <v>2920</v>
      </c>
      <c r="K436" s="12">
        <v>3.0</v>
      </c>
      <c r="L436" s="5" t="s">
        <v>1771</v>
      </c>
      <c r="M436" s="5" t="s">
        <v>2525</v>
      </c>
      <c r="N436" s="83" t="s">
        <v>2923</v>
      </c>
      <c r="O436" s="5"/>
      <c r="P436" s="5"/>
      <c r="Q436" s="5"/>
      <c r="R436" s="5"/>
      <c r="S436" s="80"/>
      <c r="T436" s="26" t="s">
        <v>2006</v>
      </c>
      <c r="U436" s="34" t="s">
        <v>22</v>
      </c>
      <c r="V436" s="81"/>
      <c r="W436" s="81"/>
      <c r="X436" s="5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</row>
    <row r="437" ht="12.0" customHeight="1">
      <c r="A437" s="5" t="s">
        <v>2918</v>
      </c>
      <c r="B437" s="5">
        <v>4.0</v>
      </c>
      <c r="C437" s="26" t="s">
        <v>1634</v>
      </c>
      <c r="D437" s="78" t="s">
        <v>2609</v>
      </c>
      <c r="E437" s="78" t="s">
        <v>2059</v>
      </c>
      <c r="F437" s="5" t="s">
        <v>1141</v>
      </c>
      <c r="G437" s="26" t="s">
        <v>1650</v>
      </c>
      <c r="H437" s="5" t="s">
        <v>2919</v>
      </c>
      <c r="I437" s="5">
        <v>4.0</v>
      </c>
      <c r="J437" s="12" t="s">
        <v>2920</v>
      </c>
      <c r="K437" s="5">
        <v>4.0</v>
      </c>
      <c r="L437" s="5" t="s">
        <v>1771</v>
      </c>
      <c r="M437" s="5" t="s">
        <v>2525</v>
      </c>
      <c r="N437" s="80" t="s">
        <v>2924</v>
      </c>
      <c r="O437" s="5"/>
      <c r="P437" s="5"/>
      <c r="Q437" s="5"/>
      <c r="R437" s="5"/>
      <c r="S437" s="80"/>
      <c r="T437" s="26" t="s">
        <v>2006</v>
      </c>
      <c r="U437" s="34" t="s">
        <v>22</v>
      </c>
      <c r="V437" s="81"/>
      <c r="W437" s="81"/>
      <c r="X437" s="5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</row>
    <row r="438" ht="12.0" customHeight="1">
      <c r="A438" s="5" t="s">
        <v>2918</v>
      </c>
      <c r="B438" s="5">
        <v>5.0</v>
      </c>
      <c r="C438" s="26" t="s">
        <v>1634</v>
      </c>
      <c r="D438" s="78" t="s">
        <v>2609</v>
      </c>
      <c r="E438" s="78" t="s">
        <v>2059</v>
      </c>
      <c r="F438" s="5" t="s">
        <v>1141</v>
      </c>
      <c r="G438" s="26" t="s">
        <v>1650</v>
      </c>
      <c r="H438" s="5" t="s">
        <v>2919</v>
      </c>
      <c r="I438" s="5">
        <v>5.0</v>
      </c>
      <c r="J438" s="12" t="s">
        <v>2920</v>
      </c>
      <c r="K438" s="5">
        <v>5.0</v>
      </c>
      <c r="L438" s="5" t="s">
        <v>1771</v>
      </c>
      <c r="M438" s="5" t="s">
        <v>2525</v>
      </c>
      <c r="N438" s="80" t="s">
        <v>2925</v>
      </c>
      <c r="O438" s="5"/>
      <c r="P438" s="5"/>
      <c r="Q438" s="5"/>
      <c r="R438" s="5"/>
      <c r="S438" s="80"/>
      <c r="T438" s="26" t="s">
        <v>2006</v>
      </c>
      <c r="U438" s="34" t="s">
        <v>22</v>
      </c>
      <c r="V438" s="81"/>
      <c r="W438" s="81"/>
      <c r="X438" s="5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</row>
    <row r="439" ht="12.0" customHeight="1">
      <c r="A439" s="5" t="s">
        <v>2918</v>
      </c>
      <c r="B439" s="5">
        <v>6.0</v>
      </c>
      <c r="C439" s="26" t="s">
        <v>1634</v>
      </c>
      <c r="D439" s="78" t="s">
        <v>2609</v>
      </c>
      <c r="E439" s="78" t="s">
        <v>2059</v>
      </c>
      <c r="F439" s="5" t="s">
        <v>1141</v>
      </c>
      <c r="G439" s="26" t="s">
        <v>1650</v>
      </c>
      <c r="H439" s="5" t="s">
        <v>2919</v>
      </c>
      <c r="I439" s="5">
        <v>6.0</v>
      </c>
      <c r="J439" s="12" t="s">
        <v>2920</v>
      </c>
      <c r="K439" s="5">
        <v>6.0</v>
      </c>
      <c r="L439" s="5" t="s">
        <v>1771</v>
      </c>
      <c r="M439" s="5" t="s">
        <v>2525</v>
      </c>
      <c r="N439" s="80" t="s">
        <v>2926</v>
      </c>
      <c r="O439" s="5"/>
      <c r="P439" s="5"/>
      <c r="Q439" s="5"/>
      <c r="R439" s="5"/>
      <c r="S439" s="80"/>
      <c r="T439" s="26" t="s">
        <v>2006</v>
      </c>
      <c r="U439" s="34" t="s">
        <v>22</v>
      </c>
      <c r="V439" s="81"/>
      <c r="W439" s="81"/>
      <c r="X439" s="5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</row>
    <row r="440" ht="12.0" customHeight="1">
      <c r="A440" s="5" t="s">
        <v>2918</v>
      </c>
      <c r="B440" s="5">
        <v>7.0</v>
      </c>
      <c r="C440" s="26" t="s">
        <v>1634</v>
      </c>
      <c r="D440" s="78" t="s">
        <v>2609</v>
      </c>
      <c r="E440" s="78" t="s">
        <v>2059</v>
      </c>
      <c r="F440" s="5" t="s">
        <v>1141</v>
      </c>
      <c r="G440" s="26" t="s">
        <v>1650</v>
      </c>
      <c r="H440" s="5" t="s">
        <v>2919</v>
      </c>
      <c r="I440" s="5">
        <v>7.0</v>
      </c>
      <c r="J440" s="12" t="s">
        <v>2920</v>
      </c>
      <c r="K440" s="5">
        <v>7.0</v>
      </c>
      <c r="L440" s="5" t="s">
        <v>1771</v>
      </c>
      <c r="M440" s="5" t="s">
        <v>2525</v>
      </c>
      <c r="N440" s="80" t="s">
        <v>2927</v>
      </c>
      <c r="O440" s="5"/>
      <c r="P440" s="5"/>
      <c r="Q440" s="5"/>
      <c r="R440" s="5"/>
      <c r="S440" s="80"/>
      <c r="T440" s="26" t="s">
        <v>2006</v>
      </c>
      <c r="U440" s="34" t="s">
        <v>22</v>
      </c>
      <c r="V440" s="81"/>
      <c r="W440" s="81"/>
      <c r="X440" s="5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</row>
    <row r="441" ht="12.0" customHeight="1">
      <c r="A441" s="5" t="s">
        <v>2918</v>
      </c>
      <c r="B441" s="5">
        <v>8.0</v>
      </c>
      <c r="C441" s="26" t="s">
        <v>1634</v>
      </c>
      <c r="D441" s="78" t="s">
        <v>2609</v>
      </c>
      <c r="E441" s="78" t="s">
        <v>2059</v>
      </c>
      <c r="F441" s="5" t="s">
        <v>1141</v>
      </c>
      <c r="G441" s="26" t="s">
        <v>1650</v>
      </c>
      <c r="H441" s="5" t="s">
        <v>2919</v>
      </c>
      <c r="I441" s="5">
        <v>8.0</v>
      </c>
      <c r="J441" s="12" t="s">
        <v>2920</v>
      </c>
      <c r="K441" s="5">
        <v>8.0</v>
      </c>
      <c r="L441" s="5" t="s">
        <v>1771</v>
      </c>
      <c r="M441" s="5" t="s">
        <v>2525</v>
      </c>
      <c r="N441" s="80" t="s">
        <v>2928</v>
      </c>
      <c r="O441" s="5"/>
      <c r="P441" s="5"/>
      <c r="Q441" s="5"/>
      <c r="R441" s="5"/>
      <c r="S441" s="80"/>
      <c r="T441" s="26" t="s">
        <v>2006</v>
      </c>
      <c r="U441" s="34" t="s">
        <v>22</v>
      </c>
      <c r="V441" s="81"/>
      <c r="W441" s="81"/>
      <c r="X441" s="5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</row>
    <row r="442" ht="12.0" customHeight="1">
      <c r="A442" s="5" t="s">
        <v>2929</v>
      </c>
      <c r="B442" s="12">
        <v>3.0</v>
      </c>
      <c r="C442" s="26" t="s">
        <v>1634</v>
      </c>
      <c r="D442" s="78" t="s">
        <v>2187</v>
      </c>
      <c r="E442" s="78" t="s">
        <v>2059</v>
      </c>
      <c r="F442" s="5" t="s">
        <v>1141</v>
      </c>
      <c r="G442" s="26" t="s">
        <v>1650</v>
      </c>
      <c r="H442" s="5" t="s">
        <v>1888</v>
      </c>
      <c r="I442" s="12">
        <v>417.0</v>
      </c>
      <c r="J442" s="12" t="s">
        <v>2930</v>
      </c>
      <c r="K442" s="82" t="s">
        <v>2171</v>
      </c>
      <c r="L442" s="5" t="s">
        <v>2726</v>
      </c>
      <c r="M442" s="12" t="s">
        <v>2931</v>
      </c>
      <c r="N442" s="83" t="s">
        <v>2932</v>
      </c>
      <c r="O442" s="5" t="s">
        <v>1888</v>
      </c>
      <c r="P442" s="12">
        <v>418.0</v>
      </c>
      <c r="Q442" s="5" t="s">
        <v>2726</v>
      </c>
      <c r="R442" s="12" t="s">
        <v>2931</v>
      </c>
      <c r="S442" s="83" t="s">
        <v>2932</v>
      </c>
      <c r="T442" s="26" t="s">
        <v>2006</v>
      </c>
      <c r="U442" s="34" t="s">
        <v>22</v>
      </c>
      <c r="V442" s="81"/>
      <c r="W442" s="81"/>
      <c r="X442" s="5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</row>
    <row r="443" ht="12.0" customHeight="1">
      <c r="A443" s="5" t="s">
        <v>2929</v>
      </c>
      <c r="B443" s="12">
        <v>4.0</v>
      </c>
      <c r="C443" s="26" t="s">
        <v>1634</v>
      </c>
      <c r="D443" s="78" t="s">
        <v>2187</v>
      </c>
      <c r="E443" s="78" t="s">
        <v>2059</v>
      </c>
      <c r="F443" s="5" t="s">
        <v>1141</v>
      </c>
      <c r="G443" s="26" t="s">
        <v>1650</v>
      </c>
      <c r="H443" s="5" t="s">
        <v>1888</v>
      </c>
      <c r="I443" s="12">
        <v>419.0</v>
      </c>
      <c r="J443" s="12" t="s">
        <v>2930</v>
      </c>
      <c r="K443" s="82" t="s">
        <v>2369</v>
      </c>
      <c r="L443" s="5" t="s">
        <v>2726</v>
      </c>
      <c r="M443" s="12" t="s">
        <v>2931</v>
      </c>
      <c r="N443" s="83" t="s">
        <v>2932</v>
      </c>
      <c r="O443" s="5" t="s">
        <v>1888</v>
      </c>
      <c r="P443" s="12">
        <v>420.0</v>
      </c>
      <c r="Q443" s="5" t="s">
        <v>2726</v>
      </c>
      <c r="R443" s="12" t="s">
        <v>2931</v>
      </c>
      <c r="S443" s="83" t="s">
        <v>2932</v>
      </c>
      <c r="T443" s="26" t="s">
        <v>2006</v>
      </c>
      <c r="U443" s="34" t="s">
        <v>22</v>
      </c>
      <c r="V443" s="81"/>
      <c r="W443" s="81"/>
      <c r="X443" s="5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</row>
    <row r="444" ht="12.0" customHeight="1">
      <c r="A444" s="5" t="s">
        <v>2929</v>
      </c>
      <c r="B444" s="12">
        <v>5.0</v>
      </c>
      <c r="C444" s="26" t="s">
        <v>1634</v>
      </c>
      <c r="D444" s="78" t="s">
        <v>2187</v>
      </c>
      <c r="E444" s="78" t="s">
        <v>2059</v>
      </c>
      <c r="F444" s="5" t="s">
        <v>1141</v>
      </c>
      <c r="G444" s="26" t="s">
        <v>1650</v>
      </c>
      <c r="H444" s="5" t="s">
        <v>1888</v>
      </c>
      <c r="I444" s="12">
        <v>421.0</v>
      </c>
      <c r="J444" s="12" t="s">
        <v>2933</v>
      </c>
      <c r="K444" s="82">
        <v>1.0</v>
      </c>
      <c r="L444" s="5" t="s">
        <v>2726</v>
      </c>
      <c r="M444" s="12" t="s">
        <v>2811</v>
      </c>
      <c r="N444" s="83" t="s">
        <v>2934</v>
      </c>
      <c r="O444" s="12" t="s">
        <v>2935</v>
      </c>
      <c r="P444" s="12">
        <v>180.0</v>
      </c>
      <c r="Q444" s="12" t="s">
        <v>2936</v>
      </c>
      <c r="R444" s="12" t="s">
        <v>2937</v>
      </c>
      <c r="S444" s="83" t="s">
        <v>2938</v>
      </c>
      <c r="T444" s="26" t="s">
        <v>2006</v>
      </c>
      <c r="U444" s="34" t="s">
        <v>22</v>
      </c>
      <c r="V444" s="81"/>
      <c r="W444" s="81"/>
      <c r="X444" s="5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</row>
    <row r="445" ht="12.0" hidden="1" customHeight="1">
      <c r="A445" s="5" t="s">
        <v>2929</v>
      </c>
      <c r="B445" s="12">
        <v>7.0</v>
      </c>
      <c r="C445" s="26" t="s">
        <v>1634</v>
      </c>
      <c r="D445" s="78" t="s">
        <v>2187</v>
      </c>
      <c r="E445" s="78" t="s">
        <v>2001</v>
      </c>
      <c r="F445" s="5" t="s">
        <v>1141</v>
      </c>
      <c r="G445" s="26" t="s">
        <v>1650</v>
      </c>
      <c r="H445" s="12" t="s">
        <v>2939</v>
      </c>
      <c r="I445" s="12">
        <v>44.0</v>
      </c>
      <c r="J445" s="12"/>
      <c r="K445" s="82"/>
      <c r="L445" s="5" t="s">
        <v>2726</v>
      </c>
      <c r="M445" s="12" t="s">
        <v>2940</v>
      </c>
      <c r="N445" s="83" t="s">
        <v>2941</v>
      </c>
      <c r="O445" s="12" t="s">
        <v>2939</v>
      </c>
      <c r="P445" s="12">
        <v>50.0</v>
      </c>
      <c r="Q445" s="12" t="s">
        <v>2149</v>
      </c>
      <c r="R445" s="12" t="s">
        <v>1900</v>
      </c>
      <c r="S445" s="83" t="s">
        <v>2942</v>
      </c>
      <c r="T445" s="26" t="s">
        <v>2006</v>
      </c>
      <c r="U445" s="34" t="s">
        <v>22</v>
      </c>
      <c r="V445" s="81"/>
      <c r="W445" s="81"/>
      <c r="X445" s="5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</row>
    <row r="446" ht="12.0" hidden="1" customHeight="1">
      <c r="A446" s="5" t="s">
        <v>2929</v>
      </c>
      <c r="B446" s="5">
        <v>8.0</v>
      </c>
      <c r="C446" s="26" t="s">
        <v>1634</v>
      </c>
      <c r="D446" s="78" t="s">
        <v>2187</v>
      </c>
      <c r="E446" s="78" t="s">
        <v>2001</v>
      </c>
      <c r="F446" s="5" t="s">
        <v>1141</v>
      </c>
      <c r="G446" s="26" t="s">
        <v>1650</v>
      </c>
      <c r="H446" s="5" t="s">
        <v>1888</v>
      </c>
      <c r="I446" s="5">
        <v>423.0</v>
      </c>
      <c r="J446" s="12" t="s">
        <v>2943</v>
      </c>
      <c r="K446" s="82" t="s">
        <v>2171</v>
      </c>
      <c r="L446" s="5" t="s">
        <v>2726</v>
      </c>
      <c r="M446" s="5" t="s">
        <v>2811</v>
      </c>
      <c r="N446" s="83" t="s">
        <v>2944</v>
      </c>
      <c r="O446" s="5" t="s">
        <v>1888</v>
      </c>
      <c r="P446" s="12">
        <v>424.0</v>
      </c>
      <c r="Q446" s="5" t="s">
        <v>2726</v>
      </c>
      <c r="R446" s="5" t="s">
        <v>2811</v>
      </c>
      <c r="S446" s="83" t="s">
        <v>2944</v>
      </c>
      <c r="T446" s="26" t="s">
        <v>2006</v>
      </c>
      <c r="U446" s="34" t="s">
        <v>22</v>
      </c>
      <c r="V446" s="81"/>
      <c r="W446" s="81"/>
      <c r="X446" s="5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</row>
    <row r="447" ht="12.0" hidden="1" customHeight="1">
      <c r="A447" s="5" t="s">
        <v>2929</v>
      </c>
      <c r="B447" s="12">
        <v>9.0</v>
      </c>
      <c r="C447" s="26" t="s">
        <v>1634</v>
      </c>
      <c r="D447" s="78" t="s">
        <v>2187</v>
      </c>
      <c r="E447" s="78" t="s">
        <v>2001</v>
      </c>
      <c r="F447" s="5" t="s">
        <v>1141</v>
      </c>
      <c r="G447" s="26" t="s">
        <v>1650</v>
      </c>
      <c r="H447" s="5" t="s">
        <v>1888</v>
      </c>
      <c r="I447" s="12">
        <v>425.0</v>
      </c>
      <c r="J447" s="12" t="s">
        <v>2945</v>
      </c>
      <c r="K447" s="82" t="s">
        <v>2171</v>
      </c>
      <c r="L447" s="5" t="s">
        <v>2726</v>
      </c>
      <c r="M447" s="12" t="s">
        <v>2946</v>
      </c>
      <c r="N447" s="83" t="s">
        <v>2947</v>
      </c>
      <c r="O447" s="5" t="s">
        <v>1888</v>
      </c>
      <c r="P447" s="12">
        <v>426.0</v>
      </c>
      <c r="Q447" s="5" t="s">
        <v>2726</v>
      </c>
      <c r="R447" s="12" t="s">
        <v>2946</v>
      </c>
      <c r="S447" s="83" t="s">
        <v>2947</v>
      </c>
      <c r="T447" s="26" t="s">
        <v>2006</v>
      </c>
      <c r="U447" s="34" t="s">
        <v>22</v>
      </c>
      <c r="V447" s="81"/>
      <c r="W447" s="81"/>
      <c r="X447" s="5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</row>
    <row r="448" ht="12.0" hidden="1" customHeight="1">
      <c r="A448" s="5" t="s">
        <v>2929</v>
      </c>
      <c r="B448" s="12">
        <v>10.0</v>
      </c>
      <c r="C448" s="26" t="s">
        <v>1634</v>
      </c>
      <c r="D448" s="78" t="s">
        <v>2187</v>
      </c>
      <c r="E448" s="78" t="s">
        <v>2001</v>
      </c>
      <c r="F448" s="5" t="s">
        <v>1141</v>
      </c>
      <c r="G448" s="26" t="s">
        <v>1650</v>
      </c>
      <c r="H448" s="5" t="s">
        <v>1888</v>
      </c>
      <c r="I448" s="12">
        <v>427.0</v>
      </c>
      <c r="J448" s="5"/>
      <c r="K448" s="79"/>
      <c r="L448" s="5" t="s">
        <v>2726</v>
      </c>
      <c r="M448" s="12" t="s">
        <v>2948</v>
      </c>
      <c r="N448" s="83" t="s">
        <v>2949</v>
      </c>
      <c r="O448" s="12" t="s">
        <v>2939</v>
      </c>
      <c r="P448" s="12">
        <v>45.0</v>
      </c>
      <c r="Q448" s="5" t="s">
        <v>2726</v>
      </c>
      <c r="R448" s="12" t="s">
        <v>2950</v>
      </c>
      <c r="S448" s="98" t="s">
        <v>2951</v>
      </c>
      <c r="T448" s="26" t="s">
        <v>2006</v>
      </c>
      <c r="U448" s="34" t="s">
        <v>22</v>
      </c>
      <c r="V448" s="81"/>
      <c r="W448" s="81"/>
      <c r="X448" s="12" t="s">
        <v>2952</v>
      </c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</row>
    <row r="449" ht="12.0" hidden="1" customHeight="1">
      <c r="A449" s="5" t="s">
        <v>2929</v>
      </c>
      <c r="B449" s="5">
        <v>11.0</v>
      </c>
      <c r="C449" s="26" t="s">
        <v>1634</v>
      </c>
      <c r="D449" s="78" t="s">
        <v>2187</v>
      </c>
      <c r="E449" s="78" t="s">
        <v>2001</v>
      </c>
      <c r="F449" s="5" t="s">
        <v>1141</v>
      </c>
      <c r="G449" s="26" t="s">
        <v>1650</v>
      </c>
      <c r="H449" s="5" t="s">
        <v>2953</v>
      </c>
      <c r="I449" s="5">
        <v>146.0</v>
      </c>
      <c r="J449" s="12" t="s">
        <v>2954</v>
      </c>
      <c r="K449" s="82" t="s">
        <v>2171</v>
      </c>
      <c r="L449" s="5" t="s">
        <v>2550</v>
      </c>
      <c r="M449" s="5" t="s">
        <v>2955</v>
      </c>
      <c r="N449" s="80" t="s">
        <v>2956</v>
      </c>
      <c r="O449" s="5" t="s">
        <v>2953</v>
      </c>
      <c r="P449" s="12">
        <v>147.0</v>
      </c>
      <c r="Q449" s="5" t="s">
        <v>2550</v>
      </c>
      <c r="R449" s="5" t="s">
        <v>2955</v>
      </c>
      <c r="S449" s="83" t="s">
        <v>2957</v>
      </c>
      <c r="T449" s="26" t="s">
        <v>2006</v>
      </c>
      <c r="U449" s="34" t="s">
        <v>22</v>
      </c>
      <c r="V449" s="81"/>
      <c r="W449" s="81"/>
      <c r="X449" s="5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</row>
    <row r="450" ht="12.0" hidden="1" customHeight="1">
      <c r="A450" s="5" t="s">
        <v>2929</v>
      </c>
      <c r="B450" s="12">
        <v>12.0</v>
      </c>
      <c r="C450" s="26" t="s">
        <v>1634</v>
      </c>
      <c r="D450" s="78" t="s">
        <v>2187</v>
      </c>
      <c r="E450" s="78" t="s">
        <v>2001</v>
      </c>
      <c r="F450" s="5" t="s">
        <v>1141</v>
      </c>
      <c r="G450" s="26" t="s">
        <v>1650</v>
      </c>
      <c r="H450" s="5" t="s">
        <v>2953</v>
      </c>
      <c r="I450" s="12">
        <v>148.0</v>
      </c>
      <c r="J450" s="12" t="s">
        <v>2954</v>
      </c>
      <c r="K450" s="82" t="s">
        <v>2369</v>
      </c>
      <c r="L450" s="5" t="s">
        <v>2550</v>
      </c>
      <c r="M450" s="5" t="s">
        <v>2955</v>
      </c>
      <c r="N450" s="83" t="s">
        <v>2957</v>
      </c>
      <c r="O450" s="5" t="s">
        <v>2953</v>
      </c>
      <c r="P450" s="12">
        <v>149.0</v>
      </c>
      <c r="Q450" s="5" t="s">
        <v>2550</v>
      </c>
      <c r="R450" s="5" t="s">
        <v>2955</v>
      </c>
      <c r="S450" s="83" t="s">
        <v>2957</v>
      </c>
      <c r="T450" s="26" t="s">
        <v>2006</v>
      </c>
      <c r="U450" s="34" t="s">
        <v>22</v>
      </c>
      <c r="V450" s="81"/>
      <c r="W450" s="81"/>
      <c r="X450" s="5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</row>
    <row r="451" ht="12.0" hidden="1" customHeight="1">
      <c r="A451" s="5" t="s">
        <v>2929</v>
      </c>
      <c r="B451" s="12">
        <v>13.0</v>
      </c>
      <c r="C451" s="26" t="s">
        <v>1634</v>
      </c>
      <c r="D451" s="78" t="s">
        <v>2187</v>
      </c>
      <c r="E451" s="78" t="s">
        <v>2001</v>
      </c>
      <c r="F451" s="5" t="s">
        <v>1141</v>
      </c>
      <c r="G451" s="26" t="s">
        <v>1650</v>
      </c>
      <c r="H451" s="5" t="s">
        <v>2953</v>
      </c>
      <c r="I451" s="12">
        <v>150.0</v>
      </c>
      <c r="J451" s="12" t="s">
        <v>2954</v>
      </c>
      <c r="K451" s="82">
        <v>5.0</v>
      </c>
      <c r="L451" s="5" t="s">
        <v>2550</v>
      </c>
      <c r="M451" s="5" t="s">
        <v>2955</v>
      </c>
      <c r="N451" s="83" t="s">
        <v>2957</v>
      </c>
      <c r="O451" s="5"/>
      <c r="P451" s="12"/>
      <c r="Q451" s="5"/>
      <c r="R451" s="5"/>
      <c r="S451" s="80"/>
      <c r="T451" s="26" t="s">
        <v>2006</v>
      </c>
      <c r="U451" s="34" t="s">
        <v>22</v>
      </c>
      <c r="V451" s="81"/>
      <c r="W451" s="81"/>
      <c r="X451" s="5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</row>
    <row r="452" ht="12.0" customHeight="1">
      <c r="A452" s="5" t="s">
        <v>2929</v>
      </c>
      <c r="B452" s="12">
        <v>14.0</v>
      </c>
      <c r="C452" s="26" t="s">
        <v>1634</v>
      </c>
      <c r="D452" s="78" t="s">
        <v>2187</v>
      </c>
      <c r="E452" s="78" t="s">
        <v>2059</v>
      </c>
      <c r="F452" s="5" t="s">
        <v>1141</v>
      </c>
      <c r="G452" s="26" t="s">
        <v>1650</v>
      </c>
      <c r="H452" s="5" t="s">
        <v>2953</v>
      </c>
      <c r="I452" s="12">
        <v>151.0</v>
      </c>
      <c r="J452" s="12" t="s">
        <v>2958</v>
      </c>
      <c r="K452" s="82" t="s">
        <v>2171</v>
      </c>
      <c r="L452" s="5" t="s">
        <v>2550</v>
      </c>
      <c r="M452" s="12" t="s">
        <v>2959</v>
      </c>
      <c r="N452" s="83" t="s">
        <v>2960</v>
      </c>
      <c r="O452" s="5" t="s">
        <v>2953</v>
      </c>
      <c r="P452" s="12">
        <v>152.0</v>
      </c>
      <c r="Q452" s="5" t="s">
        <v>2550</v>
      </c>
      <c r="R452" s="12" t="s">
        <v>2959</v>
      </c>
      <c r="S452" s="83" t="s">
        <v>2960</v>
      </c>
      <c r="T452" s="26" t="s">
        <v>2006</v>
      </c>
      <c r="U452" s="34" t="s">
        <v>22</v>
      </c>
      <c r="V452" s="81"/>
      <c r="W452" s="81"/>
      <c r="X452" s="5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</row>
    <row r="453" ht="12.0" hidden="1" customHeight="1">
      <c r="A453" s="5" t="s">
        <v>2590</v>
      </c>
      <c r="B453" s="5">
        <v>1.0</v>
      </c>
      <c r="C453" s="26" t="s">
        <v>1634</v>
      </c>
      <c r="D453" s="78" t="s">
        <v>2187</v>
      </c>
      <c r="E453" s="78" t="s">
        <v>2001</v>
      </c>
      <c r="F453" s="5" t="s">
        <v>1141</v>
      </c>
      <c r="G453" s="26" t="s">
        <v>1650</v>
      </c>
      <c r="H453" s="12" t="s">
        <v>2935</v>
      </c>
      <c r="I453" s="5">
        <v>150.0</v>
      </c>
      <c r="J453" s="12" t="s">
        <v>2961</v>
      </c>
      <c r="K453" s="82" t="s">
        <v>2171</v>
      </c>
      <c r="L453" s="5" t="s">
        <v>2962</v>
      </c>
      <c r="M453" s="5" t="s">
        <v>2962</v>
      </c>
      <c r="N453" s="83" t="s">
        <v>2963</v>
      </c>
      <c r="O453" s="12" t="s">
        <v>2935</v>
      </c>
      <c r="P453" s="12">
        <v>151.0</v>
      </c>
      <c r="Q453" s="5" t="s">
        <v>2962</v>
      </c>
      <c r="R453" s="5" t="s">
        <v>2962</v>
      </c>
      <c r="S453" s="83" t="s">
        <v>2963</v>
      </c>
      <c r="T453" s="26" t="s">
        <v>2006</v>
      </c>
      <c r="U453" s="34" t="s">
        <v>22</v>
      </c>
      <c r="V453" s="81"/>
      <c r="W453" s="81"/>
      <c r="X453" s="5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</row>
    <row r="454" ht="12.0" hidden="1" customHeight="1">
      <c r="A454" s="5" t="s">
        <v>2590</v>
      </c>
      <c r="B454" s="12">
        <v>2.0</v>
      </c>
      <c r="C454" s="26" t="s">
        <v>1634</v>
      </c>
      <c r="D454" s="78" t="s">
        <v>2187</v>
      </c>
      <c r="E454" s="78" t="s">
        <v>2001</v>
      </c>
      <c r="F454" s="5" t="s">
        <v>1141</v>
      </c>
      <c r="G454" s="26" t="s">
        <v>1650</v>
      </c>
      <c r="H454" s="12" t="s">
        <v>2935</v>
      </c>
      <c r="I454" s="12">
        <v>152.0</v>
      </c>
      <c r="J454" s="12" t="s">
        <v>2961</v>
      </c>
      <c r="K454" s="82" t="s">
        <v>2369</v>
      </c>
      <c r="L454" s="5" t="s">
        <v>2962</v>
      </c>
      <c r="M454" s="5" t="s">
        <v>2962</v>
      </c>
      <c r="N454" s="83" t="s">
        <v>2963</v>
      </c>
      <c r="O454" s="12" t="s">
        <v>2935</v>
      </c>
      <c r="P454" s="12">
        <v>153.0</v>
      </c>
      <c r="Q454" s="5" t="s">
        <v>2962</v>
      </c>
      <c r="R454" s="5" t="s">
        <v>2962</v>
      </c>
      <c r="S454" s="83" t="s">
        <v>2963</v>
      </c>
      <c r="T454" s="26" t="s">
        <v>2006</v>
      </c>
      <c r="U454" s="34" t="s">
        <v>22</v>
      </c>
      <c r="V454" s="81"/>
      <c r="W454" s="81"/>
      <c r="X454" s="5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</row>
    <row r="455" ht="12.0" customHeight="1">
      <c r="A455" s="5" t="s">
        <v>2590</v>
      </c>
      <c r="B455" s="12">
        <v>3.0</v>
      </c>
      <c r="C455" s="26" t="s">
        <v>1634</v>
      </c>
      <c r="D455" s="78" t="s">
        <v>2187</v>
      </c>
      <c r="E455" s="78" t="s">
        <v>2059</v>
      </c>
      <c r="F455" s="5" t="s">
        <v>1141</v>
      </c>
      <c r="G455" s="26" t="s">
        <v>1650</v>
      </c>
      <c r="H455" s="5" t="s">
        <v>2964</v>
      </c>
      <c r="I455" s="12">
        <v>1.0</v>
      </c>
      <c r="J455" s="12" t="s">
        <v>2965</v>
      </c>
      <c r="K455" s="82" t="s">
        <v>2171</v>
      </c>
      <c r="L455" s="5" t="s">
        <v>1741</v>
      </c>
      <c r="M455" s="5" t="s">
        <v>2937</v>
      </c>
      <c r="N455" s="83" t="s">
        <v>2966</v>
      </c>
      <c r="O455" s="5" t="s">
        <v>2964</v>
      </c>
      <c r="P455" s="12">
        <v>2.0</v>
      </c>
      <c r="Q455" s="5" t="s">
        <v>1741</v>
      </c>
      <c r="R455" s="5" t="s">
        <v>2937</v>
      </c>
      <c r="S455" s="83" t="s">
        <v>2966</v>
      </c>
      <c r="T455" s="26" t="s">
        <v>2006</v>
      </c>
      <c r="U455" s="34" t="s">
        <v>22</v>
      </c>
      <c r="V455" s="81"/>
      <c r="W455" s="81"/>
      <c r="X455" s="5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</row>
    <row r="456" ht="12.0" customHeight="1">
      <c r="A456" s="5" t="s">
        <v>2590</v>
      </c>
      <c r="B456" s="5">
        <v>4.0</v>
      </c>
      <c r="C456" s="26" t="s">
        <v>1634</v>
      </c>
      <c r="D456" s="78" t="s">
        <v>2187</v>
      </c>
      <c r="E456" s="78" t="s">
        <v>2059</v>
      </c>
      <c r="F456" s="5" t="s">
        <v>1141</v>
      </c>
      <c r="G456" s="26" t="s">
        <v>1650</v>
      </c>
      <c r="H456" s="5" t="s">
        <v>2964</v>
      </c>
      <c r="I456" s="5">
        <v>3.0</v>
      </c>
      <c r="J456" s="12" t="s">
        <v>2965</v>
      </c>
      <c r="K456" s="82" t="s">
        <v>2369</v>
      </c>
      <c r="L456" s="5" t="s">
        <v>1741</v>
      </c>
      <c r="M456" s="5" t="s">
        <v>2937</v>
      </c>
      <c r="N456" s="83" t="s">
        <v>2966</v>
      </c>
      <c r="O456" s="5" t="s">
        <v>2964</v>
      </c>
      <c r="P456" s="12">
        <v>4.0</v>
      </c>
      <c r="Q456" s="5" t="s">
        <v>1741</v>
      </c>
      <c r="R456" s="5" t="s">
        <v>2937</v>
      </c>
      <c r="S456" s="83" t="s">
        <v>2966</v>
      </c>
      <c r="T456" s="26" t="s">
        <v>2006</v>
      </c>
      <c r="U456" s="34" t="s">
        <v>22</v>
      </c>
      <c r="V456" s="81"/>
      <c r="W456" s="81"/>
      <c r="X456" s="5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</row>
    <row r="457" ht="12.0" customHeight="1">
      <c r="A457" s="5" t="s">
        <v>2590</v>
      </c>
      <c r="B457" s="5">
        <v>6.0</v>
      </c>
      <c r="C457" s="26" t="s">
        <v>1634</v>
      </c>
      <c r="D457" s="78" t="s">
        <v>2187</v>
      </c>
      <c r="E457" s="78" t="s">
        <v>2059</v>
      </c>
      <c r="F457" s="5" t="s">
        <v>1141</v>
      </c>
      <c r="G457" s="26" t="s">
        <v>1650</v>
      </c>
      <c r="H457" s="12" t="s">
        <v>2967</v>
      </c>
      <c r="I457" s="5">
        <v>13.0</v>
      </c>
      <c r="J457" s="12" t="s">
        <v>2968</v>
      </c>
      <c r="K457" s="82" t="s">
        <v>2171</v>
      </c>
      <c r="L457" s="5" t="s">
        <v>2969</v>
      </c>
      <c r="M457" s="5" t="s">
        <v>2632</v>
      </c>
      <c r="N457" s="80" t="s">
        <v>2970</v>
      </c>
      <c r="O457" s="12" t="s">
        <v>2967</v>
      </c>
      <c r="P457" s="12">
        <v>14.0</v>
      </c>
      <c r="Q457" s="5" t="s">
        <v>2969</v>
      </c>
      <c r="R457" s="5" t="s">
        <v>2632</v>
      </c>
      <c r="S457" s="80"/>
      <c r="T457" s="26" t="s">
        <v>2006</v>
      </c>
      <c r="U457" s="34" t="s">
        <v>22</v>
      </c>
      <c r="V457" s="81"/>
      <c r="W457" s="81"/>
      <c r="X457" s="5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</row>
    <row r="458" ht="12.0" customHeight="1">
      <c r="A458" s="5" t="s">
        <v>2590</v>
      </c>
      <c r="B458" s="5">
        <v>7.0</v>
      </c>
      <c r="C458" s="26" t="s">
        <v>1634</v>
      </c>
      <c r="D458" s="78" t="s">
        <v>2187</v>
      </c>
      <c r="E458" s="78" t="s">
        <v>2059</v>
      </c>
      <c r="F458" s="5" t="s">
        <v>1141</v>
      </c>
      <c r="G458" s="26" t="s">
        <v>1650</v>
      </c>
      <c r="H458" s="12" t="s">
        <v>2967</v>
      </c>
      <c r="I458" s="5">
        <v>15.0</v>
      </c>
      <c r="J458" s="12" t="s">
        <v>2968</v>
      </c>
      <c r="K458" s="82" t="s">
        <v>2369</v>
      </c>
      <c r="L458" s="5" t="s">
        <v>2969</v>
      </c>
      <c r="M458" s="5" t="s">
        <v>2632</v>
      </c>
      <c r="N458" s="80" t="s">
        <v>2971</v>
      </c>
      <c r="O458" s="12" t="s">
        <v>2967</v>
      </c>
      <c r="P458" s="12">
        <v>16.0</v>
      </c>
      <c r="Q458" s="5" t="s">
        <v>2969</v>
      </c>
      <c r="R458" s="5" t="s">
        <v>2632</v>
      </c>
      <c r="S458" s="80"/>
      <c r="T458" s="26" t="s">
        <v>2006</v>
      </c>
      <c r="U458" s="34" t="s">
        <v>22</v>
      </c>
      <c r="V458" s="81"/>
      <c r="W458" s="81"/>
      <c r="X458" s="5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</row>
    <row r="459" ht="12.0" customHeight="1">
      <c r="A459" s="5" t="s">
        <v>2590</v>
      </c>
      <c r="B459" s="5">
        <v>10.0</v>
      </c>
      <c r="C459" s="26" t="s">
        <v>1634</v>
      </c>
      <c r="D459" s="78" t="s">
        <v>2187</v>
      </c>
      <c r="E459" s="78" t="s">
        <v>2059</v>
      </c>
      <c r="F459" s="5" t="s">
        <v>1141</v>
      </c>
      <c r="G459" s="26" t="s">
        <v>1650</v>
      </c>
      <c r="H459" s="12" t="s">
        <v>2967</v>
      </c>
      <c r="I459" s="5">
        <v>20.0</v>
      </c>
      <c r="J459" s="12" t="s">
        <v>2972</v>
      </c>
      <c r="K459" s="82">
        <v>1.0</v>
      </c>
      <c r="L459" s="5" t="s">
        <v>1771</v>
      </c>
      <c r="M459" s="5" t="s">
        <v>2167</v>
      </c>
      <c r="N459" s="80" t="s">
        <v>2973</v>
      </c>
      <c r="O459" s="5"/>
      <c r="P459" s="5"/>
      <c r="Q459" s="5"/>
      <c r="R459" s="5"/>
      <c r="S459" s="80"/>
      <c r="T459" s="26" t="s">
        <v>2006</v>
      </c>
      <c r="U459" s="34" t="s">
        <v>22</v>
      </c>
      <c r="V459" s="81"/>
      <c r="W459" s="81"/>
      <c r="X459" s="5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ht="12.0" customHeight="1">
      <c r="A460" s="5" t="s">
        <v>2590</v>
      </c>
      <c r="B460" s="12">
        <v>11.0</v>
      </c>
      <c r="C460" s="26" t="s">
        <v>1634</v>
      </c>
      <c r="D460" s="78" t="s">
        <v>2187</v>
      </c>
      <c r="E460" s="78" t="s">
        <v>2059</v>
      </c>
      <c r="F460" s="5" t="s">
        <v>1141</v>
      </c>
      <c r="G460" s="26" t="s">
        <v>1650</v>
      </c>
      <c r="H460" s="12" t="s">
        <v>2967</v>
      </c>
      <c r="I460" s="12">
        <v>21.0</v>
      </c>
      <c r="J460" s="12" t="s">
        <v>2972</v>
      </c>
      <c r="K460" s="82">
        <v>2.0</v>
      </c>
      <c r="L460" s="5" t="s">
        <v>1771</v>
      </c>
      <c r="M460" s="5" t="s">
        <v>2167</v>
      </c>
      <c r="N460" s="83" t="s">
        <v>2974</v>
      </c>
      <c r="O460" s="5"/>
      <c r="P460" s="5"/>
      <c r="Q460" s="5"/>
      <c r="R460" s="5"/>
      <c r="S460" s="80"/>
      <c r="T460" s="26" t="s">
        <v>2006</v>
      </c>
      <c r="U460" s="34" t="s">
        <v>22</v>
      </c>
      <c r="V460" s="81"/>
      <c r="W460" s="81"/>
      <c r="X460" s="5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</row>
    <row r="461" ht="12.0" customHeight="1">
      <c r="A461" s="5" t="s">
        <v>2590</v>
      </c>
      <c r="B461" s="5">
        <v>12.0</v>
      </c>
      <c r="C461" s="26" t="s">
        <v>1634</v>
      </c>
      <c r="D461" s="78" t="s">
        <v>2187</v>
      </c>
      <c r="E461" s="78" t="s">
        <v>2059</v>
      </c>
      <c r="F461" s="5" t="s">
        <v>1141</v>
      </c>
      <c r="G461" s="26" t="s">
        <v>1650</v>
      </c>
      <c r="H461" s="12" t="s">
        <v>2967</v>
      </c>
      <c r="I461" s="5">
        <v>22.0</v>
      </c>
      <c r="J461" s="12" t="s">
        <v>2972</v>
      </c>
      <c r="K461" s="82">
        <v>3.0</v>
      </c>
      <c r="L461" s="5" t="s">
        <v>1771</v>
      </c>
      <c r="M461" s="5" t="s">
        <v>2167</v>
      </c>
      <c r="N461" s="80" t="s">
        <v>2975</v>
      </c>
      <c r="O461" s="5"/>
      <c r="P461" s="5"/>
      <c r="Q461" s="5"/>
      <c r="R461" s="5"/>
      <c r="S461" s="80"/>
      <c r="T461" s="26" t="s">
        <v>2006</v>
      </c>
      <c r="U461" s="34" t="s">
        <v>22</v>
      </c>
      <c r="V461" s="81"/>
      <c r="W461" s="81"/>
      <c r="X461" s="5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</row>
    <row r="462" ht="12.0" customHeight="1">
      <c r="A462" s="5" t="s">
        <v>2590</v>
      </c>
      <c r="B462" s="12">
        <v>13.0</v>
      </c>
      <c r="C462" s="26" t="s">
        <v>1634</v>
      </c>
      <c r="D462" s="78" t="s">
        <v>2187</v>
      </c>
      <c r="E462" s="78" t="s">
        <v>2059</v>
      </c>
      <c r="F462" s="5" t="s">
        <v>1141</v>
      </c>
      <c r="G462" s="26" t="s">
        <v>1650</v>
      </c>
      <c r="H462" s="12" t="s">
        <v>2967</v>
      </c>
      <c r="I462" s="12">
        <v>23.0</v>
      </c>
      <c r="J462" s="12" t="s">
        <v>2972</v>
      </c>
      <c r="K462" s="82">
        <v>4.0</v>
      </c>
      <c r="L462" s="5" t="s">
        <v>1771</v>
      </c>
      <c r="M462" s="5" t="s">
        <v>2167</v>
      </c>
      <c r="N462" s="83" t="s">
        <v>2976</v>
      </c>
      <c r="O462" s="5"/>
      <c r="P462" s="5"/>
      <c r="Q462" s="5"/>
      <c r="R462" s="5"/>
      <c r="S462" s="80"/>
      <c r="T462" s="26" t="s">
        <v>2006</v>
      </c>
      <c r="U462" s="34" t="s">
        <v>22</v>
      </c>
      <c r="V462" s="81"/>
      <c r="W462" s="81"/>
      <c r="X462" s="5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</row>
    <row r="463" ht="12.0" customHeight="1">
      <c r="A463" s="5" t="s">
        <v>2590</v>
      </c>
      <c r="B463" s="12">
        <v>15.0</v>
      </c>
      <c r="C463" s="26" t="s">
        <v>1634</v>
      </c>
      <c r="D463" s="78" t="s">
        <v>2187</v>
      </c>
      <c r="E463" s="78" t="s">
        <v>2059</v>
      </c>
      <c r="F463" s="5" t="s">
        <v>1141</v>
      </c>
      <c r="G463" s="26" t="s">
        <v>1650</v>
      </c>
      <c r="H463" s="12" t="s">
        <v>2967</v>
      </c>
      <c r="I463" s="12">
        <v>25.0</v>
      </c>
      <c r="J463" s="12" t="s">
        <v>2972</v>
      </c>
      <c r="K463" s="82">
        <v>6.0</v>
      </c>
      <c r="L463" s="5" t="s">
        <v>1771</v>
      </c>
      <c r="M463" s="5" t="s">
        <v>2167</v>
      </c>
      <c r="N463" s="83" t="s">
        <v>2977</v>
      </c>
      <c r="O463" s="5"/>
      <c r="P463" s="5"/>
      <c r="Q463" s="5"/>
      <c r="R463" s="5"/>
      <c r="S463" s="80"/>
      <c r="T463" s="26" t="s">
        <v>2006</v>
      </c>
      <c r="U463" s="34" t="s">
        <v>22</v>
      </c>
      <c r="V463" s="81"/>
      <c r="W463" s="81"/>
      <c r="X463" s="5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</row>
    <row r="464" ht="12.0" customHeight="1">
      <c r="A464" s="5" t="s">
        <v>2978</v>
      </c>
      <c r="B464" s="5">
        <v>1.0</v>
      </c>
      <c r="C464" s="26" t="s">
        <v>1634</v>
      </c>
      <c r="D464" s="78" t="s">
        <v>2187</v>
      </c>
      <c r="E464" s="78" t="s">
        <v>2059</v>
      </c>
      <c r="F464" s="5" t="s">
        <v>1141</v>
      </c>
      <c r="G464" s="26" t="s">
        <v>1650</v>
      </c>
      <c r="H464" s="5" t="s">
        <v>2978</v>
      </c>
      <c r="I464" s="5">
        <v>1.0</v>
      </c>
      <c r="J464" s="12" t="s">
        <v>2979</v>
      </c>
      <c r="K464" s="82">
        <v>1.0</v>
      </c>
      <c r="L464" s="5" t="s">
        <v>2675</v>
      </c>
      <c r="M464" s="5" t="s">
        <v>2980</v>
      </c>
      <c r="N464" s="80" t="s">
        <v>2981</v>
      </c>
      <c r="O464" s="5"/>
      <c r="P464" s="5"/>
      <c r="Q464" s="5"/>
      <c r="R464" s="5"/>
      <c r="S464" s="80"/>
      <c r="T464" s="26" t="s">
        <v>2006</v>
      </c>
      <c r="U464" s="34" t="s">
        <v>22</v>
      </c>
      <c r="V464" s="81"/>
      <c r="W464" s="81"/>
      <c r="X464" s="5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</row>
    <row r="465" ht="12.0" customHeight="1">
      <c r="A465" s="5" t="s">
        <v>2978</v>
      </c>
      <c r="B465" s="5">
        <v>2.0</v>
      </c>
      <c r="C465" s="26" t="s">
        <v>1634</v>
      </c>
      <c r="D465" s="78" t="s">
        <v>2187</v>
      </c>
      <c r="E465" s="78" t="s">
        <v>2059</v>
      </c>
      <c r="F465" s="5" t="s">
        <v>1141</v>
      </c>
      <c r="G465" s="26" t="s">
        <v>1650</v>
      </c>
      <c r="H465" s="5" t="s">
        <v>2978</v>
      </c>
      <c r="I465" s="5">
        <v>2.0</v>
      </c>
      <c r="J465" s="12" t="s">
        <v>2979</v>
      </c>
      <c r="K465" s="82">
        <v>2.0</v>
      </c>
      <c r="L465" s="5" t="s">
        <v>2675</v>
      </c>
      <c r="M465" s="5" t="s">
        <v>2980</v>
      </c>
      <c r="N465" s="80" t="s">
        <v>2982</v>
      </c>
      <c r="O465" s="5"/>
      <c r="P465" s="5"/>
      <c r="Q465" s="5"/>
      <c r="R465" s="5"/>
      <c r="S465" s="80"/>
      <c r="T465" s="26" t="s">
        <v>2006</v>
      </c>
      <c r="U465" s="34" t="s">
        <v>22</v>
      </c>
      <c r="V465" s="81"/>
      <c r="W465" s="81"/>
      <c r="X465" s="5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</row>
    <row r="466" ht="12.0" customHeight="1">
      <c r="A466" s="5" t="s">
        <v>2978</v>
      </c>
      <c r="B466" s="5">
        <v>3.0</v>
      </c>
      <c r="C466" s="26" t="s">
        <v>1634</v>
      </c>
      <c r="D466" s="78" t="s">
        <v>2187</v>
      </c>
      <c r="E466" s="78" t="s">
        <v>2059</v>
      </c>
      <c r="F466" s="5" t="s">
        <v>1141</v>
      </c>
      <c r="G466" s="26" t="s">
        <v>1650</v>
      </c>
      <c r="H466" s="5" t="s">
        <v>2978</v>
      </c>
      <c r="I466" s="5">
        <v>3.0</v>
      </c>
      <c r="J466" s="12" t="s">
        <v>2979</v>
      </c>
      <c r="K466" s="82">
        <v>3.0</v>
      </c>
      <c r="L466" s="5" t="s">
        <v>2675</v>
      </c>
      <c r="M466" s="5" t="s">
        <v>2980</v>
      </c>
      <c r="N466" s="80" t="s">
        <v>2983</v>
      </c>
      <c r="O466" s="5"/>
      <c r="P466" s="5"/>
      <c r="Q466" s="5"/>
      <c r="R466" s="5"/>
      <c r="S466" s="80"/>
      <c r="T466" s="26" t="s">
        <v>2006</v>
      </c>
      <c r="U466" s="34" t="s">
        <v>22</v>
      </c>
      <c r="V466" s="81"/>
      <c r="W466" s="81"/>
      <c r="X466" s="5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</row>
    <row r="467" ht="12.0" customHeight="1">
      <c r="A467" s="5" t="s">
        <v>2978</v>
      </c>
      <c r="B467" s="5">
        <v>4.0</v>
      </c>
      <c r="C467" s="26" t="s">
        <v>1634</v>
      </c>
      <c r="D467" s="78" t="s">
        <v>2187</v>
      </c>
      <c r="E467" s="78" t="s">
        <v>2059</v>
      </c>
      <c r="F467" s="5" t="s">
        <v>1141</v>
      </c>
      <c r="G467" s="26" t="s">
        <v>1650</v>
      </c>
      <c r="H467" s="5" t="s">
        <v>2978</v>
      </c>
      <c r="I467" s="5">
        <v>4.0</v>
      </c>
      <c r="J467" s="12" t="s">
        <v>2979</v>
      </c>
      <c r="K467" s="82">
        <v>4.0</v>
      </c>
      <c r="L467" s="5" t="s">
        <v>2675</v>
      </c>
      <c r="M467" s="5" t="s">
        <v>2980</v>
      </c>
      <c r="N467" s="83" t="s">
        <v>2984</v>
      </c>
      <c r="O467" s="5"/>
      <c r="P467" s="5"/>
      <c r="Q467" s="5"/>
      <c r="R467" s="5"/>
      <c r="S467" s="80"/>
      <c r="T467" s="26" t="s">
        <v>2006</v>
      </c>
      <c r="U467" s="34" t="s">
        <v>22</v>
      </c>
      <c r="V467" s="81"/>
      <c r="W467" s="81"/>
      <c r="X467" s="5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</row>
    <row r="468" ht="12.0" customHeight="1">
      <c r="A468" s="5" t="s">
        <v>2978</v>
      </c>
      <c r="B468" s="12">
        <v>6.0</v>
      </c>
      <c r="C468" s="26" t="s">
        <v>1634</v>
      </c>
      <c r="D468" s="78" t="s">
        <v>2187</v>
      </c>
      <c r="E468" s="78" t="s">
        <v>2059</v>
      </c>
      <c r="F468" s="5" t="s">
        <v>1141</v>
      </c>
      <c r="G468" s="26" t="s">
        <v>1650</v>
      </c>
      <c r="H468" s="5" t="s">
        <v>2978</v>
      </c>
      <c r="I468" s="12">
        <v>6.0</v>
      </c>
      <c r="J468" s="12" t="s">
        <v>2979</v>
      </c>
      <c r="K468" s="82">
        <v>6.0</v>
      </c>
      <c r="L468" s="5" t="s">
        <v>2675</v>
      </c>
      <c r="M468" s="5" t="s">
        <v>2980</v>
      </c>
      <c r="N468" s="83" t="s">
        <v>2985</v>
      </c>
      <c r="O468" s="5"/>
      <c r="P468" s="5"/>
      <c r="Q468" s="5"/>
      <c r="R468" s="5"/>
      <c r="S468" s="80"/>
      <c r="T468" s="26" t="s">
        <v>2006</v>
      </c>
      <c r="U468" s="34" t="s">
        <v>22</v>
      </c>
      <c r="V468" s="81"/>
      <c r="W468" s="81"/>
      <c r="X468" s="5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</row>
    <row r="469" ht="12.0" customHeight="1">
      <c r="A469" s="12" t="s">
        <v>2074</v>
      </c>
      <c r="B469" s="12">
        <v>3.0</v>
      </c>
      <c r="C469" s="26" t="s">
        <v>1634</v>
      </c>
      <c r="D469" s="78" t="s">
        <v>2134</v>
      </c>
      <c r="E469" s="78" t="s">
        <v>2059</v>
      </c>
      <c r="F469" s="5" t="s">
        <v>1141</v>
      </c>
      <c r="G469" s="26" t="s">
        <v>1531</v>
      </c>
      <c r="H469" s="12" t="s">
        <v>2074</v>
      </c>
      <c r="I469" s="12">
        <v>103.0</v>
      </c>
      <c r="J469" s="12" t="s">
        <v>2986</v>
      </c>
      <c r="K469" s="82">
        <v>3.0</v>
      </c>
      <c r="L469" s="5" t="s">
        <v>2429</v>
      </c>
      <c r="M469" s="5" t="s">
        <v>2429</v>
      </c>
      <c r="N469" s="93" t="s">
        <v>2987</v>
      </c>
      <c r="O469" s="5"/>
      <c r="P469" s="5"/>
      <c r="Q469" s="5"/>
      <c r="R469" s="5"/>
      <c r="S469" s="80"/>
      <c r="T469" s="26" t="s">
        <v>2006</v>
      </c>
      <c r="U469" s="34" t="s">
        <v>22</v>
      </c>
      <c r="V469" s="81"/>
      <c r="W469" s="81"/>
      <c r="X469" s="91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</row>
    <row r="470" ht="12.0" customHeight="1">
      <c r="A470" s="12" t="s">
        <v>2074</v>
      </c>
      <c r="B470" s="12">
        <v>6.0</v>
      </c>
      <c r="C470" s="26" t="s">
        <v>1634</v>
      </c>
      <c r="D470" s="78" t="s">
        <v>2134</v>
      </c>
      <c r="E470" s="78" t="s">
        <v>2059</v>
      </c>
      <c r="F470" s="5" t="s">
        <v>1141</v>
      </c>
      <c r="G470" s="26" t="s">
        <v>1531</v>
      </c>
      <c r="H470" s="12" t="s">
        <v>2074</v>
      </c>
      <c r="I470" s="12">
        <v>106.0</v>
      </c>
      <c r="J470" s="12" t="s">
        <v>2988</v>
      </c>
      <c r="K470" s="82">
        <v>2.0</v>
      </c>
      <c r="L470" s="5" t="s">
        <v>2429</v>
      </c>
      <c r="M470" s="5" t="s">
        <v>2429</v>
      </c>
      <c r="N470" s="93" t="s">
        <v>2989</v>
      </c>
      <c r="O470" s="5"/>
      <c r="P470" s="5"/>
      <c r="Q470" s="5"/>
      <c r="R470" s="5"/>
      <c r="S470" s="80"/>
      <c r="T470" s="26" t="s">
        <v>2006</v>
      </c>
      <c r="U470" s="34" t="s">
        <v>22</v>
      </c>
      <c r="V470" s="81"/>
      <c r="W470" s="81"/>
      <c r="X470" s="91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</row>
    <row r="471" ht="12.0" hidden="1" customHeight="1">
      <c r="A471" s="12" t="s">
        <v>2074</v>
      </c>
      <c r="B471" s="12">
        <v>9.0</v>
      </c>
      <c r="C471" s="26" t="s">
        <v>1634</v>
      </c>
      <c r="D471" s="78" t="s">
        <v>2134</v>
      </c>
      <c r="E471" s="78" t="s">
        <v>2001</v>
      </c>
      <c r="F471" s="5" t="s">
        <v>1141</v>
      </c>
      <c r="G471" s="26" t="s">
        <v>1531</v>
      </c>
      <c r="H471" s="12" t="s">
        <v>2074</v>
      </c>
      <c r="I471" s="5">
        <f t="shared" ref="I471:I484" si="1">100+B471</f>
        <v>109</v>
      </c>
      <c r="J471" s="12" t="s">
        <v>2990</v>
      </c>
      <c r="K471" s="82">
        <v>1.0</v>
      </c>
      <c r="L471" s="5" t="s">
        <v>2429</v>
      </c>
      <c r="M471" s="5" t="s">
        <v>2429</v>
      </c>
      <c r="N471" s="83" t="s">
        <v>2991</v>
      </c>
      <c r="O471" s="5"/>
      <c r="P471" s="5"/>
      <c r="Q471" s="5"/>
      <c r="R471" s="5"/>
      <c r="S471" s="80"/>
      <c r="T471" s="26" t="s">
        <v>2006</v>
      </c>
      <c r="U471" s="34" t="s">
        <v>22</v>
      </c>
      <c r="V471" s="81"/>
      <c r="W471" s="81"/>
      <c r="X471" s="91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</row>
    <row r="472" ht="12.0" hidden="1" customHeight="1">
      <c r="A472" s="12" t="s">
        <v>2074</v>
      </c>
      <c r="B472" s="12">
        <v>10.0</v>
      </c>
      <c r="C472" s="26" t="s">
        <v>1634</v>
      </c>
      <c r="D472" s="78" t="s">
        <v>2134</v>
      </c>
      <c r="E472" s="78" t="s">
        <v>2001</v>
      </c>
      <c r="F472" s="5" t="s">
        <v>1141</v>
      </c>
      <c r="G472" s="26" t="s">
        <v>1531</v>
      </c>
      <c r="H472" s="12" t="s">
        <v>2074</v>
      </c>
      <c r="I472" s="5">
        <f t="shared" si="1"/>
        <v>110</v>
      </c>
      <c r="J472" s="12" t="s">
        <v>2990</v>
      </c>
      <c r="K472" s="82">
        <v>2.0</v>
      </c>
      <c r="L472" s="5" t="s">
        <v>2429</v>
      </c>
      <c r="M472" s="5" t="s">
        <v>2429</v>
      </c>
      <c r="N472" s="93" t="s">
        <v>2992</v>
      </c>
      <c r="O472" s="5"/>
      <c r="P472" s="5"/>
      <c r="Q472" s="5"/>
      <c r="R472" s="5"/>
      <c r="S472" s="80"/>
      <c r="T472" s="26" t="s">
        <v>2006</v>
      </c>
      <c r="U472" s="34" t="s">
        <v>22</v>
      </c>
      <c r="V472" s="81"/>
      <c r="W472" s="81"/>
      <c r="X472" s="91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</row>
    <row r="473" ht="12.0" hidden="1" customHeight="1">
      <c r="A473" s="12" t="s">
        <v>2074</v>
      </c>
      <c r="B473" s="12">
        <v>11.0</v>
      </c>
      <c r="C473" s="97" t="s">
        <v>1634</v>
      </c>
      <c r="D473" s="78" t="s">
        <v>2134</v>
      </c>
      <c r="E473" s="78" t="s">
        <v>2001</v>
      </c>
      <c r="F473" s="5" t="s">
        <v>1141</v>
      </c>
      <c r="G473" s="26" t="s">
        <v>1531</v>
      </c>
      <c r="H473" s="12" t="s">
        <v>2074</v>
      </c>
      <c r="I473" s="5">
        <f t="shared" si="1"/>
        <v>111</v>
      </c>
      <c r="J473" s="12" t="s">
        <v>2990</v>
      </c>
      <c r="K473" s="82">
        <v>3.0</v>
      </c>
      <c r="L473" s="5" t="s">
        <v>2429</v>
      </c>
      <c r="M473" s="5" t="s">
        <v>2429</v>
      </c>
      <c r="N473" s="83" t="s">
        <v>2993</v>
      </c>
      <c r="O473" s="5"/>
      <c r="P473" s="5"/>
      <c r="Q473" s="5"/>
      <c r="R473" s="5"/>
      <c r="S473" s="80"/>
      <c r="T473" s="26" t="s">
        <v>2006</v>
      </c>
      <c r="U473" s="34" t="s">
        <v>22</v>
      </c>
      <c r="V473" s="81"/>
      <c r="W473" s="81"/>
      <c r="X473" s="91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</row>
    <row r="474" ht="12.0" hidden="1" customHeight="1">
      <c r="A474" s="12" t="s">
        <v>2074</v>
      </c>
      <c r="B474" s="12">
        <v>12.0</v>
      </c>
      <c r="C474" s="26" t="s">
        <v>1634</v>
      </c>
      <c r="D474" s="78" t="s">
        <v>2134</v>
      </c>
      <c r="E474" s="78" t="s">
        <v>2001</v>
      </c>
      <c r="F474" s="5" t="s">
        <v>1141</v>
      </c>
      <c r="G474" s="26" t="s">
        <v>1531</v>
      </c>
      <c r="H474" s="12" t="s">
        <v>2074</v>
      </c>
      <c r="I474" s="5">
        <f t="shared" si="1"/>
        <v>112</v>
      </c>
      <c r="J474" s="12" t="s">
        <v>2990</v>
      </c>
      <c r="K474" s="82">
        <v>4.0</v>
      </c>
      <c r="L474" s="5" t="s">
        <v>2429</v>
      </c>
      <c r="M474" s="5" t="s">
        <v>2429</v>
      </c>
      <c r="N474" s="93" t="s">
        <v>2994</v>
      </c>
      <c r="O474" s="5"/>
      <c r="P474" s="5"/>
      <c r="Q474" s="5"/>
      <c r="R474" s="5"/>
      <c r="S474" s="80"/>
      <c r="T474" s="26" t="s">
        <v>2006</v>
      </c>
      <c r="U474" s="34" t="s">
        <v>22</v>
      </c>
      <c r="V474" s="81"/>
      <c r="W474" s="81"/>
      <c r="X474" s="91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</row>
    <row r="475" ht="12.0" hidden="1" customHeight="1">
      <c r="A475" s="12" t="s">
        <v>2074</v>
      </c>
      <c r="B475" s="12">
        <v>13.0</v>
      </c>
      <c r="C475" s="26" t="s">
        <v>1634</v>
      </c>
      <c r="D475" s="78" t="s">
        <v>2134</v>
      </c>
      <c r="E475" s="78" t="s">
        <v>2001</v>
      </c>
      <c r="F475" s="5" t="s">
        <v>1141</v>
      </c>
      <c r="G475" s="26" t="s">
        <v>1531</v>
      </c>
      <c r="H475" s="12" t="s">
        <v>2074</v>
      </c>
      <c r="I475" s="5">
        <f t="shared" si="1"/>
        <v>113</v>
      </c>
      <c r="J475" s="12"/>
      <c r="K475" s="79"/>
      <c r="L475" s="5" t="s">
        <v>2429</v>
      </c>
      <c r="M475" s="5" t="s">
        <v>2429</v>
      </c>
      <c r="N475" s="83" t="s">
        <v>2995</v>
      </c>
      <c r="O475" s="5"/>
      <c r="P475" s="5"/>
      <c r="Q475" s="5"/>
      <c r="R475" s="5"/>
      <c r="S475" s="80"/>
      <c r="T475" s="26" t="s">
        <v>2006</v>
      </c>
      <c r="U475" s="34" t="s">
        <v>22</v>
      </c>
      <c r="V475" s="81"/>
      <c r="W475" s="81"/>
      <c r="X475" s="91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</row>
    <row r="476" ht="12.0" hidden="1" customHeight="1">
      <c r="A476" s="12" t="s">
        <v>2074</v>
      </c>
      <c r="B476" s="12">
        <v>14.0</v>
      </c>
      <c r="C476" s="26" t="s">
        <v>1634</v>
      </c>
      <c r="D476" s="78" t="s">
        <v>2134</v>
      </c>
      <c r="E476" s="78" t="s">
        <v>2001</v>
      </c>
      <c r="F476" s="5" t="s">
        <v>1141</v>
      </c>
      <c r="G476" s="26" t="s">
        <v>1531</v>
      </c>
      <c r="H476" s="12" t="s">
        <v>2074</v>
      </c>
      <c r="I476" s="5">
        <f t="shared" si="1"/>
        <v>114</v>
      </c>
      <c r="J476" s="12" t="s">
        <v>2996</v>
      </c>
      <c r="K476" s="82">
        <v>0.0</v>
      </c>
      <c r="L476" s="5" t="s">
        <v>2429</v>
      </c>
      <c r="M476" s="5" t="s">
        <v>2429</v>
      </c>
      <c r="N476" s="83" t="s">
        <v>2997</v>
      </c>
      <c r="O476" s="5"/>
      <c r="P476" s="5"/>
      <c r="Q476" s="5"/>
      <c r="R476" s="5"/>
      <c r="S476" s="80"/>
      <c r="T476" s="26" t="s">
        <v>2006</v>
      </c>
      <c r="U476" s="34" t="s">
        <v>22</v>
      </c>
      <c r="V476" s="81"/>
      <c r="W476" s="81"/>
      <c r="X476" s="91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</row>
    <row r="477" ht="12.0" hidden="1" customHeight="1">
      <c r="A477" s="12" t="s">
        <v>2074</v>
      </c>
      <c r="B477" s="12">
        <v>15.0</v>
      </c>
      <c r="C477" s="26" t="s">
        <v>1634</v>
      </c>
      <c r="D477" s="78" t="s">
        <v>2134</v>
      </c>
      <c r="E477" s="78" t="s">
        <v>2001</v>
      </c>
      <c r="F477" s="5" t="s">
        <v>1141</v>
      </c>
      <c r="G477" s="26" t="s">
        <v>1531</v>
      </c>
      <c r="H477" s="12" t="s">
        <v>2074</v>
      </c>
      <c r="I477" s="5">
        <f t="shared" si="1"/>
        <v>115</v>
      </c>
      <c r="J477" s="12" t="s">
        <v>2996</v>
      </c>
      <c r="K477" s="82">
        <v>1.0</v>
      </c>
      <c r="L477" s="5" t="s">
        <v>2429</v>
      </c>
      <c r="M477" s="5" t="s">
        <v>2429</v>
      </c>
      <c r="N477" s="83" t="s">
        <v>2998</v>
      </c>
      <c r="O477" s="5"/>
      <c r="P477" s="5"/>
      <c r="Q477" s="5"/>
      <c r="R477" s="5"/>
      <c r="S477" s="80"/>
      <c r="T477" s="26" t="s">
        <v>2006</v>
      </c>
      <c r="U477" s="34" t="s">
        <v>22</v>
      </c>
      <c r="V477" s="81"/>
      <c r="W477" s="81"/>
      <c r="X477" s="91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</row>
    <row r="478" ht="12.0" hidden="1" customHeight="1">
      <c r="A478" s="12" t="s">
        <v>2074</v>
      </c>
      <c r="B478" s="12">
        <v>16.0</v>
      </c>
      <c r="C478" s="26" t="s">
        <v>1634</v>
      </c>
      <c r="D478" s="78" t="s">
        <v>2134</v>
      </c>
      <c r="E478" s="78" t="s">
        <v>2001</v>
      </c>
      <c r="F478" s="5" t="s">
        <v>1141</v>
      </c>
      <c r="G478" s="26" t="s">
        <v>1531</v>
      </c>
      <c r="H478" s="12" t="s">
        <v>2074</v>
      </c>
      <c r="I478" s="5">
        <f t="shared" si="1"/>
        <v>116</v>
      </c>
      <c r="J478" s="12" t="s">
        <v>2996</v>
      </c>
      <c r="K478" s="82">
        <v>2.0</v>
      </c>
      <c r="L478" s="5" t="s">
        <v>2429</v>
      </c>
      <c r="M478" s="5" t="s">
        <v>2429</v>
      </c>
      <c r="N478" s="83" t="s">
        <v>2999</v>
      </c>
      <c r="O478" s="5"/>
      <c r="P478" s="5"/>
      <c r="Q478" s="5"/>
      <c r="R478" s="5"/>
      <c r="S478" s="80"/>
      <c r="T478" s="26" t="s">
        <v>2006</v>
      </c>
      <c r="U478" s="34" t="s">
        <v>22</v>
      </c>
      <c r="V478" s="81"/>
      <c r="W478" s="81"/>
      <c r="X478" s="91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</row>
    <row r="479" ht="12.0" hidden="1" customHeight="1">
      <c r="A479" s="12" t="s">
        <v>2074</v>
      </c>
      <c r="B479" s="12">
        <v>17.0</v>
      </c>
      <c r="C479" s="26" t="s">
        <v>1634</v>
      </c>
      <c r="D479" s="78" t="s">
        <v>2134</v>
      </c>
      <c r="E479" s="78" t="s">
        <v>2001</v>
      </c>
      <c r="F479" s="5" t="s">
        <v>1141</v>
      </c>
      <c r="G479" s="26" t="s">
        <v>1531</v>
      </c>
      <c r="H479" s="12" t="s">
        <v>2074</v>
      </c>
      <c r="I479" s="5">
        <f t="shared" si="1"/>
        <v>117</v>
      </c>
      <c r="J479" s="12" t="s">
        <v>2996</v>
      </c>
      <c r="K479" s="82">
        <v>3.0</v>
      </c>
      <c r="L479" s="5" t="s">
        <v>2429</v>
      </c>
      <c r="M479" s="5" t="s">
        <v>2429</v>
      </c>
      <c r="N479" s="83" t="s">
        <v>3000</v>
      </c>
      <c r="O479" s="5"/>
      <c r="P479" s="5"/>
      <c r="Q479" s="5"/>
      <c r="R479" s="5"/>
      <c r="S479" s="80"/>
      <c r="T479" s="26" t="s">
        <v>2006</v>
      </c>
      <c r="U479" s="34" t="s">
        <v>22</v>
      </c>
      <c r="V479" s="81"/>
      <c r="W479" s="81"/>
      <c r="X479" s="91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</row>
    <row r="480" ht="12.0" hidden="1" customHeight="1">
      <c r="A480" s="12" t="s">
        <v>2074</v>
      </c>
      <c r="B480" s="12">
        <v>18.0</v>
      </c>
      <c r="C480" s="26" t="s">
        <v>1634</v>
      </c>
      <c r="D480" s="78" t="s">
        <v>2134</v>
      </c>
      <c r="E480" s="78" t="s">
        <v>2001</v>
      </c>
      <c r="F480" s="5" t="s">
        <v>1141</v>
      </c>
      <c r="G480" s="26" t="s">
        <v>1531</v>
      </c>
      <c r="H480" s="12" t="s">
        <v>2074</v>
      </c>
      <c r="I480" s="5">
        <f t="shared" si="1"/>
        <v>118</v>
      </c>
      <c r="J480" s="12" t="s">
        <v>3001</v>
      </c>
      <c r="K480" s="82">
        <v>1.0</v>
      </c>
      <c r="L480" s="5" t="s">
        <v>2429</v>
      </c>
      <c r="M480" s="5" t="s">
        <v>2429</v>
      </c>
      <c r="N480" s="83" t="s">
        <v>3002</v>
      </c>
      <c r="O480" s="5"/>
      <c r="P480" s="5"/>
      <c r="Q480" s="5"/>
      <c r="R480" s="5"/>
      <c r="S480" s="80"/>
      <c r="T480" s="26" t="s">
        <v>2006</v>
      </c>
      <c r="U480" s="34" t="s">
        <v>22</v>
      </c>
      <c r="V480" s="81"/>
      <c r="W480" s="81"/>
      <c r="X480" s="91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</row>
    <row r="481" ht="12.0" hidden="1" customHeight="1">
      <c r="A481" s="12" t="s">
        <v>2074</v>
      </c>
      <c r="B481" s="12">
        <v>19.0</v>
      </c>
      <c r="C481" s="26" t="s">
        <v>1634</v>
      </c>
      <c r="D481" s="78" t="s">
        <v>2134</v>
      </c>
      <c r="E481" s="78" t="s">
        <v>2001</v>
      </c>
      <c r="F481" s="5" t="s">
        <v>1141</v>
      </c>
      <c r="G481" s="26" t="s">
        <v>1531</v>
      </c>
      <c r="H481" s="12" t="s">
        <v>2074</v>
      </c>
      <c r="I481" s="5">
        <f t="shared" si="1"/>
        <v>119</v>
      </c>
      <c r="J481" s="12" t="s">
        <v>3001</v>
      </c>
      <c r="K481" s="82">
        <v>2.0</v>
      </c>
      <c r="L481" s="5" t="s">
        <v>2429</v>
      </c>
      <c r="M481" s="5" t="s">
        <v>2429</v>
      </c>
      <c r="N481" s="83" t="s">
        <v>3003</v>
      </c>
      <c r="O481" s="5"/>
      <c r="P481" s="5"/>
      <c r="Q481" s="5"/>
      <c r="R481" s="5"/>
      <c r="S481" s="80"/>
      <c r="T481" s="26" t="s">
        <v>2006</v>
      </c>
      <c r="U481" s="34" t="s">
        <v>22</v>
      </c>
      <c r="V481" s="81"/>
      <c r="W481" s="81"/>
      <c r="X481" s="91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</row>
    <row r="482" ht="12.0" hidden="1" customHeight="1">
      <c r="A482" s="12" t="s">
        <v>2074</v>
      </c>
      <c r="B482" s="12">
        <v>20.0</v>
      </c>
      <c r="C482" s="26" t="s">
        <v>1634</v>
      </c>
      <c r="D482" s="78" t="s">
        <v>2134</v>
      </c>
      <c r="E482" s="78" t="s">
        <v>2001</v>
      </c>
      <c r="F482" s="5" t="s">
        <v>1141</v>
      </c>
      <c r="G482" s="26" t="s">
        <v>1531</v>
      </c>
      <c r="H482" s="12" t="s">
        <v>2074</v>
      </c>
      <c r="I482" s="5">
        <f t="shared" si="1"/>
        <v>120</v>
      </c>
      <c r="J482" s="12" t="s">
        <v>3004</v>
      </c>
      <c r="K482" s="82">
        <v>0.0</v>
      </c>
      <c r="L482" s="5" t="s">
        <v>2429</v>
      </c>
      <c r="M482" s="5" t="s">
        <v>2429</v>
      </c>
      <c r="N482" s="83" t="s">
        <v>3005</v>
      </c>
      <c r="O482" s="5"/>
      <c r="P482" s="5"/>
      <c r="Q482" s="5"/>
      <c r="R482" s="5"/>
      <c r="S482" s="80"/>
      <c r="T482" s="26" t="s">
        <v>2006</v>
      </c>
      <c r="U482" s="34" t="s">
        <v>22</v>
      </c>
      <c r="V482" s="81"/>
      <c r="W482" s="81"/>
      <c r="X482" s="91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</row>
    <row r="483" ht="12.0" hidden="1" customHeight="1">
      <c r="A483" s="12" t="s">
        <v>2074</v>
      </c>
      <c r="B483" s="12">
        <v>21.0</v>
      </c>
      <c r="C483" s="26" t="s">
        <v>1634</v>
      </c>
      <c r="D483" s="78" t="s">
        <v>2134</v>
      </c>
      <c r="E483" s="78" t="s">
        <v>2001</v>
      </c>
      <c r="F483" s="5" t="s">
        <v>1141</v>
      </c>
      <c r="G483" s="26" t="s">
        <v>1531</v>
      </c>
      <c r="H483" s="12" t="s">
        <v>2074</v>
      </c>
      <c r="I483" s="5">
        <f t="shared" si="1"/>
        <v>121</v>
      </c>
      <c r="J483" s="12" t="s">
        <v>3004</v>
      </c>
      <c r="K483" s="82">
        <v>1.0</v>
      </c>
      <c r="L483" s="5" t="s">
        <v>2429</v>
      </c>
      <c r="M483" s="5" t="s">
        <v>2429</v>
      </c>
      <c r="N483" s="83" t="s">
        <v>3006</v>
      </c>
      <c r="O483" s="5"/>
      <c r="P483" s="5"/>
      <c r="Q483" s="5"/>
      <c r="R483" s="5"/>
      <c r="S483" s="80"/>
      <c r="T483" s="26" t="s">
        <v>2006</v>
      </c>
      <c r="U483" s="34" t="s">
        <v>22</v>
      </c>
      <c r="V483" s="81"/>
      <c r="W483" s="81"/>
      <c r="X483" s="91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</row>
    <row r="484" ht="12.0" hidden="1" customHeight="1">
      <c r="A484" s="12" t="s">
        <v>2074</v>
      </c>
      <c r="B484" s="12">
        <v>22.0</v>
      </c>
      <c r="C484" s="26" t="s">
        <v>1634</v>
      </c>
      <c r="D484" s="78" t="s">
        <v>2134</v>
      </c>
      <c r="E484" s="78" t="s">
        <v>2001</v>
      </c>
      <c r="F484" s="5" t="s">
        <v>1141</v>
      </c>
      <c r="G484" s="26" t="s">
        <v>1531</v>
      </c>
      <c r="H484" s="12" t="s">
        <v>2074</v>
      </c>
      <c r="I484" s="5">
        <f t="shared" si="1"/>
        <v>122</v>
      </c>
      <c r="J484" s="12" t="s">
        <v>3004</v>
      </c>
      <c r="K484" s="82">
        <v>2.0</v>
      </c>
      <c r="L484" s="5" t="s">
        <v>2429</v>
      </c>
      <c r="M484" s="5" t="s">
        <v>2429</v>
      </c>
      <c r="N484" s="83" t="s">
        <v>3007</v>
      </c>
      <c r="O484" s="5"/>
      <c r="P484" s="5"/>
      <c r="Q484" s="5"/>
      <c r="R484" s="5"/>
      <c r="S484" s="80"/>
      <c r="T484" s="26" t="s">
        <v>2006</v>
      </c>
      <c r="U484" s="34" t="s">
        <v>22</v>
      </c>
      <c r="V484" s="81"/>
      <c r="W484" s="81"/>
      <c r="X484" s="91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</row>
    <row r="485" ht="12.0" hidden="1" customHeight="1">
      <c r="A485" s="12" t="s">
        <v>3008</v>
      </c>
      <c r="B485" s="12">
        <v>1.0</v>
      </c>
      <c r="C485" s="26" t="s">
        <v>1634</v>
      </c>
      <c r="D485" s="78" t="s">
        <v>2134</v>
      </c>
      <c r="E485" s="78" t="s">
        <v>2001</v>
      </c>
      <c r="F485" s="5" t="s">
        <v>1141</v>
      </c>
      <c r="G485" s="26" t="s">
        <v>1531</v>
      </c>
      <c r="H485" s="12" t="s">
        <v>2074</v>
      </c>
      <c r="I485" s="12">
        <v>195.0</v>
      </c>
      <c r="J485" s="12"/>
      <c r="K485" s="79"/>
      <c r="L485" s="12" t="s">
        <v>1766</v>
      </c>
      <c r="M485" s="12" t="s">
        <v>3009</v>
      </c>
      <c r="N485" s="83" t="s">
        <v>3010</v>
      </c>
      <c r="O485" s="5"/>
      <c r="P485" s="5"/>
      <c r="Q485" s="5"/>
      <c r="R485" s="5"/>
      <c r="S485" s="80"/>
      <c r="T485" s="26" t="s">
        <v>2006</v>
      </c>
      <c r="U485" s="34" t="s">
        <v>22</v>
      </c>
      <c r="V485" s="81"/>
      <c r="W485" s="81"/>
      <c r="X485" s="91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</row>
    <row r="486" ht="12.0" customHeight="1">
      <c r="A486" s="12" t="s">
        <v>3008</v>
      </c>
      <c r="B486" s="12">
        <v>2.0</v>
      </c>
      <c r="C486" s="26" t="s">
        <v>1634</v>
      </c>
      <c r="D486" s="78" t="s">
        <v>2134</v>
      </c>
      <c r="E486" s="78" t="s">
        <v>2059</v>
      </c>
      <c r="F486" s="5" t="s">
        <v>1141</v>
      </c>
      <c r="G486" s="26" t="s">
        <v>1531</v>
      </c>
      <c r="H486" s="12" t="s">
        <v>2074</v>
      </c>
      <c r="I486" s="12">
        <v>196.0</v>
      </c>
      <c r="J486" s="12" t="s">
        <v>3011</v>
      </c>
      <c r="K486" s="82">
        <v>1.0</v>
      </c>
      <c r="L486" s="12" t="s">
        <v>1766</v>
      </c>
      <c r="M486" s="12" t="s">
        <v>3009</v>
      </c>
      <c r="N486" s="83" t="s">
        <v>3012</v>
      </c>
      <c r="O486" s="5"/>
      <c r="P486" s="5"/>
      <c r="Q486" s="5"/>
      <c r="R486" s="5"/>
      <c r="S486" s="80"/>
      <c r="T486" s="26" t="s">
        <v>2006</v>
      </c>
      <c r="U486" s="34" t="s">
        <v>22</v>
      </c>
      <c r="V486" s="81"/>
      <c r="W486" s="81"/>
      <c r="X486" s="91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</row>
    <row r="487" ht="12.0" customHeight="1">
      <c r="A487" s="12" t="s">
        <v>3008</v>
      </c>
      <c r="B487" s="12">
        <v>4.0</v>
      </c>
      <c r="C487" s="26" t="s">
        <v>1634</v>
      </c>
      <c r="D487" s="78" t="s">
        <v>2134</v>
      </c>
      <c r="E487" s="78" t="s">
        <v>2059</v>
      </c>
      <c r="F487" s="5" t="s">
        <v>1141</v>
      </c>
      <c r="G487" s="26" t="s">
        <v>1531</v>
      </c>
      <c r="H487" s="12" t="s">
        <v>2074</v>
      </c>
      <c r="I487" s="12">
        <v>198.0</v>
      </c>
      <c r="J487" s="12" t="s">
        <v>3011</v>
      </c>
      <c r="K487" s="82">
        <v>3.0</v>
      </c>
      <c r="L487" s="12" t="s">
        <v>1766</v>
      </c>
      <c r="M487" s="12" t="s">
        <v>3009</v>
      </c>
      <c r="N487" s="83" t="s">
        <v>3013</v>
      </c>
      <c r="O487" s="5"/>
      <c r="P487" s="5"/>
      <c r="Q487" s="5"/>
      <c r="R487" s="5"/>
      <c r="S487" s="80"/>
      <c r="T487" s="26" t="s">
        <v>2006</v>
      </c>
      <c r="U487" s="34" t="s">
        <v>22</v>
      </c>
      <c r="V487" s="81"/>
      <c r="W487" s="81"/>
      <c r="X487" s="91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</row>
    <row r="488" ht="12.0" hidden="1" customHeight="1">
      <c r="A488" s="12" t="s">
        <v>3014</v>
      </c>
      <c r="B488" s="12">
        <v>1.0</v>
      </c>
      <c r="C488" s="26" t="s">
        <v>1634</v>
      </c>
      <c r="D488" s="78" t="s">
        <v>2187</v>
      </c>
      <c r="E488" s="78" t="s">
        <v>2001</v>
      </c>
      <c r="F488" s="5" t="s">
        <v>1141</v>
      </c>
      <c r="G488" s="26" t="s">
        <v>1650</v>
      </c>
      <c r="H488" s="12" t="s">
        <v>3014</v>
      </c>
      <c r="I488" s="12">
        <v>1.0</v>
      </c>
      <c r="J488" s="5"/>
      <c r="K488" s="79"/>
      <c r="L488" s="12" t="s">
        <v>2726</v>
      </c>
      <c r="M488" s="12" t="s">
        <v>3015</v>
      </c>
      <c r="N488" s="83" t="s">
        <v>3016</v>
      </c>
      <c r="O488" s="5"/>
      <c r="P488" s="5"/>
      <c r="Q488" s="5"/>
      <c r="R488" s="5"/>
      <c r="S488" s="80"/>
      <c r="T488" s="26" t="s">
        <v>2006</v>
      </c>
      <c r="U488" s="34" t="s">
        <v>22</v>
      </c>
      <c r="V488" s="81"/>
      <c r="W488" s="81"/>
      <c r="X488" s="5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</row>
    <row r="489" ht="12.0" customHeight="1">
      <c r="A489" s="5" t="s">
        <v>3017</v>
      </c>
      <c r="B489" s="12">
        <v>1.0</v>
      </c>
      <c r="C489" s="26" t="s">
        <v>1634</v>
      </c>
      <c r="D489" s="78" t="s">
        <v>2187</v>
      </c>
      <c r="E489" s="78" t="s">
        <v>2059</v>
      </c>
      <c r="F489" s="5" t="s">
        <v>1141</v>
      </c>
      <c r="G489" s="42" t="s">
        <v>1650</v>
      </c>
      <c r="H489" s="5" t="s">
        <v>3017</v>
      </c>
      <c r="I489" s="12">
        <v>1.0</v>
      </c>
      <c r="J489" s="12" t="s">
        <v>3018</v>
      </c>
      <c r="K489" s="82">
        <v>1.0</v>
      </c>
      <c r="L489" s="5" t="s">
        <v>2429</v>
      </c>
      <c r="M489" s="5" t="s">
        <v>2603</v>
      </c>
      <c r="N489" s="83" t="s">
        <v>3019</v>
      </c>
      <c r="O489" s="5"/>
      <c r="P489" s="5"/>
      <c r="Q489" s="5"/>
      <c r="R489" s="5"/>
      <c r="S489" s="80"/>
      <c r="T489" s="26"/>
      <c r="U489" s="34"/>
      <c r="V489" s="81"/>
      <c r="W489" s="81"/>
      <c r="X489" s="5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</row>
    <row r="490" ht="12.0" customHeight="1">
      <c r="A490" s="5" t="s">
        <v>3017</v>
      </c>
      <c r="B490" s="12">
        <v>4.0</v>
      </c>
      <c r="C490" s="26" t="s">
        <v>1634</v>
      </c>
      <c r="D490" s="78" t="s">
        <v>2187</v>
      </c>
      <c r="E490" s="78" t="s">
        <v>2059</v>
      </c>
      <c r="F490" s="5" t="s">
        <v>1141</v>
      </c>
      <c r="G490" s="42" t="s">
        <v>1650</v>
      </c>
      <c r="H490" s="5" t="s">
        <v>3017</v>
      </c>
      <c r="I490" s="12">
        <v>4.0</v>
      </c>
      <c r="J490" s="12" t="s">
        <v>3018</v>
      </c>
      <c r="K490" s="82">
        <v>4.0</v>
      </c>
      <c r="L490" s="5" t="s">
        <v>2429</v>
      </c>
      <c r="M490" s="5" t="s">
        <v>2603</v>
      </c>
      <c r="N490" s="83" t="s">
        <v>3020</v>
      </c>
      <c r="O490" s="5"/>
      <c r="P490" s="5"/>
      <c r="Q490" s="5"/>
      <c r="R490" s="5"/>
      <c r="S490" s="80"/>
      <c r="T490" s="26" t="s">
        <v>2006</v>
      </c>
      <c r="U490" s="34" t="s">
        <v>22</v>
      </c>
      <c r="V490" s="81"/>
      <c r="W490" s="81"/>
      <c r="X490" s="5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</row>
    <row r="491" ht="12.0" hidden="1" customHeight="1">
      <c r="A491" s="5" t="s">
        <v>3017</v>
      </c>
      <c r="B491" s="12">
        <v>6.0</v>
      </c>
      <c r="C491" s="26" t="s">
        <v>1634</v>
      </c>
      <c r="D491" s="78" t="s">
        <v>2187</v>
      </c>
      <c r="E491" s="78" t="s">
        <v>2040</v>
      </c>
      <c r="F491" s="5" t="s">
        <v>1141</v>
      </c>
      <c r="G491" s="42" t="s">
        <v>1650</v>
      </c>
      <c r="H491" s="5" t="s">
        <v>3017</v>
      </c>
      <c r="I491" s="12">
        <v>6.0</v>
      </c>
      <c r="J491" s="5"/>
      <c r="K491" s="79"/>
      <c r="L491" s="5" t="s">
        <v>2429</v>
      </c>
      <c r="M491" s="5" t="s">
        <v>2603</v>
      </c>
      <c r="N491" s="83" t="s">
        <v>3021</v>
      </c>
      <c r="O491" s="5"/>
      <c r="P491" s="5"/>
      <c r="Q491" s="5"/>
      <c r="R491" s="5"/>
      <c r="S491" s="80"/>
      <c r="T491" s="26" t="s">
        <v>2006</v>
      </c>
      <c r="U491" s="34" t="s">
        <v>22</v>
      </c>
      <c r="V491" s="81"/>
      <c r="W491" s="81"/>
      <c r="X491" s="5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</row>
    <row r="492" ht="12.0" hidden="1" customHeight="1">
      <c r="A492" s="5" t="s">
        <v>3017</v>
      </c>
      <c r="B492" s="12">
        <v>7.0</v>
      </c>
      <c r="C492" s="26" t="s">
        <v>1634</v>
      </c>
      <c r="D492" s="78" t="s">
        <v>2187</v>
      </c>
      <c r="E492" s="78" t="s">
        <v>2040</v>
      </c>
      <c r="F492" s="5" t="s">
        <v>1141</v>
      </c>
      <c r="G492" s="42" t="s">
        <v>1650</v>
      </c>
      <c r="H492" s="5" t="s">
        <v>3017</v>
      </c>
      <c r="I492" s="12">
        <v>7.0</v>
      </c>
      <c r="J492" s="5"/>
      <c r="K492" s="79"/>
      <c r="L492" s="5" t="s">
        <v>2429</v>
      </c>
      <c r="M492" s="5" t="s">
        <v>2603</v>
      </c>
      <c r="N492" s="83" t="s">
        <v>3022</v>
      </c>
      <c r="O492" s="5"/>
      <c r="P492" s="5"/>
      <c r="Q492" s="5"/>
      <c r="R492" s="5"/>
      <c r="S492" s="80"/>
      <c r="T492" s="26" t="s">
        <v>2006</v>
      </c>
      <c r="U492" s="34" t="s">
        <v>22</v>
      </c>
      <c r="V492" s="81"/>
      <c r="W492" s="81"/>
      <c r="X492" s="5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</row>
    <row r="493" ht="12.0" hidden="1" customHeight="1">
      <c r="A493" s="5" t="s">
        <v>3017</v>
      </c>
      <c r="B493" s="12">
        <v>8.0</v>
      </c>
      <c r="C493" s="26" t="s">
        <v>1634</v>
      </c>
      <c r="D493" s="78" t="s">
        <v>2187</v>
      </c>
      <c r="E493" s="78" t="s">
        <v>2040</v>
      </c>
      <c r="F493" s="5" t="s">
        <v>1141</v>
      </c>
      <c r="G493" s="42" t="s">
        <v>1650</v>
      </c>
      <c r="H493" s="5" t="s">
        <v>3017</v>
      </c>
      <c r="I493" s="12">
        <v>8.0</v>
      </c>
      <c r="J493" s="5"/>
      <c r="K493" s="79"/>
      <c r="L493" s="5" t="s">
        <v>2429</v>
      </c>
      <c r="M493" s="5" t="s">
        <v>2603</v>
      </c>
      <c r="N493" s="83" t="s">
        <v>3023</v>
      </c>
      <c r="O493" s="5"/>
      <c r="P493" s="5"/>
      <c r="Q493" s="5"/>
      <c r="R493" s="5"/>
      <c r="S493" s="80"/>
      <c r="T493" s="26" t="s">
        <v>2006</v>
      </c>
      <c r="U493" s="34" t="s">
        <v>22</v>
      </c>
      <c r="V493" s="81"/>
      <c r="W493" s="81"/>
      <c r="X493" s="5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</row>
    <row r="494" ht="12.0" hidden="1" customHeight="1">
      <c r="A494" s="5" t="s">
        <v>3017</v>
      </c>
      <c r="B494" s="12">
        <v>9.0</v>
      </c>
      <c r="C494" s="26" t="s">
        <v>1634</v>
      </c>
      <c r="D494" s="78" t="s">
        <v>2187</v>
      </c>
      <c r="E494" s="78" t="s">
        <v>2040</v>
      </c>
      <c r="F494" s="5" t="s">
        <v>1141</v>
      </c>
      <c r="G494" s="42" t="s">
        <v>1650</v>
      </c>
      <c r="H494" s="5" t="s">
        <v>3017</v>
      </c>
      <c r="I494" s="12">
        <v>9.0</v>
      </c>
      <c r="J494" s="5"/>
      <c r="K494" s="79"/>
      <c r="L494" s="5" t="s">
        <v>2429</v>
      </c>
      <c r="M494" s="5" t="s">
        <v>2603</v>
      </c>
      <c r="N494" s="83" t="s">
        <v>3024</v>
      </c>
      <c r="O494" s="5"/>
      <c r="P494" s="5"/>
      <c r="Q494" s="5"/>
      <c r="R494" s="5"/>
      <c r="S494" s="80"/>
      <c r="T494" s="26" t="s">
        <v>2006</v>
      </c>
      <c r="U494" s="34" t="s">
        <v>22</v>
      </c>
      <c r="V494" s="81"/>
      <c r="W494" s="81"/>
      <c r="X494" s="5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</row>
    <row r="495" ht="12.0" hidden="1" customHeight="1">
      <c r="A495" s="5" t="s">
        <v>3017</v>
      </c>
      <c r="B495" s="12">
        <v>10.0</v>
      </c>
      <c r="C495" s="26" t="s">
        <v>1634</v>
      </c>
      <c r="D495" s="78" t="s">
        <v>2187</v>
      </c>
      <c r="E495" s="78" t="s">
        <v>2040</v>
      </c>
      <c r="F495" s="5" t="s">
        <v>1141</v>
      </c>
      <c r="G495" s="42" t="s">
        <v>1650</v>
      </c>
      <c r="H495" s="5" t="s">
        <v>3017</v>
      </c>
      <c r="I495" s="12">
        <v>10.0</v>
      </c>
      <c r="J495" s="5"/>
      <c r="K495" s="79"/>
      <c r="L495" s="5" t="s">
        <v>2429</v>
      </c>
      <c r="M495" s="5" t="s">
        <v>2603</v>
      </c>
      <c r="N495" s="83" t="s">
        <v>3025</v>
      </c>
      <c r="O495" s="5"/>
      <c r="P495" s="5"/>
      <c r="Q495" s="5"/>
      <c r="R495" s="5"/>
      <c r="S495" s="80"/>
      <c r="T495" s="26" t="s">
        <v>2006</v>
      </c>
      <c r="U495" s="34" t="s">
        <v>22</v>
      </c>
      <c r="V495" s="81"/>
      <c r="W495" s="81"/>
      <c r="X495" s="5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</row>
    <row r="496" ht="12.0" hidden="1" customHeight="1">
      <c r="A496" s="5" t="s">
        <v>3017</v>
      </c>
      <c r="B496" s="12">
        <v>12.0</v>
      </c>
      <c r="C496" s="26" t="s">
        <v>1634</v>
      </c>
      <c r="D496" s="78" t="s">
        <v>2187</v>
      </c>
      <c r="E496" s="78" t="s">
        <v>2040</v>
      </c>
      <c r="F496" s="5" t="s">
        <v>1141</v>
      </c>
      <c r="G496" s="42" t="s">
        <v>1650</v>
      </c>
      <c r="H496" s="5" t="s">
        <v>3017</v>
      </c>
      <c r="I496" s="12">
        <v>12.0</v>
      </c>
      <c r="J496" s="5"/>
      <c r="K496" s="79"/>
      <c r="L496" s="5" t="s">
        <v>2429</v>
      </c>
      <c r="M496" s="5" t="s">
        <v>2603</v>
      </c>
      <c r="N496" s="83" t="s">
        <v>3026</v>
      </c>
      <c r="O496" s="5"/>
      <c r="P496" s="5"/>
      <c r="Q496" s="5"/>
      <c r="R496" s="5"/>
      <c r="S496" s="80"/>
      <c r="T496" s="26" t="s">
        <v>2006</v>
      </c>
      <c r="U496" s="34" t="s">
        <v>22</v>
      </c>
      <c r="V496" s="81"/>
      <c r="W496" s="81"/>
      <c r="X496" s="5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</row>
    <row r="497" ht="12.0" hidden="1" customHeight="1">
      <c r="A497" s="5" t="s">
        <v>3017</v>
      </c>
      <c r="B497" s="12">
        <v>13.0</v>
      </c>
      <c r="C497" s="26" t="s">
        <v>1634</v>
      </c>
      <c r="D497" s="78" t="s">
        <v>2187</v>
      </c>
      <c r="E497" s="78" t="s">
        <v>2040</v>
      </c>
      <c r="F497" s="5" t="s">
        <v>1141</v>
      </c>
      <c r="G497" s="42" t="s">
        <v>1650</v>
      </c>
      <c r="H497" s="5" t="s">
        <v>3017</v>
      </c>
      <c r="I497" s="12">
        <v>13.0</v>
      </c>
      <c r="J497" s="5"/>
      <c r="K497" s="79"/>
      <c r="L497" s="5" t="s">
        <v>2429</v>
      </c>
      <c r="M497" s="5" t="s">
        <v>2603</v>
      </c>
      <c r="N497" s="83" t="s">
        <v>3027</v>
      </c>
      <c r="O497" s="5"/>
      <c r="P497" s="5"/>
      <c r="Q497" s="5"/>
      <c r="R497" s="5"/>
      <c r="S497" s="80"/>
      <c r="T497" s="26"/>
      <c r="U497" s="34"/>
      <c r="V497" s="81"/>
      <c r="W497" s="81"/>
      <c r="X497" s="5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</row>
    <row r="498" ht="12.0" hidden="1" customHeight="1">
      <c r="A498" s="5" t="s">
        <v>3017</v>
      </c>
      <c r="B498" s="5">
        <v>14.0</v>
      </c>
      <c r="C498" s="26" t="s">
        <v>1634</v>
      </c>
      <c r="D498" s="78" t="s">
        <v>2187</v>
      </c>
      <c r="E498" s="78" t="s">
        <v>2040</v>
      </c>
      <c r="F498" s="5" t="s">
        <v>1141</v>
      </c>
      <c r="G498" s="26" t="s">
        <v>1650</v>
      </c>
      <c r="H498" s="5" t="s">
        <v>3017</v>
      </c>
      <c r="I498" s="5">
        <v>14.0</v>
      </c>
      <c r="J498" s="5"/>
      <c r="K498" s="79"/>
      <c r="L498" s="5" t="s">
        <v>2429</v>
      </c>
      <c r="M498" s="5" t="s">
        <v>2603</v>
      </c>
      <c r="N498" s="98" t="s">
        <v>3028</v>
      </c>
      <c r="O498" s="5"/>
      <c r="P498" s="5"/>
      <c r="Q498" s="5"/>
      <c r="R498" s="5"/>
      <c r="S498" s="80"/>
      <c r="T498" s="26" t="s">
        <v>2006</v>
      </c>
      <c r="U498" s="34" t="s">
        <v>22</v>
      </c>
      <c r="V498" s="81"/>
      <c r="W498" s="81"/>
      <c r="X498" s="5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</row>
    <row r="499" ht="12.0" hidden="1" customHeight="1">
      <c r="A499" s="5" t="s">
        <v>2230</v>
      </c>
      <c r="B499" s="12">
        <v>5.0</v>
      </c>
      <c r="C499" s="42" t="s">
        <v>3029</v>
      </c>
      <c r="D499" s="78" t="s">
        <v>2134</v>
      </c>
      <c r="E499" s="78" t="s">
        <v>2001</v>
      </c>
      <c r="F499" s="5" t="s">
        <v>1141</v>
      </c>
      <c r="G499" s="26" t="s">
        <v>1531</v>
      </c>
      <c r="H499" s="12" t="s">
        <v>2521</v>
      </c>
      <c r="I499" s="12">
        <v>53.0</v>
      </c>
      <c r="J499" s="12" t="s">
        <v>2522</v>
      </c>
      <c r="K499" s="82" t="s">
        <v>2369</v>
      </c>
      <c r="L499" s="5" t="s">
        <v>1512</v>
      </c>
      <c r="M499" s="12" t="s">
        <v>2523</v>
      </c>
      <c r="N499" s="83" t="s">
        <v>3030</v>
      </c>
      <c r="O499" s="12" t="s">
        <v>2521</v>
      </c>
      <c r="P499" s="12">
        <v>54.0</v>
      </c>
      <c r="Q499" s="5" t="s">
        <v>1512</v>
      </c>
      <c r="R499" s="12" t="s">
        <v>2525</v>
      </c>
      <c r="S499" s="98" t="s">
        <v>3031</v>
      </c>
      <c r="T499" s="26" t="s">
        <v>2006</v>
      </c>
      <c r="U499" s="34" t="s">
        <v>22</v>
      </c>
      <c r="V499" s="81"/>
      <c r="W499" s="81"/>
      <c r="X499" s="5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</row>
    <row r="500" ht="12.0" customHeight="1">
      <c r="A500" s="5" t="s">
        <v>2058</v>
      </c>
      <c r="B500" s="12">
        <v>42.0</v>
      </c>
      <c r="C500" s="26" t="s">
        <v>3029</v>
      </c>
      <c r="D500" s="78" t="s">
        <v>2058</v>
      </c>
      <c r="E500" s="78" t="s">
        <v>2059</v>
      </c>
      <c r="F500" s="5" t="s">
        <v>1141</v>
      </c>
      <c r="G500" s="26" t="s">
        <v>1531</v>
      </c>
      <c r="H500" s="5" t="s">
        <v>2057</v>
      </c>
      <c r="I500" s="5">
        <v>847.0</v>
      </c>
      <c r="J500" s="12" t="s">
        <v>3032</v>
      </c>
      <c r="K500" s="82">
        <v>3.5</v>
      </c>
      <c r="L500" s="5" t="s">
        <v>3033</v>
      </c>
      <c r="M500" s="5" t="s">
        <v>3034</v>
      </c>
      <c r="N500" s="83" t="s">
        <v>3035</v>
      </c>
      <c r="O500" s="5"/>
      <c r="P500" s="5"/>
      <c r="Q500" s="5"/>
      <c r="R500" s="5"/>
      <c r="S500" s="80"/>
      <c r="T500" s="26" t="s">
        <v>2006</v>
      </c>
      <c r="U500" s="34" t="s">
        <v>22</v>
      </c>
      <c r="V500" s="81"/>
      <c r="W500" s="81"/>
      <c r="X500" s="5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</row>
    <row r="501" ht="12.0" hidden="1" customHeight="1">
      <c r="A501" s="5" t="s">
        <v>2791</v>
      </c>
      <c r="B501" s="12">
        <v>13.0</v>
      </c>
      <c r="C501" s="42" t="s">
        <v>3029</v>
      </c>
      <c r="D501" s="78" t="s">
        <v>2134</v>
      </c>
      <c r="E501" s="78" t="s">
        <v>2001</v>
      </c>
      <c r="F501" s="5" t="s">
        <v>1141</v>
      </c>
      <c r="G501" s="26" t="s">
        <v>1531</v>
      </c>
      <c r="H501" s="5" t="s">
        <v>2791</v>
      </c>
      <c r="I501" s="12">
        <v>13.0</v>
      </c>
      <c r="J501" s="12" t="s">
        <v>2805</v>
      </c>
      <c r="K501" s="82">
        <v>1.0</v>
      </c>
      <c r="L501" s="5" t="s">
        <v>2136</v>
      </c>
      <c r="M501" s="5" t="s">
        <v>2797</v>
      </c>
      <c r="N501" s="83" t="s">
        <v>2806</v>
      </c>
      <c r="O501" s="5"/>
      <c r="P501" s="5"/>
      <c r="Q501" s="5"/>
      <c r="R501" s="5"/>
      <c r="S501" s="80"/>
      <c r="T501" s="26" t="s">
        <v>2006</v>
      </c>
      <c r="U501" s="34" t="s">
        <v>22</v>
      </c>
      <c r="V501" s="81"/>
      <c r="W501" s="81"/>
      <c r="X501" s="12" t="s">
        <v>3036</v>
      </c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</row>
    <row r="502" ht="12.0" customHeight="1">
      <c r="A502" s="12" t="s">
        <v>2808</v>
      </c>
      <c r="B502" s="12">
        <v>31.0</v>
      </c>
      <c r="C502" s="26" t="s">
        <v>3029</v>
      </c>
      <c r="D502" s="78" t="s">
        <v>1650</v>
      </c>
      <c r="E502" s="78" t="s">
        <v>2059</v>
      </c>
      <c r="F502" s="5" t="s">
        <v>1141</v>
      </c>
      <c r="G502" s="26" t="s">
        <v>1650</v>
      </c>
      <c r="H502" s="12" t="s">
        <v>2809</v>
      </c>
      <c r="I502" s="5">
        <v>88.0</v>
      </c>
      <c r="J502" s="12" t="s">
        <v>2838</v>
      </c>
      <c r="K502" s="82">
        <v>1.0</v>
      </c>
      <c r="L502" s="5" t="s">
        <v>2839</v>
      </c>
      <c r="M502" s="5" t="s">
        <v>2840</v>
      </c>
      <c r="N502" s="80" t="s">
        <v>3037</v>
      </c>
      <c r="O502" s="5"/>
      <c r="P502" s="5"/>
      <c r="Q502" s="5"/>
      <c r="R502" s="5"/>
      <c r="S502" s="80"/>
      <c r="T502" s="26" t="s">
        <v>2006</v>
      </c>
      <c r="U502" s="34" t="s">
        <v>22</v>
      </c>
      <c r="V502" s="81"/>
      <c r="W502" s="81"/>
      <c r="X502" s="12" t="s">
        <v>3038</v>
      </c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</row>
    <row r="503" ht="12.0" hidden="1" customHeight="1">
      <c r="A503" s="5" t="s">
        <v>2873</v>
      </c>
      <c r="B503" s="12" t="s">
        <v>3039</v>
      </c>
      <c r="C503" s="42" t="s">
        <v>3029</v>
      </c>
      <c r="D503" s="78" t="s">
        <v>2609</v>
      </c>
      <c r="E503" s="78" t="s">
        <v>2001</v>
      </c>
      <c r="F503" s="5" t="s">
        <v>1141</v>
      </c>
      <c r="G503" s="26" t="s">
        <v>1650</v>
      </c>
      <c r="H503" s="5" t="s">
        <v>2873</v>
      </c>
      <c r="I503" s="5">
        <v>50.0</v>
      </c>
      <c r="J503" s="12" t="s">
        <v>2891</v>
      </c>
      <c r="K503" s="82">
        <v>1.0</v>
      </c>
      <c r="L503" s="5" t="s">
        <v>1654</v>
      </c>
      <c r="M503" s="5" t="s">
        <v>2874</v>
      </c>
      <c r="N503" s="80" t="s">
        <v>3040</v>
      </c>
      <c r="O503" s="5"/>
      <c r="P503" s="5"/>
      <c r="Q503" s="5"/>
      <c r="R503" s="5"/>
      <c r="S503" s="80"/>
      <c r="T503" s="26" t="s">
        <v>2006</v>
      </c>
      <c r="U503" s="34" t="s">
        <v>22</v>
      </c>
      <c r="V503" s="81"/>
      <c r="W503" s="81"/>
      <c r="X503" s="5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</row>
    <row r="504" ht="12.0" customHeight="1">
      <c r="A504" s="12" t="s">
        <v>3008</v>
      </c>
      <c r="B504" s="12">
        <v>3.0</v>
      </c>
      <c r="C504" s="42" t="s">
        <v>3029</v>
      </c>
      <c r="D504" s="78" t="s">
        <v>2134</v>
      </c>
      <c r="E504" s="78" t="s">
        <v>2059</v>
      </c>
      <c r="F504" s="5" t="s">
        <v>1141</v>
      </c>
      <c r="G504" s="26" t="s">
        <v>1531</v>
      </c>
      <c r="H504" s="12" t="s">
        <v>2074</v>
      </c>
      <c r="I504" s="12">
        <v>197.0</v>
      </c>
      <c r="J504" s="12" t="s">
        <v>3011</v>
      </c>
      <c r="K504" s="82">
        <v>2.0</v>
      </c>
      <c r="L504" s="12" t="s">
        <v>1766</v>
      </c>
      <c r="M504" s="12" t="s">
        <v>3009</v>
      </c>
      <c r="N504" s="83" t="s">
        <v>3041</v>
      </c>
      <c r="O504" s="5"/>
      <c r="P504" s="5"/>
      <c r="Q504" s="5"/>
      <c r="R504" s="5"/>
      <c r="S504" s="80"/>
      <c r="T504" s="26" t="s">
        <v>2006</v>
      </c>
      <c r="U504" s="34" t="s">
        <v>22</v>
      </c>
      <c r="V504" s="81"/>
      <c r="W504" s="81"/>
      <c r="X504" s="91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</row>
    <row r="505" ht="12.0" customHeight="1">
      <c r="A505" s="12" t="s">
        <v>3042</v>
      </c>
      <c r="B505" s="12">
        <v>1.0</v>
      </c>
      <c r="C505" s="42" t="s">
        <v>3043</v>
      </c>
      <c r="D505" s="78" t="s">
        <v>2051</v>
      </c>
      <c r="E505" s="78" t="s">
        <v>2059</v>
      </c>
      <c r="F505" s="12" t="s">
        <v>1133</v>
      </c>
      <c r="G505" s="26"/>
      <c r="H505" s="5"/>
      <c r="I505" s="5"/>
      <c r="J505" s="12"/>
      <c r="K505" s="79"/>
      <c r="L505" s="12" t="s">
        <v>3044</v>
      </c>
      <c r="M505" s="12" t="s">
        <v>3045</v>
      </c>
      <c r="N505" s="93" t="s">
        <v>3046</v>
      </c>
      <c r="O505" s="5"/>
      <c r="P505" s="5"/>
      <c r="Q505" s="5"/>
      <c r="R505" s="5"/>
      <c r="S505" s="80"/>
      <c r="T505" s="42" t="s">
        <v>2003</v>
      </c>
      <c r="U505" s="49" t="s">
        <v>22</v>
      </c>
      <c r="V505" s="90"/>
      <c r="W505" s="90"/>
      <c r="X505" s="91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</row>
    <row r="506" ht="12.0" hidden="1" customHeight="1">
      <c r="A506" s="12" t="s">
        <v>3047</v>
      </c>
      <c r="B506" s="12">
        <v>1.0</v>
      </c>
      <c r="C506" s="42" t="s">
        <v>1830</v>
      </c>
      <c r="D506" s="78" t="s">
        <v>2000</v>
      </c>
      <c r="E506" s="78" t="s">
        <v>2001</v>
      </c>
      <c r="F506" s="12" t="s">
        <v>1133</v>
      </c>
      <c r="G506" s="42"/>
      <c r="H506" s="12"/>
      <c r="I506" s="12"/>
      <c r="J506" s="12"/>
      <c r="K506" s="82"/>
      <c r="L506" s="12" t="s">
        <v>3048</v>
      </c>
      <c r="M506" s="12" t="s">
        <v>1832</v>
      </c>
      <c r="N506" s="84"/>
      <c r="O506" s="5"/>
      <c r="P506" s="12"/>
      <c r="Q506" s="5"/>
      <c r="R506" s="5"/>
      <c r="S506" s="84"/>
      <c r="T506" s="42" t="s">
        <v>2003</v>
      </c>
      <c r="U506" s="34" t="s">
        <v>22</v>
      </c>
      <c r="V506" s="81"/>
      <c r="W506" s="81"/>
      <c r="X506" s="5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</row>
    <row r="507" ht="12.0" hidden="1" customHeight="1">
      <c r="A507" s="12" t="s">
        <v>3047</v>
      </c>
      <c r="B507" s="12">
        <v>2.0</v>
      </c>
      <c r="C507" s="42" t="s">
        <v>1830</v>
      </c>
      <c r="D507" s="78" t="s">
        <v>2000</v>
      </c>
      <c r="E507" s="78" t="s">
        <v>2001</v>
      </c>
      <c r="F507" s="12" t="s">
        <v>1133</v>
      </c>
      <c r="G507" s="42"/>
      <c r="H507" s="12"/>
      <c r="I507" s="12"/>
      <c r="J507" s="12"/>
      <c r="K507" s="82"/>
      <c r="L507" s="12" t="s">
        <v>3048</v>
      </c>
      <c r="M507" s="12" t="s">
        <v>1832</v>
      </c>
      <c r="N507" s="84"/>
      <c r="O507" s="5"/>
      <c r="P507" s="12"/>
      <c r="Q507" s="5"/>
      <c r="R507" s="5"/>
      <c r="S507" s="84"/>
      <c r="T507" s="42" t="s">
        <v>2003</v>
      </c>
      <c r="U507" s="34" t="s">
        <v>22</v>
      </c>
      <c r="V507" s="81"/>
      <c r="W507" s="81"/>
      <c r="X507" s="5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</row>
    <row r="508" ht="12.0" hidden="1" customHeight="1">
      <c r="A508" s="12" t="s">
        <v>3049</v>
      </c>
      <c r="B508" s="12">
        <v>1.0</v>
      </c>
      <c r="C508" s="42" t="s">
        <v>1830</v>
      </c>
      <c r="D508" s="78" t="s">
        <v>2000</v>
      </c>
      <c r="E508" s="78" t="s">
        <v>2001</v>
      </c>
      <c r="F508" s="12" t="s">
        <v>1141</v>
      </c>
      <c r="G508" s="42" t="s">
        <v>1830</v>
      </c>
      <c r="H508" s="12" t="s">
        <v>3050</v>
      </c>
      <c r="I508" s="12">
        <v>1.0</v>
      </c>
      <c r="J508" s="12"/>
      <c r="K508" s="82"/>
      <c r="L508" s="12" t="s">
        <v>3048</v>
      </c>
      <c r="M508" s="12" t="s">
        <v>1832</v>
      </c>
      <c r="N508" s="84"/>
      <c r="O508" s="12" t="s">
        <v>3050</v>
      </c>
      <c r="P508" s="12">
        <v>2.0</v>
      </c>
      <c r="Q508" s="12" t="s">
        <v>3048</v>
      </c>
      <c r="R508" s="12" t="s">
        <v>1832</v>
      </c>
      <c r="S508" s="84"/>
      <c r="T508" s="42" t="s">
        <v>2003</v>
      </c>
      <c r="U508" s="34" t="s">
        <v>22</v>
      </c>
      <c r="V508" s="81"/>
      <c r="W508" s="81"/>
      <c r="X508" s="5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</row>
    <row r="509" ht="12.0" hidden="1" customHeight="1">
      <c r="A509" s="12" t="s">
        <v>3049</v>
      </c>
      <c r="B509" s="12">
        <v>2.0</v>
      </c>
      <c r="C509" s="42" t="s">
        <v>1830</v>
      </c>
      <c r="D509" s="78" t="s">
        <v>2000</v>
      </c>
      <c r="E509" s="78" t="s">
        <v>2001</v>
      </c>
      <c r="F509" s="12" t="s">
        <v>1141</v>
      </c>
      <c r="G509" s="42" t="s">
        <v>1830</v>
      </c>
      <c r="H509" s="12" t="s">
        <v>3050</v>
      </c>
      <c r="I509" s="12">
        <v>3.0</v>
      </c>
      <c r="J509" s="12"/>
      <c r="K509" s="82"/>
      <c r="L509" s="12" t="s">
        <v>3048</v>
      </c>
      <c r="M509" s="12" t="s">
        <v>1832</v>
      </c>
      <c r="N509" s="84"/>
      <c r="O509" s="12" t="s">
        <v>3050</v>
      </c>
      <c r="P509" s="12">
        <v>4.0</v>
      </c>
      <c r="Q509" s="12" t="s">
        <v>3048</v>
      </c>
      <c r="R509" s="12" t="s">
        <v>1832</v>
      </c>
      <c r="S509" s="84"/>
      <c r="T509" s="42" t="s">
        <v>2003</v>
      </c>
      <c r="U509" s="34" t="s">
        <v>22</v>
      </c>
      <c r="V509" s="81"/>
      <c r="W509" s="81"/>
      <c r="X509" s="5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</row>
    <row r="510" ht="12.0" hidden="1" customHeight="1">
      <c r="A510" s="12" t="s">
        <v>3049</v>
      </c>
      <c r="B510" s="12">
        <v>3.0</v>
      </c>
      <c r="C510" s="42" t="s">
        <v>1830</v>
      </c>
      <c r="D510" s="78" t="s">
        <v>2000</v>
      </c>
      <c r="E510" s="78" t="s">
        <v>2001</v>
      </c>
      <c r="F510" s="12" t="s">
        <v>1141</v>
      </c>
      <c r="G510" s="42" t="s">
        <v>1830</v>
      </c>
      <c r="H510" s="12" t="s">
        <v>3050</v>
      </c>
      <c r="I510" s="12">
        <v>5.0</v>
      </c>
      <c r="J510" s="12"/>
      <c r="K510" s="82"/>
      <c r="L510" s="12" t="s">
        <v>3048</v>
      </c>
      <c r="M510" s="12" t="s">
        <v>1832</v>
      </c>
      <c r="N510" s="84"/>
      <c r="O510" s="12" t="s">
        <v>3050</v>
      </c>
      <c r="P510" s="12">
        <v>6.0</v>
      </c>
      <c r="Q510" s="12" t="s">
        <v>3048</v>
      </c>
      <c r="R510" s="12" t="s">
        <v>1832</v>
      </c>
      <c r="S510" s="84"/>
      <c r="T510" s="42" t="s">
        <v>2003</v>
      </c>
      <c r="U510" s="34" t="s">
        <v>22</v>
      </c>
      <c r="V510" s="81"/>
      <c r="W510" s="81"/>
      <c r="X510" s="5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</row>
    <row r="511" ht="12.0" hidden="1" customHeight="1">
      <c r="A511" s="12" t="s">
        <v>3049</v>
      </c>
      <c r="B511" s="12">
        <v>4.0</v>
      </c>
      <c r="C511" s="42" t="s">
        <v>1830</v>
      </c>
      <c r="D511" s="78" t="s">
        <v>2000</v>
      </c>
      <c r="E511" s="78" t="s">
        <v>2001</v>
      </c>
      <c r="F511" s="12" t="s">
        <v>1141</v>
      </c>
      <c r="G511" s="42" t="s">
        <v>1830</v>
      </c>
      <c r="H511" s="12" t="s">
        <v>3050</v>
      </c>
      <c r="I511" s="12">
        <v>7.0</v>
      </c>
      <c r="J511" s="12"/>
      <c r="K511" s="82"/>
      <c r="L511" s="12" t="s">
        <v>3048</v>
      </c>
      <c r="M511" s="12" t="s">
        <v>1832</v>
      </c>
      <c r="N511" s="84"/>
      <c r="O511" s="12" t="s">
        <v>3050</v>
      </c>
      <c r="P511" s="12">
        <v>8.0</v>
      </c>
      <c r="Q511" s="12" t="s">
        <v>3048</v>
      </c>
      <c r="R511" s="12" t="s">
        <v>1832</v>
      </c>
      <c r="S511" s="84"/>
      <c r="T511" s="42" t="s">
        <v>2003</v>
      </c>
      <c r="U511" s="34" t="s">
        <v>22</v>
      </c>
      <c r="V511" s="81"/>
      <c r="W511" s="81"/>
      <c r="X511" s="5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</row>
    <row r="512" ht="12.0" customHeight="1">
      <c r="A512" s="12" t="s">
        <v>1829</v>
      </c>
      <c r="B512" s="12">
        <v>4.0</v>
      </c>
      <c r="C512" s="42" t="s">
        <v>1830</v>
      </c>
      <c r="D512" s="78" t="s">
        <v>2000</v>
      </c>
      <c r="E512" s="78" t="s">
        <v>2059</v>
      </c>
      <c r="F512" s="12" t="s">
        <v>1133</v>
      </c>
      <c r="G512" s="26"/>
      <c r="H512" s="5"/>
      <c r="I512" s="5"/>
      <c r="J512" s="12" t="s">
        <v>1829</v>
      </c>
      <c r="K512" s="82" t="s">
        <v>2370</v>
      </c>
      <c r="L512" s="12" t="s">
        <v>1831</v>
      </c>
      <c r="M512" s="12" t="s">
        <v>1832</v>
      </c>
      <c r="N512" s="80"/>
      <c r="O512" s="5"/>
      <c r="P512" s="5"/>
      <c r="Q512" s="5"/>
      <c r="R512" s="5"/>
      <c r="S512" s="80"/>
      <c r="T512" s="42" t="s">
        <v>2003</v>
      </c>
      <c r="U512" s="34" t="s">
        <v>22</v>
      </c>
      <c r="V512" s="81"/>
      <c r="W512" s="81"/>
      <c r="X512" s="5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ht="12.0" customHeight="1">
      <c r="A513" s="12" t="s">
        <v>1829</v>
      </c>
      <c r="B513" s="12">
        <v>5.0</v>
      </c>
      <c r="C513" s="42" t="s">
        <v>1830</v>
      </c>
      <c r="D513" s="78" t="s">
        <v>2000</v>
      </c>
      <c r="E513" s="78" t="s">
        <v>2059</v>
      </c>
      <c r="F513" s="12" t="s">
        <v>1133</v>
      </c>
      <c r="G513" s="26"/>
      <c r="H513" s="5"/>
      <c r="I513" s="5"/>
      <c r="J513" s="12" t="s">
        <v>1829</v>
      </c>
      <c r="K513" s="82">
        <v>7.0</v>
      </c>
      <c r="L513" s="12" t="s">
        <v>1831</v>
      </c>
      <c r="M513" s="12" t="s">
        <v>1832</v>
      </c>
      <c r="N513" s="80"/>
      <c r="O513" s="5"/>
      <c r="P513" s="5"/>
      <c r="Q513" s="5"/>
      <c r="R513" s="5"/>
      <c r="S513" s="80"/>
      <c r="T513" s="42" t="s">
        <v>2003</v>
      </c>
      <c r="U513" s="34" t="s">
        <v>22</v>
      </c>
      <c r="V513" s="81"/>
      <c r="W513" s="81"/>
      <c r="X513" s="5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</row>
    <row r="514" ht="12.0" customHeight="1">
      <c r="A514" s="12" t="s">
        <v>1829</v>
      </c>
      <c r="B514" s="12">
        <v>6.0</v>
      </c>
      <c r="C514" s="42" t="s">
        <v>1830</v>
      </c>
      <c r="D514" s="78" t="s">
        <v>2000</v>
      </c>
      <c r="E514" s="78" t="s">
        <v>2059</v>
      </c>
      <c r="F514" s="12" t="s">
        <v>1133</v>
      </c>
      <c r="G514" s="26"/>
      <c r="H514" s="5"/>
      <c r="I514" s="5"/>
      <c r="J514" s="12" t="s">
        <v>1829</v>
      </c>
      <c r="K514" s="82">
        <v>8.0</v>
      </c>
      <c r="L514" s="12" t="s">
        <v>1831</v>
      </c>
      <c r="M514" s="12" t="s">
        <v>1832</v>
      </c>
      <c r="N514" s="80"/>
      <c r="O514" s="5"/>
      <c r="P514" s="5"/>
      <c r="Q514" s="5"/>
      <c r="R514" s="5"/>
      <c r="S514" s="80"/>
      <c r="T514" s="42" t="s">
        <v>2003</v>
      </c>
      <c r="U514" s="34" t="s">
        <v>22</v>
      </c>
      <c r="V514" s="81"/>
      <c r="W514" s="81"/>
      <c r="X514" s="12" t="s">
        <v>3051</v>
      </c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</row>
    <row r="515" ht="12.0" customHeight="1">
      <c r="A515" s="12" t="s">
        <v>1829</v>
      </c>
      <c r="B515" s="12">
        <v>7.0</v>
      </c>
      <c r="C515" s="42" t="s">
        <v>1830</v>
      </c>
      <c r="D515" s="78" t="s">
        <v>2000</v>
      </c>
      <c r="E515" s="78" t="s">
        <v>2059</v>
      </c>
      <c r="F515" s="12" t="s">
        <v>1133</v>
      </c>
      <c r="G515" s="26"/>
      <c r="H515" s="5"/>
      <c r="I515" s="5"/>
      <c r="J515" s="12" t="s">
        <v>1829</v>
      </c>
      <c r="K515" s="82">
        <v>9.0</v>
      </c>
      <c r="L515" s="12" t="s">
        <v>1831</v>
      </c>
      <c r="M515" s="12" t="s">
        <v>1832</v>
      </c>
      <c r="N515" s="80"/>
      <c r="O515" s="5"/>
      <c r="P515" s="5"/>
      <c r="Q515" s="5"/>
      <c r="R515" s="5"/>
      <c r="S515" s="80"/>
      <c r="T515" s="42" t="s">
        <v>2003</v>
      </c>
      <c r="U515" s="34"/>
      <c r="V515" s="81"/>
      <c r="W515" s="81"/>
      <c r="X515" s="12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</row>
    <row r="516" ht="12.0" customHeight="1">
      <c r="A516" s="12" t="s">
        <v>1829</v>
      </c>
      <c r="B516" s="12">
        <v>8.0</v>
      </c>
      <c r="C516" s="42" t="s">
        <v>1830</v>
      </c>
      <c r="D516" s="78" t="s">
        <v>2000</v>
      </c>
      <c r="E516" s="78" t="s">
        <v>2059</v>
      </c>
      <c r="F516" s="12" t="s">
        <v>1133</v>
      </c>
      <c r="G516" s="26"/>
      <c r="H516" s="5"/>
      <c r="I516" s="5"/>
      <c r="J516" s="12" t="s">
        <v>1829</v>
      </c>
      <c r="K516" s="82">
        <v>10.0</v>
      </c>
      <c r="L516" s="12" t="s">
        <v>1831</v>
      </c>
      <c r="M516" s="12" t="s">
        <v>1832</v>
      </c>
      <c r="N516" s="80"/>
      <c r="O516" s="5"/>
      <c r="P516" s="5"/>
      <c r="Q516" s="5"/>
      <c r="R516" s="5"/>
      <c r="S516" s="80"/>
      <c r="T516" s="42" t="s">
        <v>2003</v>
      </c>
      <c r="U516" s="34"/>
      <c r="V516" s="81"/>
      <c r="W516" s="81"/>
      <c r="X516" s="12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</row>
    <row r="517" ht="12.0" hidden="1" customHeight="1">
      <c r="A517" s="12" t="s">
        <v>3052</v>
      </c>
      <c r="B517" s="12">
        <v>1.0</v>
      </c>
      <c r="C517" s="42" t="s">
        <v>1830</v>
      </c>
      <c r="D517" s="78" t="s">
        <v>2000</v>
      </c>
      <c r="E517" s="78" t="s">
        <v>2001</v>
      </c>
      <c r="F517" s="12" t="s">
        <v>1133</v>
      </c>
      <c r="G517" s="26"/>
      <c r="H517" s="5"/>
      <c r="I517" s="5"/>
      <c r="J517" s="5"/>
      <c r="K517" s="79"/>
      <c r="L517" s="12" t="s">
        <v>3053</v>
      </c>
      <c r="M517" s="12" t="s">
        <v>1832</v>
      </c>
      <c r="N517" s="83" t="s">
        <v>3054</v>
      </c>
      <c r="O517" s="5"/>
      <c r="P517" s="5"/>
      <c r="Q517" s="5"/>
      <c r="R517" s="5"/>
      <c r="S517" s="80"/>
      <c r="T517" s="26" t="s">
        <v>2006</v>
      </c>
      <c r="U517" s="34" t="s">
        <v>22</v>
      </c>
      <c r="V517" s="81"/>
      <c r="W517" s="81"/>
      <c r="X517" s="12" t="s">
        <v>3055</v>
      </c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</row>
    <row r="518" ht="12.0" hidden="1" customHeight="1">
      <c r="A518" s="99" t="s">
        <v>3056</v>
      </c>
      <c r="B518" s="100">
        <v>1.0</v>
      </c>
      <c r="C518" s="107" t="s">
        <v>3057</v>
      </c>
      <c r="D518" s="102" t="s">
        <v>2051</v>
      </c>
      <c r="E518" s="132" t="s">
        <v>2001</v>
      </c>
      <c r="F518" s="99" t="s">
        <v>1133</v>
      </c>
      <c r="G518" s="103"/>
      <c r="H518" s="105"/>
      <c r="I518" s="105"/>
      <c r="J518" s="99" t="s">
        <v>3058</v>
      </c>
      <c r="K518" s="100">
        <v>1.0</v>
      </c>
      <c r="L518" s="99" t="s">
        <v>3059</v>
      </c>
      <c r="M518" s="99" t="s">
        <v>3059</v>
      </c>
      <c r="N518" s="133" t="s">
        <v>3060</v>
      </c>
      <c r="O518" s="105"/>
      <c r="P518" s="105"/>
      <c r="Q518" s="105"/>
      <c r="R518" s="105"/>
      <c r="S518" s="105"/>
      <c r="T518" s="107" t="s">
        <v>2003</v>
      </c>
      <c r="U518" s="108" t="s">
        <v>22</v>
      </c>
      <c r="V518" s="134"/>
      <c r="W518" s="134"/>
      <c r="X518" s="110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</row>
    <row r="519" ht="12.0" hidden="1" customHeight="1">
      <c r="A519" s="12" t="s">
        <v>3056</v>
      </c>
      <c r="B519" s="12">
        <v>2.0</v>
      </c>
      <c r="C519" s="42" t="s">
        <v>3057</v>
      </c>
      <c r="D519" s="78" t="s">
        <v>2051</v>
      </c>
      <c r="E519" s="78" t="s">
        <v>2001</v>
      </c>
      <c r="F519" s="12" t="s">
        <v>1133</v>
      </c>
      <c r="G519" s="26"/>
      <c r="H519" s="5"/>
      <c r="I519" s="5"/>
      <c r="J519" s="12" t="s">
        <v>3058</v>
      </c>
      <c r="K519" s="82">
        <v>2.0</v>
      </c>
      <c r="L519" s="12" t="s">
        <v>3059</v>
      </c>
      <c r="M519" s="12" t="s">
        <v>3059</v>
      </c>
      <c r="N519" s="83" t="s">
        <v>3060</v>
      </c>
      <c r="O519" s="5"/>
      <c r="P519" s="5"/>
      <c r="Q519" s="5"/>
      <c r="R519" s="5"/>
      <c r="S519" s="80"/>
      <c r="T519" s="42" t="s">
        <v>2003</v>
      </c>
      <c r="U519" s="49" t="s">
        <v>22</v>
      </c>
      <c r="V519" s="90"/>
      <c r="W519" s="90"/>
      <c r="X519" s="91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</row>
    <row r="520" ht="12.0" hidden="1" customHeight="1">
      <c r="A520" s="12" t="s">
        <v>3056</v>
      </c>
      <c r="B520" s="12">
        <v>3.0</v>
      </c>
      <c r="C520" s="42" t="s">
        <v>3057</v>
      </c>
      <c r="D520" s="78" t="s">
        <v>2051</v>
      </c>
      <c r="E520" s="78" t="s">
        <v>2001</v>
      </c>
      <c r="F520" s="12" t="s">
        <v>1133</v>
      </c>
      <c r="G520" s="26"/>
      <c r="H520" s="5"/>
      <c r="I520" s="5"/>
      <c r="J520" s="12" t="s">
        <v>3058</v>
      </c>
      <c r="K520" s="82">
        <v>3.0</v>
      </c>
      <c r="L520" s="12" t="s">
        <v>3059</v>
      </c>
      <c r="M520" s="12" t="s">
        <v>3059</v>
      </c>
      <c r="N520" s="83" t="s">
        <v>3060</v>
      </c>
      <c r="O520" s="5"/>
      <c r="P520" s="5"/>
      <c r="Q520" s="5"/>
      <c r="R520" s="5"/>
      <c r="S520" s="80"/>
      <c r="T520" s="42" t="s">
        <v>2003</v>
      </c>
      <c r="U520" s="49" t="s">
        <v>22</v>
      </c>
      <c r="V520" s="90"/>
      <c r="W520" s="90"/>
      <c r="X520" s="91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</row>
    <row r="521" ht="12.0" hidden="1" customHeight="1">
      <c r="A521" s="12" t="s">
        <v>3056</v>
      </c>
      <c r="B521" s="12">
        <v>4.0</v>
      </c>
      <c r="C521" s="42" t="s">
        <v>3057</v>
      </c>
      <c r="D521" s="78" t="s">
        <v>2051</v>
      </c>
      <c r="E521" s="78" t="s">
        <v>2001</v>
      </c>
      <c r="F521" s="12" t="s">
        <v>1133</v>
      </c>
      <c r="G521" s="26"/>
      <c r="H521" s="5"/>
      <c r="I521" s="5"/>
      <c r="J521" s="12" t="s">
        <v>3058</v>
      </c>
      <c r="K521" s="82">
        <v>4.0</v>
      </c>
      <c r="L521" s="12" t="s">
        <v>3059</v>
      </c>
      <c r="M521" s="12" t="s">
        <v>3059</v>
      </c>
      <c r="N521" s="83" t="s">
        <v>3060</v>
      </c>
      <c r="O521" s="5"/>
      <c r="P521" s="5"/>
      <c r="Q521" s="5"/>
      <c r="R521" s="5"/>
      <c r="S521" s="80"/>
      <c r="T521" s="42" t="s">
        <v>2003</v>
      </c>
      <c r="U521" s="49" t="s">
        <v>22</v>
      </c>
      <c r="V521" s="90"/>
      <c r="W521" s="90"/>
      <c r="X521" s="91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</row>
    <row r="522" ht="12.0" hidden="1" customHeight="1">
      <c r="A522" s="12" t="s">
        <v>3061</v>
      </c>
      <c r="B522" s="12">
        <v>25.0</v>
      </c>
      <c r="C522" s="42" t="s">
        <v>3057</v>
      </c>
      <c r="D522" s="78" t="s">
        <v>2051</v>
      </c>
      <c r="E522" s="78" t="s">
        <v>2001</v>
      </c>
      <c r="F522" s="12" t="s">
        <v>1133</v>
      </c>
      <c r="G522" s="26"/>
      <c r="H522" s="5"/>
      <c r="I522" s="5"/>
      <c r="J522" s="12"/>
      <c r="K522" s="79"/>
      <c r="L522" s="12" t="s">
        <v>3062</v>
      </c>
      <c r="M522" s="12" t="s">
        <v>2959</v>
      </c>
      <c r="N522" s="83" t="s">
        <v>3063</v>
      </c>
      <c r="O522" s="5"/>
      <c r="P522" s="5"/>
      <c r="Q522" s="5"/>
      <c r="R522" s="5"/>
      <c r="S522" s="80"/>
      <c r="T522" s="42" t="s">
        <v>2003</v>
      </c>
      <c r="U522" s="49" t="s">
        <v>22</v>
      </c>
      <c r="V522" s="90"/>
      <c r="W522" s="90"/>
      <c r="X522" s="91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</row>
    <row r="523" ht="12.0" hidden="1" customHeight="1">
      <c r="A523" s="12" t="s">
        <v>3064</v>
      </c>
      <c r="B523" s="12">
        <v>1.0</v>
      </c>
      <c r="C523" s="42" t="s">
        <v>3065</v>
      </c>
      <c r="D523" s="78" t="s">
        <v>2000</v>
      </c>
      <c r="E523" s="78" t="s">
        <v>2040</v>
      </c>
      <c r="F523" s="12" t="s">
        <v>1133</v>
      </c>
      <c r="G523" s="26"/>
      <c r="H523" s="5"/>
      <c r="I523" s="5"/>
      <c r="J523" s="5"/>
      <c r="K523" s="79"/>
      <c r="L523" s="12" t="s">
        <v>3066</v>
      </c>
      <c r="M523" s="12" t="s">
        <v>3066</v>
      </c>
      <c r="N523" s="80"/>
      <c r="O523" s="5"/>
      <c r="P523" s="5"/>
      <c r="Q523" s="5"/>
      <c r="R523" s="5"/>
      <c r="S523" s="80"/>
      <c r="T523" s="26" t="s">
        <v>2006</v>
      </c>
      <c r="U523" s="34" t="s">
        <v>22</v>
      </c>
      <c r="V523" s="81"/>
      <c r="W523" s="81"/>
      <c r="X523" s="12" t="s">
        <v>3067</v>
      </c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</row>
    <row r="524" ht="12.0" hidden="1" customHeight="1">
      <c r="A524" s="12" t="s">
        <v>3064</v>
      </c>
      <c r="B524" s="12">
        <v>2.0</v>
      </c>
      <c r="C524" s="42" t="s">
        <v>3065</v>
      </c>
      <c r="D524" s="78" t="s">
        <v>2000</v>
      </c>
      <c r="E524" s="78" t="s">
        <v>2040</v>
      </c>
      <c r="F524" s="12" t="s">
        <v>1133</v>
      </c>
      <c r="G524" s="26"/>
      <c r="H524" s="5"/>
      <c r="I524" s="5"/>
      <c r="J524" s="5"/>
      <c r="K524" s="79"/>
      <c r="L524" s="12" t="s">
        <v>3066</v>
      </c>
      <c r="M524" s="12" t="s">
        <v>3066</v>
      </c>
      <c r="N524" s="80"/>
      <c r="O524" s="5"/>
      <c r="P524" s="5"/>
      <c r="Q524" s="5"/>
      <c r="R524" s="5"/>
      <c r="S524" s="80"/>
      <c r="T524" s="26" t="s">
        <v>2006</v>
      </c>
      <c r="U524" s="34" t="s">
        <v>22</v>
      </c>
      <c r="V524" s="81"/>
      <c r="W524" s="81"/>
      <c r="X524" s="5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</row>
    <row r="525" ht="12.0" hidden="1" customHeight="1">
      <c r="A525" s="12" t="s">
        <v>3064</v>
      </c>
      <c r="B525" s="12">
        <v>3.0</v>
      </c>
      <c r="C525" s="42" t="s">
        <v>3065</v>
      </c>
      <c r="D525" s="78" t="s">
        <v>2000</v>
      </c>
      <c r="E525" s="78" t="s">
        <v>2040</v>
      </c>
      <c r="F525" s="12" t="s">
        <v>1133</v>
      </c>
      <c r="G525" s="26"/>
      <c r="H525" s="5"/>
      <c r="I525" s="5"/>
      <c r="J525" s="5"/>
      <c r="K525" s="79"/>
      <c r="L525" s="12" t="s">
        <v>3066</v>
      </c>
      <c r="M525" s="12" t="s">
        <v>3066</v>
      </c>
      <c r="N525" s="80"/>
      <c r="O525" s="5"/>
      <c r="P525" s="5"/>
      <c r="Q525" s="5"/>
      <c r="R525" s="5"/>
      <c r="S525" s="80"/>
      <c r="T525" s="26" t="s">
        <v>2006</v>
      </c>
      <c r="U525" s="34" t="s">
        <v>22</v>
      </c>
      <c r="V525" s="81"/>
      <c r="W525" s="81"/>
      <c r="X525" s="5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</row>
    <row r="526" ht="12.0" hidden="1" customHeight="1">
      <c r="A526" s="12" t="s">
        <v>3064</v>
      </c>
      <c r="B526" s="12">
        <v>4.0</v>
      </c>
      <c r="C526" s="42" t="s">
        <v>3065</v>
      </c>
      <c r="D526" s="78" t="s">
        <v>2000</v>
      </c>
      <c r="E526" s="78" t="s">
        <v>2040</v>
      </c>
      <c r="F526" s="12" t="s">
        <v>1133</v>
      </c>
      <c r="G526" s="26"/>
      <c r="H526" s="5"/>
      <c r="I526" s="5"/>
      <c r="J526" s="5"/>
      <c r="K526" s="79"/>
      <c r="L526" s="12" t="s">
        <v>3066</v>
      </c>
      <c r="M526" s="12" t="s">
        <v>3066</v>
      </c>
      <c r="N526" s="80"/>
      <c r="O526" s="5"/>
      <c r="P526" s="5"/>
      <c r="Q526" s="5"/>
      <c r="R526" s="5"/>
      <c r="S526" s="80"/>
      <c r="T526" s="26" t="s">
        <v>2006</v>
      </c>
      <c r="U526" s="34" t="s">
        <v>22</v>
      </c>
      <c r="V526" s="81"/>
      <c r="W526" s="81"/>
      <c r="X526" s="5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</row>
    <row r="527" ht="12.0" hidden="1" customHeight="1">
      <c r="A527" s="12" t="s">
        <v>3064</v>
      </c>
      <c r="B527" s="12">
        <v>5.0</v>
      </c>
      <c r="C527" s="42" t="s">
        <v>3065</v>
      </c>
      <c r="D527" s="78" t="s">
        <v>2000</v>
      </c>
      <c r="E527" s="78" t="s">
        <v>2040</v>
      </c>
      <c r="F527" s="12" t="s">
        <v>1133</v>
      </c>
      <c r="G527" s="26"/>
      <c r="H527" s="5"/>
      <c r="I527" s="5"/>
      <c r="J527" s="5"/>
      <c r="K527" s="79"/>
      <c r="L527" s="12" t="s">
        <v>3066</v>
      </c>
      <c r="M527" s="12" t="s">
        <v>3066</v>
      </c>
      <c r="N527" s="80"/>
      <c r="O527" s="5"/>
      <c r="P527" s="5"/>
      <c r="Q527" s="5"/>
      <c r="R527" s="5"/>
      <c r="S527" s="80"/>
      <c r="T527" s="26" t="s">
        <v>2006</v>
      </c>
      <c r="U527" s="34" t="s">
        <v>22</v>
      </c>
      <c r="V527" s="81"/>
      <c r="W527" s="81"/>
      <c r="X527" s="5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</row>
    <row r="528" ht="12.0" hidden="1" customHeight="1">
      <c r="A528" s="12" t="s">
        <v>3064</v>
      </c>
      <c r="B528" s="12">
        <v>6.0</v>
      </c>
      <c r="C528" s="42" t="s">
        <v>3065</v>
      </c>
      <c r="D528" s="78" t="s">
        <v>2000</v>
      </c>
      <c r="E528" s="78" t="s">
        <v>2040</v>
      </c>
      <c r="F528" s="12" t="s">
        <v>1133</v>
      </c>
      <c r="G528" s="26"/>
      <c r="H528" s="5"/>
      <c r="I528" s="5"/>
      <c r="J528" s="5"/>
      <c r="K528" s="79"/>
      <c r="L528" s="12" t="s">
        <v>3066</v>
      </c>
      <c r="M528" s="12" t="s">
        <v>3066</v>
      </c>
      <c r="N528" s="80"/>
      <c r="O528" s="5"/>
      <c r="P528" s="5"/>
      <c r="Q528" s="5"/>
      <c r="R528" s="5"/>
      <c r="S528" s="80"/>
      <c r="T528" s="26" t="s">
        <v>2006</v>
      </c>
      <c r="U528" s="34" t="s">
        <v>22</v>
      </c>
      <c r="V528" s="81"/>
      <c r="W528" s="81"/>
      <c r="X528" s="5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</row>
    <row r="529" ht="12.0" hidden="1" customHeight="1">
      <c r="A529" s="12" t="s">
        <v>3064</v>
      </c>
      <c r="B529" s="12">
        <v>7.0</v>
      </c>
      <c r="C529" s="42" t="s">
        <v>3065</v>
      </c>
      <c r="D529" s="78" t="s">
        <v>2000</v>
      </c>
      <c r="E529" s="78" t="s">
        <v>2040</v>
      </c>
      <c r="F529" s="12" t="s">
        <v>1133</v>
      </c>
      <c r="G529" s="26"/>
      <c r="H529" s="5"/>
      <c r="I529" s="5"/>
      <c r="J529" s="5"/>
      <c r="K529" s="79"/>
      <c r="L529" s="12" t="s">
        <v>3066</v>
      </c>
      <c r="M529" s="12" t="s">
        <v>3066</v>
      </c>
      <c r="N529" s="80"/>
      <c r="O529" s="5"/>
      <c r="P529" s="5"/>
      <c r="Q529" s="5"/>
      <c r="R529" s="5"/>
      <c r="S529" s="80"/>
      <c r="T529" s="26" t="s">
        <v>2006</v>
      </c>
      <c r="U529" s="34" t="s">
        <v>22</v>
      </c>
      <c r="V529" s="81"/>
      <c r="W529" s="81"/>
      <c r="X529" s="5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</row>
    <row r="530" ht="12.0" hidden="1" customHeight="1">
      <c r="A530" s="12" t="s">
        <v>3064</v>
      </c>
      <c r="B530" s="12">
        <v>8.0</v>
      </c>
      <c r="C530" s="42" t="s">
        <v>3065</v>
      </c>
      <c r="D530" s="78" t="s">
        <v>2000</v>
      </c>
      <c r="E530" s="78" t="s">
        <v>2040</v>
      </c>
      <c r="F530" s="12" t="s">
        <v>1133</v>
      </c>
      <c r="G530" s="26"/>
      <c r="H530" s="5"/>
      <c r="I530" s="5"/>
      <c r="J530" s="5"/>
      <c r="K530" s="79"/>
      <c r="L530" s="12" t="s">
        <v>3066</v>
      </c>
      <c r="M530" s="12" t="s">
        <v>3066</v>
      </c>
      <c r="N530" s="80"/>
      <c r="O530" s="5"/>
      <c r="P530" s="5"/>
      <c r="Q530" s="5"/>
      <c r="R530" s="5"/>
      <c r="S530" s="80"/>
      <c r="T530" s="26" t="s">
        <v>2006</v>
      </c>
      <c r="U530" s="34" t="s">
        <v>22</v>
      </c>
      <c r="V530" s="81"/>
      <c r="W530" s="81"/>
      <c r="X530" s="5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</row>
    <row r="531" ht="12.0" hidden="1" customHeight="1">
      <c r="A531" s="12" t="s">
        <v>3068</v>
      </c>
      <c r="B531" s="12">
        <v>11.0</v>
      </c>
      <c r="C531" s="42" t="s">
        <v>3069</v>
      </c>
      <c r="D531" s="78" t="s">
        <v>2162</v>
      </c>
      <c r="E531" s="78" t="s">
        <v>2001</v>
      </c>
      <c r="F531" s="12" t="s">
        <v>1141</v>
      </c>
      <c r="G531" s="42" t="s">
        <v>1650</v>
      </c>
      <c r="H531" s="12" t="s">
        <v>2687</v>
      </c>
      <c r="I531" s="12">
        <v>8.0</v>
      </c>
      <c r="J531" s="5"/>
      <c r="K531" s="79"/>
      <c r="L531" s="12" t="s">
        <v>1700</v>
      </c>
      <c r="M531" s="12" t="s">
        <v>2688</v>
      </c>
      <c r="N531" s="83" t="s">
        <v>3070</v>
      </c>
      <c r="O531" s="12" t="s">
        <v>2687</v>
      </c>
      <c r="P531" s="12">
        <v>9.0</v>
      </c>
      <c r="Q531" s="12" t="s">
        <v>3071</v>
      </c>
      <c r="R531" s="12" t="s">
        <v>3071</v>
      </c>
      <c r="S531" s="83" t="s">
        <v>3072</v>
      </c>
      <c r="T531" s="42" t="s">
        <v>2003</v>
      </c>
      <c r="U531" s="34" t="s">
        <v>22</v>
      </c>
      <c r="V531" s="81"/>
      <c r="W531" s="81"/>
      <c r="X531" s="12" t="s">
        <v>3073</v>
      </c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</row>
    <row r="532" ht="12.0" customHeight="1">
      <c r="A532" s="12" t="s">
        <v>3074</v>
      </c>
      <c r="B532" s="12">
        <v>1.0</v>
      </c>
      <c r="C532" s="42" t="s">
        <v>3075</v>
      </c>
      <c r="D532" s="78" t="s">
        <v>2051</v>
      </c>
      <c r="E532" s="78" t="s">
        <v>2059</v>
      </c>
      <c r="F532" s="12" t="s">
        <v>1133</v>
      </c>
      <c r="G532" s="26"/>
      <c r="H532" s="5"/>
      <c r="I532" s="5"/>
      <c r="J532" s="12" t="s">
        <v>3076</v>
      </c>
      <c r="K532" s="82">
        <v>1.0</v>
      </c>
      <c r="L532" s="12" t="s">
        <v>3077</v>
      </c>
      <c r="M532" s="12" t="s">
        <v>3078</v>
      </c>
      <c r="N532" s="83" t="s">
        <v>3079</v>
      </c>
      <c r="O532" s="5"/>
      <c r="P532" s="5"/>
      <c r="Q532" s="5"/>
      <c r="R532" s="5"/>
      <c r="S532" s="80"/>
      <c r="T532" s="42" t="s">
        <v>2003</v>
      </c>
      <c r="U532" s="49" t="s">
        <v>22</v>
      </c>
      <c r="V532" s="90"/>
      <c r="W532" s="90"/>
      <c r="X532" s="91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</row>
    <row r="533" ht="12.0" customHeight="1">
      <c r="A533" s="12" t="s">
        <v>3074</v>
      </c>
      <c r="B533" s="12">
        <v>2.0</v>
      </c>
      <c r="C533" s="42" t="s">
        <v>3075</v>
      </c>
      <c r="D533" s="78" t="s">
        <v>2051</v>
      </c>
      <c r="E533" s="78" t="s">
        <v>2059</v>
      </c>
      <c r="F533" s="12" t="s">
        <v>1133</v>
      </c>
      <c r="G533" s="26"/>
      <c r="H533" s="5"/>
      <c r="I533" s="5"/>
      <c r="J533" s="12" t="s">
        <v>3076</v>
      </c>
      <c r="K533" s="82">
        <v>2.0</v>
      </c>
      <c r="L533" s="12" t="s">
        <v>3077</v>
      </c>
      <c r="M533" s="12" t="s">
        <v>3080</v>
      </c>
      <c r="N533" s="83" t="s">
        <v>3081</v>
      </c>
      <c r="O533" s="5"/>
      <c r="P533" s="5"/>
      <c r="Q533" s="5"/>
      <c r="R533" s="5"/>
      <c r="S533" s="80"/>
      <c r="T533" s="42" t="s">
        <v>2003</v>
      </c>
      <c r="U533" s="49" t="s">
        <v>22</v>
      </c>
      <c r="V533" s="90"/>
      <c r="W533" s="90"/>
      <c r="X533" s="91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</row>
    <row r="534" ht="12.0" customHeight="1">
      <c r="A534" s="12" t="s">
        <v>3074</v>
      </c>
      <c r="B534" s="12">
        <v>3.0</v>
      </c>
      <c r="C534" s="42" t="s">
        <v>3075</v>
      </c>
      <c r="D534" s="78" t="s">
        <v>2051</v>
      </c>
      <c r="E534" s="78" t="s">
        <v>2059</v>
      </c>
      <c r="F534" s="12" t="s">
        <v>1133</v>
      </c>
      <c r="G534" s="26"/>
      <c r="H534" s="5"/>
      <c r="I534" s="5"/>
      <c r="J534" s="12" t="s">
        <v>3076</v>
      </c>
      <c r="K534" s="82">
        <v>3.0</v>
      </c>
      <c r="L534" s="12" t="s">
        <v>3077</v>
      </c>
      <c r="M534" s="12" t="s">
        <v>3082</v>
      </c>
      <c r="N534" s="83" t="s">
        <v>3079</v>
      </c>
      <c r="O534" s="5"/>
      <c r="P534" s="5"/>
      <c r="Q534" s="5"/>
      <c r="R534" s="5"/>
      <c r="S534" s="80"/>
      <c r="T534" s="42" t="s">
        <v>2003</v>
      </c>
      <c r="U534" s="49" t="s">
        <v>22</v>
      </c>
      <c r="V534" s="90"/>
      <c r="W534" s="90"/>
      <c r="X534" s="91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</row>
    <row r="535" ht="12.0" customHeight="1">
      <c r="A535" s="12" t="s">
        <v>3083</v>
      </c>
      <c r="B535" s="12">
        <v>1.0</v>
      </c>
      <c r="C535" s="42" t="s">
        <v>3084</v>
      </c>
      <c r="D535" s="78" t="s">
        <v>2051</v>
      </c>
      <c r="E535" s="78" t="s">
        <v>2059</v>
      </c>
      <c r="F535" s="12" t="s">
        <v>1133</v>
      </c>
      <c r="G535" s="42"/>
      <c r="H535" s="12"/>
      <c r="I535" s="12"/>
      <c r="J535" s="12" t="s">
        <v>3085</v>
      </c>
      <c r="K535" s="82">
        <v>1.0</v>
      </c>
      <c r="L535" s="12" t="s">
        <v>1892</v>
      </c>
      <c r="M535" s="12" t="s">
        <v>1892</v>
      </c>
      <c r="N535" s="83" t="s">
        <v>3086</v>
      </c>
      <c r="O535" s="5"/>
      <c r="P535" s="5"/>
      <c r="Q535" s="5"/>
      <c r="R535" s="5"/>
      <c r="S535" s="80"/>
      <c r="T535" s="42" t="s">
        <v>2003</v>
      </c>
      <c r="U535" s="49" t="s">
        <v>22</v>
      </c>
      <c r="V535" s="90"/>
      <c r="W535" s="90"/>
      <c r="X535" s="135" t="s">
        <v>3087</v>
      </c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</row>
    <row r="536" ht="12.0" customHeight="1">
      <c r="A536" s="12" t="s">
        <v>3088</v>
      </c>
      <c r="B536" s="12">
        <v>2.0</v>
      </c>
      <c r="C536" s="42" t="s">
        <v>3089</v>
      </c>
      <c r="D536" s="78" t="s">
        <v>2051</v>
      </c>
      <c r="E536" s="78" t="s">
        <v>2059</v>
      </c>
      <c r="F536" s="12" t="s">
        <v>1133</v>
      </c>
      <c r="G536" s="26"/>
      <c r="H536" s="5"/>
      <c r="I536" s="5"/>
      <c r="J536" s="12" t="s">
        <v>3090</v>
      </c>
      <c r="K536" s="82">
        <v>2.0</v>
      </c>
      <c r="L536" s="12" t="s">
        <v>3091</v>
      </c>
      <c r="M536" s="12" t="s">
        <v>3092</v>
      </c>
      <c r="N536" s="83" t="s">
        <v>3093</v>
      </c>
      <c r="O536" s="5"/>
      <c r="P536" s="5"/>
      <c r="Q536" s="5"/>
      <c r="R536" s="5"/>
      <c r="S536" s="80"/>
      <c r="T536" s="42" t="s">
        <v>2003</v>
      </c>
      <c r="U536" s="49" t="s">
        <v>22</v>
      </c>
      <c r="V536" s="90"/>
      <c r="W536" s="90"/>
      <c r="X536" s="91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</row>
    <row r="537" ht="12.0" hidden="1" customHeight="1">
      <c r="A537" s="12" t="s">
        <v>3094</v>
      </c>
      <c r="B537" s="12">
        <v>15.0</v>
      </c>
      <c r="C537" s="42" t="s">
        <v>1650</v>
      </c>
      <c r="D537" s="78" t="s">
        <v>2162</v>
      </c>
      <c r="E537" s="78" t="s">
        <v>2001</v>
      </c>
      <c r="F537" s="12" t="s">
        <v>1133</v>
      </c>
      <c r="G537" s="26"/>
      <c r="H537" s="5"/>
      <c r="I537" s="5"/>
      <c r="J537" s="12"/>
      <c r="K537" s="82"/>
      <c r="L537" s="12" t="s">
        <v>2586</v>
      </c>
      <c r="M537" s="12" t="s">
        <v>3095</v>
      </c>
      <c r="N537" s="83" t="s">
        <v>3096</v>
      </c>
      <c r="O537" s="5"/>
      <c r="P537" s="5"/>
      <c r="Q537" s="5"/>
      <c r="R537" s="5"/>
      <c r="S537" s="80"/>
      <c r="T537" s="42"/>
      <c r="U537" s="34"/>
      <c r="V537" s="81"/>
      <c r="W537" s="81"/>
      <c r="X537" s="5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</row>
    <row r="538" ht="12.0" customHeight="1">
      <c r="A538" s="12" t="s">
        <v>3097</v>
      </c>
      <c r="B538" s="12">
        <v>321.0</v>
      </c>
      <c r="C538" s="42" t="s">
        <v>1650</v>
      </c>
      <c r="D538" s="78" t="s">
        <v>2380</v>
      </c>
      <c r="E538" s="78" t="s">
        <v>2059</v>
      </c>
      <c r="F538" s="12" t="s">
        <v>1133</v>
      </c>
      <c r="G538" s="26"/>
      <c r="H538" s="5"/>
      <c r="I538" s="5"/>
      <c r="J538" s="12" t="s">
        <v>3098</v>
      </c>
      <c r="K538" s="82">
        <v>2.0</v>
      </c>
      <c r="L538" s="12" t="s">
        <v>3099</v>
      </c>
      <c r="M538" s="12" t="s">
        <v>2240</v>
      </c>
      <c r="N538" s="83" t="s">
        <v>3100</v>
      </c>
      <c r="O538" s="5"/>
      <c r="P538" s="5"/>
      <c r="Q538" s="5"/>
      <c r="R538" s="5"/>
      <c r="S538" s="80"/>
      <c r="T538" s="42" t="s">
        <v>2003</v>
      </c>
      <c r="U538" s="34" t="s">
        <v>22</v>
      </c>
      <c r="V538" s="81"/>
      <c r="W538" s="81"/>
      <c r="X538" s="5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</row>
    <row r="539" ht="12.0" customHeight="1">
      <c r="A539" s="12" t="s">
        <v>3097</v>
      </c>
      <c r="B539" s="12">
        <v>322.0</v>
      </c>
      <c r="C539" s="42" t="s">
        <v>1650</v>
      </c>
      <c r="D539" s="78" t="s">
        <v>2380</v>
      </c>
      <c r="E539" s="78" t="s">
        <v>2059</v>
      </c>
      <c r="F539" s="12" t="s">
        <v>1133</v>
      </c>
      <c r="G539" s="26"/>
      <c r="H539" s="5"/>
      <c r="I539" s="5"/>
      <c r="J539" s="12" t="s">
        <v>3098</v>
      </c>
      <c r="K539" s="82">
        <v>3.0</v>
      </c>
      <c r="L539" s="12" t="s">
        <v>3099</v>
      </c>
      <c r="M539" s="12" t="s">
        <v>2240</v>
      </c>
      <c r="N539" s="83" t="s">
        <v>3100</v>
      </c>
      <c r="O539" s="5"/>
      <c r="P539" s="5"/>
      <c r="Q539" s="5"/>
      <c r="R539" s="5"/>
      <c r="S539" s="80"/>
      <c r="T539" s="42" t="s">
        <v>2003</v>
      </c>
      <c r="U539" s="34" t="s">
        <v>22</v>
      </c>
      <c r="V539" s="81"/>
      <c r="W539" s="81"/>
      <c r="X539" s="5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</row>
    <row r="540" ht="12.0" customHeight="1">
      <c r="A540" s="12" t="s">
        <v>3097</v>
      </c>
      <c r="B540" s="12">
        <v>323.0</v>
      </c>
      <c r="C540" s="42" t="s">
        <v>1650</v>
      </c>
      <c r="D540" s="78" t="s">
        <v>2380</v>
      </c>
      <c r="E540" s="78" t="s">
        <v>2059</v>
      </c>
      <c r="F540" s="12" t="s">
        <v>1133</v>
      </c>
      <c r="G540" s="26"/>
      <c r="H540" s="5"/>
      <c r="I540" s="5"/>
      <c r="J540" s="12" t="s">
        <v>3098</v>
      </c>
      <c r="K540" s="82">
        <v>4.0</v>
      </c>
      <c r="L540" s="12" t="s">
        <v>3099</v>
      </c>
      <c r="M540" s="12" t="s">
        <v>2240</v>
      </c>
      <c r="N540" s="83" t="s">
        <v>3100</v>
      </c>
      <c r="O540" s="5"/>
      <c r="P540" s="5"/>
      <c r="Q540" s="5"/>
      <c r="R540" s="5"/>
      <c r="S540" s="80"/>
      <c r="T540" s="42"/>
      <c r="U540" s="34"/>
      <c r="V540" s="81"/>
      <c r="W540" s="81"/>
      <c r="X540" s="5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</row>
    <row r="541" ht="12.0" customHeight="1">
      <c r="A541" s="5" t="s">
        <v>3101</v>
      </c>
      <c r="B541" s="5">
        <v>1.0</v>
      </c>
      <c r="C541" s="26" t="s">
        <v>1650</v>
      </c>
      <c r="D541" s="78" t="s">
        <v>2162</v>
      </c>
      <c r="E541" s="78" t="s">
        <v>2059</v>
      </c>
      <c r="F541" s="5" t="s">
        <v>1133</v>
      </c>
      <c r="G541" s="26"/>
      <c r="H541" s="5"/>
      <c r="I541" s="5"/>
      <c r="J541" s="12"/>
      <c r="K541" s="79"/>
      <c r="L541" s="5" t="s">
        <v>3102</v>
      </c>
      <c r="M541" s="5" t="s">
        <v>3103</v>
      </c>
      <c r="N541" s="83" t="s">
        <v>3104</v>
      </c>
      <c r="O541" s="5"/>
      <c r="P541" s="5"/>
      <c r="Q541" s="5"/>
      <c r="R541" s="5"/>
      <c r="S541" s="80"/>
      <c r="T541" s="42"/>
      <c r="U541" s="34"/>
      <c r="V541" s="81"/>
      <c r="W541" s="81"/>
      <c r="X541" s="5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</row>
    <row r="542" ht="12.0" customHeight="1">
      <c r="A542" s="12" t="s">
        <v>2623</v>
      </c>
      <c r="B542" s="12">
        <v>3.0</v>
      </c>
      <c r="C542" s="42" t="s">
        <v>1650</v>
      </c>
      <c r="D542" s="78" t="s">
        <v>1650</v>
      </c>
      <c r="E542" s="78" t="s">
        <v>2059</v>
      </c>
      <c r="F542" s="12" t="s">
        <v>1133</v>
      </c>
      <c r="G542" s="26"/>
      <c r="H542" s="12"/>
      <c r="I542" s="12"/>
      <c r="J542" s="12" t="s">
        <v>2624</v>
      </c>
      <c r="K542" s="82">
        <v>3.0</v>
      </c>
      <c r="L542" s="12" t="s">
        <v>2625</v>
      </c>
      <c r="M542" s="12" t="s">
        <v>2404</v>
      </c>
      <c r="N542" s="83" t="s">
        <v>3105</v>
      </c>
      <c r="O542" s="12"/>
      <c r="P542" s="12"/>
      <c r="Q542" s="12"/>
      <c r="R542" s="12"/>
      <c r="S542" s="84"/>
      <c r="T542" s="26"/>
      <c r="U542" s="34"/>
      <c r="V542" s="81"/>
      <c r="W542" s="81"/>
      <c r="X542" s="5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</row>
    <row r="543" ht="12.0" hidden="1" customHeight="1">
      <c r="A543" s="12" t="s">
        <v>2656</v>
      </c>
      <c r="B543" s="12">
        <v>14.0</v>
      </c>
      <c r="C543" s="42" t="s">
        <v>1650</v>
      </c>
      <c r="D543" s="78" t="s">
        <v>2162</v>
      </c>
      <c r="E543" s="78" t="s">
        <v>2040</v>
      </c>
      <c r="F543" s="12" t="s">
        <v>1133</v>
      </c>
      <c r="G543" s="26"/>
      <c r="H543" s="5"/>
      <c r="I543" s="5"/>
      <c r="J543" s="5"/>
      <c r="K543" s="79"/>
      <c r="L543" s="5" t="s">
        <v>1195</v>
      </c>
      <c r="M543" s="12" t="s">
        <v>2657</v>
      </c>
      <c r="N543" s="83" t="s">
        <v>3106</v>
      </c>
      <c r="O543" s="5"/>
      <c r="P543" s="5"/>
      <c r="Q543" s="5"/>
      <c r="R543" s="5"/>
      <c r="S543" s="80"/>
      <c r="T543" s="42"/>
      <c r="U543" s="49"/>
      <c r="V543" s="81"/>
      <c r="W543" s="81"/>
      <c r="X543" s="5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</row>
    <row r="544" ht="12.0" hidden="1" customHeight="1">
      <c r="A544" s="12" t="s">
        <v>2656</v>
      </c>
      <c r="B544" s="12">
        <v>42.0</v>
      </c>
      <c r="C544" s="42" t="s">
        <v>1650</v>
      </c>
      <c r="D544" s="78" t="s">
        <v>2162</v>
      </c>
      <c r="E544" s="78" t="s">
        <v>2040</v>
      </c>
      <c r="F544" s="12" t="s">
        <v>1133</v>
      </c>
      <c r="G544" s="26"/>
      <c r="H544" s="5"/>
      <c r="I544" s="5"/>
      <c r="J544" s="5"/>
      <c r="K544" s="79"/>
      <c r="L544" s="5" t="s">
        <v>1195</v>
      </c>
      <c r="M544" s="5" t="s">
        <v>2066</v>
      </c>
      <c r="N544" s="83" t="s">
        <v>3107</v>
      </c>
      <c r="O544" s="5"/>
      <c r="P544" s="5"/>
      <c r="Q544" s="5"/>
      <c r="R544" s="5"/>
      <c r="S544" s="80"/>
      <c r="T544" s="42" t="s">
        <v>2003</v>
      </c>
      <c r="U544" s="49" t="s">
        <v>22</v>
      </c>
      <c r="V544" s="81"/>
      <c r="W544" s="81"/>
      <c r="X544" s="5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</row>
    <row r="545" ht="12.0" customHeight="1">
      <c r="A545" s="12" t="s">
        <v>3108</v>
      </c>
      <c r="B545" s="12">
        <v>1.0</v>
      </c>
      <c r="C545" s="42" t="s">
        <v>1650</v>
      </c>
      <c r="D545" s="78" t="s">
        <v>2162</v>
      </c>
      <c r="E545" s="78" t="s">
        <v>2059</v>
      </c>
      <c r="F545" s="12" t="s">
        <v>1133</v>
      </c>
      <c r="G545" s="26"/>
      <c r="H545" s="12"/>
      <c r="I545" s="5"/>
      <c r="J545" s="12" t="s">
        <v>3109</v>
      </c>
      <c r="K545" s="82">
        <v>1.0</v>
      </c>
      <c r="L545" s="12" t="s">
        <v>3110</v>
      </c>
      <c r="M545" s="12" t="s">
        <v>3111</v>
      </c>
      <c r="N545" s="83" t="s">
        <v>3112</v>
      </c>
      <c r="O545" s="5"/>
      <c r="P545" s="5"/>
      <c r="Q545" s="5"/>
      <c r="R545" s="5"/>
      <c r="S545" s="80"/>
      <c r="T545" s="42" t="s">
        <v>2003</v>
      </c>
      <c r="U545" s="49" t="s">
        <v>22</v>
      </c>
      <c r="V545" s="81"/>
      <c r="W545" s="81"/>
      <c r="X545" s="5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</row>
    <row r="546" ht="12.0" hidden="1" customHeight="1">
      <c r="A546" s="12" t="s">
        <v>2808</v>
      </c>
      <c r="B546" s="12">
        <v>1.0</v>
      </c>
      <c r="C546" s="42" t="s">
        <v>1650</v>
      </c>
      <c r="D546" s="78" t="s">
        <v>1650</v>
      </c>
      <c r="E546" s="78" t="s">
        <v>2001</v>
      </c>
      <c r="F546" s="12" t="s">
        <v>1133</v>
      </c>
      <c r="G546" s="26"/>
      <c r="H546" s="12"/>
      <c r="I546" s="5"/>
      <c r="J546" s="12"/>
      <c r="K546" s="82"/>
      <c r="L546" s="12" t="s">
        <v>2586</v>
      </c>
      <c r="M546" s="12" t="s">
        <v>2587</v>
      </c>
      <c r="N546" s="83" t="s">
        <v>3113</v>
      </c>
      <c r="O546" s="5"/>
      <c r="P546" s="5"/>
      <c r="Q546" s="5"/>
      <c r="R546" s="5"/>
      <c r="S546" s="80"/>
      <c r="T546" s="42"/>
      <c r="U546" s="34"/>
      <c r="V546" s="81"/>
      <c r="W546" s="81"/>
      <c r="X546" s="12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</row>
    <row r="547" ht="12.0" customHeight="1">
      <c r="A547" s="12" t="s">
        <v>3114</v>
      </c>
      <c r="B547" s="12">
        <v>1.0</v>
      </c>
      <c r="C547" s="42" t="s">
        <v>1650</v>
      </c>
      <c r="D547" s="78" t="s">
        <v>1650</v>
      </c>
      <c r="E547" s="78" t="s">
        <v>2059</v>
      </c>
      <c r="F547" s="12" t="s">
        <v>1133</v>
      </c>
      <c r="G547" s="26"/>
      <c r="H547" s="12"/>
      <c r="I547" s="5"/>
      <c r="J547" s="12" t="s">
        <v>3115</v>
      </c>
      <c r="K547" s="82">
        <v>1.0</v>
      </c>
      <c r="L547" s="12" t="s">
        <v>2607</v>
      </c>
      <c r="M547" s="12" t="s">
        <v>2198</v>
      </c>
      <c r="N547" s="83" t="s">
        <v>3116</v>
      </c>
      <c r="O547" s="5"/>
      <c r="P547" s="5"/>
      <c r="Q547" s="5"/>
      <c r="R547" s="5"/>
      <c r="S547" s="80"/>
      <c r="T547" s="42"/>
      <c r="U547" s="34"/>
      <c r="V547" s="81"/>
      <c r="W547" s="81"/>
      <c r="X547" s="12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</row>
    <row r="548" ht="12.0" customHeight="1">
      <c r="A548" s="12" t="s">
        <v>2919</v>
      </c>
      <c r="B548" s="12">
        <v>9.0</v>
      </c>
      <c r="C548" s="42" t="s">
        <v>1650</v>
      </c>
      <c r="D548" s="78" t="s">
        <v>2609</v>
      </c>
      <c r="E548" s="78" t="s">
        <v>2059</v>
      </c>
      <c r="F548" s="12" t="s">
        <v>1133</v>
      </c>
      <c r="G548" s="26"/>
      <c r="H548" s="5"/>
      <c r="I548" s="5"/>
      <c r="J548" s="12"/>
      <c r="K548" s="5"/>
      <c r="L548" s="5" t="s">
        <v>1771</v>
      </c>
      <c r="M548" s="5" t="s">
        <v>2525</v>
      </c>
      <c r="N548" s="83" t="s">
        <v>3117</v>
      </c>
      <c r="O548" s="5"/>
      <c r="P548" s="5"/>
      <c r="Q548" s="5"/>
      <c r="R548" s="5"/>
      <c r="S548" s="80"/>
      <c r="T548" s="42" t="s">
        <v>2003</v>
      </c>
      <c r="U548" s="34" t="s">
        <v>22</v>
      </c>
      <c r="V548" s="81"/>
      <c r="W548" s="81"/>
      <c r="X548" s="5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</row>
    <row r="549" ht="12.0" hidden="1" customHeight="1">
      <c r="A549" s="5" t="s">
        <v>3118</v>
      </c>
      <c r="B549" s="12">
        <v>1.0</v>
      </c>
      <c r="C549" s="26" t="s">
        <v>1650</v>
      </c>
      <c r="D549" s="78" t="s">
        <v>2187</v>
      </c>
      <c r="E549" s="78" t="s">
        <v>2040</v>
      </c>
      <c r="F549" s="12" t="s">
        <v>1133</v>
      </c>
      <c r="G549" s="26"/>
      <c r="H549" s="5"/>
      <c r="I549" s="5"/>
      <c r="J549" s="5"/>
      <c r="K549" s="79"/>
      <c r="L549" s="12" t="s">
        <v>2573</v>
      </c>
      <c r="M549" s="12" t="s">
        <v>3119</v>
      </c>
      <c r="N549" s="83" t="s">
        <v>3120</v>
      </c>
      <c r="O549" s="5"/>
      <c r="P549" s="5"/>
      <c r="Q549" s="5"/>
      <c r="R549" s="5"/>
      <c r="S549" s="80"/>
      <c r="T549" s="42" t="s">
        <v>2003</v>
      </c>
      <c r="U549" s="34" t="s">
        <v>22</v>
      </c>
      <c r="V549" s="81"/>
      <c r="W549" s="81"/>
      <c r="X549" s="5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</row>
    <row r="550" ht="12.0" hidden="1" customHeight="1">
      <c r="A550" s="5" t="s">
        <v>3118</v>
      </c>
      <c r="B550" s="12">
        <v>3.0</v>
      </c>
      <c r="C550" s="26" t="s">
        <v>1650</v>
      </c>
      <c r="D550" s="78" t="s">
        <v>2187</v>
      </c>
      <c r="E550" s="78" t="s">
        <v>2040</v>
      </c>
      <c r="F550" s="12" t="s">
        <v>1133</v>
      </c>
      <c r="G550" s="26"/>
      <c r="H550" s="5"/>
      <c r="I550" s="5"/>
      <c r="J550" s="12" t="s">
        <v>3121</v>
      </c>
      <c r="K550" s="82">
        <v>0.0</v>
      </c>
      <c r="L550" s="12" t="s">
        <v>2573</v>
      </c>
      <c r="M550" s="12" t="s">
        <v>3119</v>
      </c>
      <c r="N550" s="83" t="s">
        <v>3122</v>
      </c>
      <c r="O550" s="5"/>
      <c r="P550" s="5"/>
      <c r="Q550" s="5"/>
      <c r="R550" s="5"/>
      <c r="S550" s="80"/>
      <c r="T550" s="42" t="s">
        <v>2003</v>
      </c>
      <c r="U550" s="34" t="s">
        <v>22</v>
      </c>
      <c r="V550" s="81"/>
      <c r="W550" s="81"/>
      <c r="X550" s="5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</row>
    <row r="551" ht="12.0" hidden="1" customHeight="1">
      <c r="A551" s="5" t="s">
        <v>3118</v>
      </c>
      <c r="B551" s="5">
        <v>7.0</v>
      </c>
      <c r="C551" s="26" t="s">
        <v>1650</v>
      </c>
      <c r="D551" s="78" t="s">
        <v>2187</v>
      </c>
      <c r="E551" s="78" t="s">
        <v>2040</v>
      </c>
      <c r="F551" s="12" t="s">
        <v>1133</v>
      </c>
      <c r="G551" s="26"/>
      <c r="H551" s="5"/>
      <c r="I551" s="5"/>
      <c r="J551" s="5"/>
      <c r="K551" s="79"/>
      <c r="L551" s="12" t="s">
        <v>2573</v>
      </c>
      <c r="M551" s="12" t="s">
        <v>3119</v>
      </c>
      <c r="N551" s="83" t="s">
        <v>3123</v>
      </c>
      <c r="O551" s="5"/>
      <c r="P551" s="5"/>
      <c r="Q551" s="5"/>
      <c r="R551" s="5"/>
      <c r="S551" s="80"/>
      <c r="T551" s="42" t="s">
        <v>2003</v>
      </c>
      <c r="U551" s="34" t="s">
        <v>22</v>
      </c>
      <c r="V551" s="81"/>
      <c r="W551" s="81"/>
      <c r="X551" s="5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</row>
    <row r="552" ht="12.0" hidden="1" customHeight="1">
      <c r="A552" s="12" t="s">
        <v>3124</v>
      </c>
      <c r="B552" s="12">
        <v>1.0</v>
      </c>
      <c r="C552" s="42" t="s">
        <v>3125</v>
      </c>
      <c r="D552" s="78" t="s">
        <v>2051</v>
      </c>
      <c r="E552" s="78" t="s">
        <v>2040</v>
      </c>
      <c r="F552" s="12" t="s">
        <v>1133</v>
      </c>
      <c r="G552" s="26"/>
      <c r="H552" s="5"/>
      <c r="I552" s="5"/>
      <c r="J552" s="12" t="s">
        <v>3126</v>
      </c>
      <c r="K552" s="82">
        <v>1.0</v>
      </c>
      <c r="L552" s="12" t="s">
        <v>3044</v>
      </c>
      <c r="M552" s="12" t="s">
        <v>3127</v>
      </c>
      <c r="N552" s="83" t="s">
        <v>3128</v>
      </c>
      <c r="O552" s="5"/>
      <c r="P552" s="5"/>
      <c r="Q552" s="5"/>
      <c r="R552" s="5"/>
      <c r="S552" s="80"/>
      <c r="T552" s="42" t="s">
        <v>2003</v>
      </c>
      <c r="U552" s="49" t="s">
        <v>22</v>
      </c>
      <c r="V552" s="90"/>
      <c r="W552" s="90"/>
      <c r="X552" s="91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</row>
    <row r="553" ht="12.0" hidden="1" customHeight="1">
      <c r="A553" s="12" t="s">
        <v>3129</v>
      </c>
      <c r="B553" s="12">
        <v>1.0</v>
      </c>
      <c r="C553" s="42" t="s">
        <v>3130</v>
      </c>
      <c r="D553" s="78" t="s">
        <v>2000</v>
      </c>
      <c r="E553" s="78" t="s">
        <v>2001</v>
      </c>
      <c r="F553" s="12" t="s">
        <v>1133</v>
      </c>
      <c r="G553" s="26"/>
      <c r="H553" s="5"/>
      <c r="I553" s="12"/>
      <c r="J553" s="5"/>
      <c r="K553" s="79"/>
      <c r="L553" s="12" t="s">
        <v>3131</v>
      </c>
      <c r="M553" s="12"/>
      <c r="N553" s="84"/>
      <c r="O553" s="5"/>
      <c r="P553" s="5"/>
      <c r="Q553" s="5"/>
      <c r="R553" s="5"/>
      <c r="S553" s="80"/>
      <c r="T553" s="26"/>
      <c r="U553" s="34"/>
      <c r="V553" s="81"/>
      <c r="W553" s="81"/>
      <c r="X553" s="5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</row>
    <row r="554" ht="12.0" customHeight="1">
      <c r="A554" s="12" t="s">
        <v>3132</v>
      </c>
      <c r="B554" s="12">
        <v>374.0</v>
      </c>
      <c r="C554" s="42" t="s">
        <v>3133</v>
      </c>
      <c r="D554" s="78" t="s">
        <v>3133</v>
      </c>
      <c r="E554" s="78" t="s">
        <v>2059</v>
      </c>
      <c r="F554" s="12" t="s">
        <v>1133</v>
      </c>
      <c r="G554" s="26"/>
      <c r="H554" s="5"/>
      <c r="I554" s="5"/>
      <c r="J554" s="12" t="s">
        <v>1013</v>
      </c>
      <c r="K554" s="82">
        <v>1.0</v>
      </c>
      <c r="L554" s="12" t="s">
        <v>3134</v>
      </c>
      <c r="M554" s="12" t="s">
        <v>3135</v>
      </c>
      <c r="N554" s="83" t="s">
        <v>3136</v>
      </c>
      <c r="O554" s="5"/>
      <c r="P554" s="5"/>
      <c r="Q554" s="5"/>
      <c r="R554" s="5"/>
      <c r="S554" s="80"/>
      <c r="T554" s="26" t="s">
        <v>2006</v>
      </c>
      <c r="U554" s="34" t="s">
        <v>22</v>
      </c>
      <c r="V554" s="81"/>
      <c r="W554" s="81"/>
      <c r="X554" s="5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</row>
    <row r="555" ht="12.0" hidden="1" customHeight="1">
      <c r="A555" s="12" t="s">
        <v>3137</v>
      </c>
      <c r="B555" s="12">
        <v>1.0</v>
      </c>
      <c r="C555" s="42" t="s">
        <v>3138</v>
      </c>
      <c r="D555" s="78" t="s">
        <v>2051</v>
      </c>
      <c r="E555" s="78" t="s">
        <v>2001</v>
      </c>
      <c r="F555" s="12" t="s">
        <v>1141</v>
      </c>
      <c r="G555" s="42" t="s">
        <v>3139</v>
      </c>
      <c r="H555" s="12" t="s">
        <v>3137</v>
      </c>
      <c r="I555" s="12">
        <v>178.0</v>
      </c>
      <c r="J555" s="12"/>
      <c r="K555" s="82"/>
      <c r="L555" s="12" t="s">
        <v>3140</v>
      </c>
      <c r="M555" s="12" t="s">
        <v>3140</v>
      </c>
      <c r="N555" s="84"/>
      <c r="O555" s="12" t="s">
        <v>3137</v>
      </c>
      <c r="P555" s="12">
        <v>179.0</v>
      </c>
      <c r="Q555" s="12" t="s">
        <v>3140</v>
      </c>
      <c r="R555" s="12" t="s">
        <v>3140</v>
      </c>
      <c r="S555" s="84"/>
      <c r="T555" s="42" t="s">
        <v>2003</v>
      </c>
      <c r="U555" s="49" t="s">
        <v>22</v>
      </c>
      <c r="V555" s="81"/>
      <c r="W555" s="81"/>
      <c r="X555" s="5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</row>
    <row r="556" ht="12.0" hidden="1" customHeight="1">
      <c r="A556" s="12" t="s">
        <v>3141</v>
      </c>
      <c r="B556" s="12">
        <v>1.0</v>
      </c>
      <c r="C556" s="42" t="s">
        <v>3138</v>
      </c>
      <c r="D556" s="78" t="s">
        <v>2051</v>
      </c>
      <c r="E556" s="78" t="s">
        <v>2001</v>
      </c>
      <c r="F556" s="12" t="s">
        <v>1141</v>
      </c>
      <c r="G556" s="42" t="s">
        <v>3139</v>
      </c>
      <c r="H556" s="12" t="s">
        <v>3141</v>
      </c>
      <c r="I556" s="12">
        <v>247.0</v>
      </c>
      <c r="J556" s="5"/>
      <c r="K556" s="79"/>
      <c r="L556" s="12" t="s">
        <v>3142</v>
      </c>
      <c r="M556" s="12" t="s">
        <v>2119</v>
      </c>
      <c r="N556" s="84"/>
      <c r="O556" s="5"/>
      <c r="P556" s="5"/>
      <c r="Q556" s="5"/>
      <c r="R556" s="5"/>
      <c r="S556" s="80"/>
      <c r="T556" s="26"/>
      <c r="U556" s="34"/>
      <c r="V556" s="81"/>
      <c r="W556" s="81"/>
      <c r="X556" s="91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</row>
    <row r="557" ht="12.0" hidden="1" customHeight="1">
      <c r="A557" s="12" t="s">
        <v>3143</v>
      </c>
      <c r="B557" s="12">
        <v>0.0</v>
      </c>
      <c r="C557" s="42" t="s">
        <v>3144</v>
      </c>
      <c r="D557" s="78" t="s">
        <v>2051</v>
      </c>
      <c r="E557" s="78" t="s">
        <v>2001</v>
      </c>
      <c r="F557" s="12" t="s">
        <v>1133</v>
      </c>
      <c r="G557" s="26"/>
      <c r="H557" s="5"/>
      <c r="I557" s="5"/>
      <c r="J557" s="12" t="s">
        <v>3145</v>
      </c>
      <c r="K557" s="82">
        <v>0.0</v>
      </c>
      <c r="L557" s="12" t="s">
        <v>2377</v>
      </c>
      <c r="M557" s="12" t="s">
        <v>2452</v>
      </c>
      <c r="N557" s="83" t="s">
        <v>3146</v>
      </c>
      <c r="O557" s="5"/>
      <c r="P557" s="5"/>
      <c r="Q557" s="5"/>
      <c r="R557" s="5"/>
      <c r="S557" s="80"/>
      <c r="T557" s="42" t="s">
        <v>2003</v>
      </c>
      <c r="U557" s="49" t="s">
        <v>22</v>
      </c>
      <c r="V557" s="90"/>
      <c r="W557" s="90"/>
      <c r="X557" s="91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</row>
    <row r="558" ht="12.0" hidden="1" customHeight="1">
      <c r="A558" s="12" t="s">
        <v>3143</v>
      </c>
      <c r="B558" s="12">
        <v>1.0</v>
      </c>
      <c r="C558" s="42" t="s">
        <v>3144</v>
      </c>
      <c r="D558" s="78" t="s">
        <v>2051</v>
      </c>
      <c r="E558" s="78" t="s">
        <v>2001</v>
      </c>
      <c r="F558" s="12" t="s">
        <v>1133</v>
      </c>
      <c r="G558" s="26"/>
      <c r="H558" s="5"/>
      <c r="I558" s="5"/>
      <c r="J558" s="12" t="s">
        <v>3145</v>
      </c>
      <c r="K558" s="82">
        <v>1.0</v>
      </c>
      <c r="L558" s="12" t="s">
        <v>2377</v>
      </c>
      <c r="M558" s="12" t="s">
        <v>3095</v>
      </c>
      <c r="N558" s="83" t="s">
        <v>3146</v>
      </c>
      <c r="O558" s="5"/>
      <c r="P558" s="5"/>
      <c r="Q558" s="5"/>
      <c r="R558" s="5"/>
      <c r="S558" s="80"/>
      <c r="T558" s="42" t="s">
        <v>2003</v>
      </c>
      <c r="U558" s="49" t="s">
        <v>22</v>
      </c>
      <c r="V558" s="90"/>
      <c r="W558" s="90"/>
      <c r="X558" s="91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</row>
    <row r="559" ht="12.0" hidden="1" customHeight="1">
      <c r="A559" s="12" t="s">
        <v>3143</v>
      </c>
      <c r="B559" s="12">
        <v>2.0</v>
      </c>
      <c r="C559" s="42" t="s">
        <v>3144</v>
      </c>
      <c r="D559" s="78" t="s">
        <v>2051</v>
      </c>
      <c r="E559" s="78" t="s">
        <v>2001</v>
      </c>
      <c r="F559" s="12" t="s">
        <v>1133</v>
      </c>
      <c r="G559" s="26"/>
      <c r="H559" s="5"/>
      <c r="I559" s="5"/>
      <c r="J559" s="12" t="s">
        <v>3145</v>
      </c>
      <c r="K559" s="82">
        <v>2.0</v>
      </c>
      <c r="L559" s="12" t="s">
        <v>2377</v>
      </c>
      <c r="M559" s="12" t="s">
        <v>3095</v>
      </c>
      <c r="N559" s="83" t="s">
        <v>3146</v>
      </c>
      <c r="O559" s="5"/>
      <c r="P559" s="5"/>
      <c r="Q559" s="5"/>
      <c r="R559" s="5"/>
      <c r="S559" s="80"/>
      <c r="T559" s="42" t="s">
        <v>2003</v>
      </c>
      <c r="U559" s="49" t="s">
        <v>22</v>
      </c>
      <c r="V559" s="90"/>
      <c r="W559" s="90"/>
      <c r="X559" s="91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</row>
    <row r="560" ht="12.0" hidden="1" customHeight="1">
      <c r="A560" s="12" t="s">
        <v>3143</v>
      </c>
      <c r="B560" s="12">
        <v>3.0</v>
      </c>
      <c r="C560" s="42" t="s">
        <v>3144</v>
      </c>
      <c r="D560" s="78" t="s">
        <v>2051</v>
      </c>
      <c r="E560" s="78" t="s">
        <v>2001</v>
      </c>
      <c r="F560" s="12" t="s">
        <v>1133</v>
      </c>
      <c r="G560" s="26"/>
      <c r="H560" s="5"/>
      <c r="I560" s="5"/>
      <c r="J560" s="12" t="s">
        <v>3145</v>
      </c>
      <c r="K560" s="82">
        <v>3.0</v>
      </c>
      <c r="L560" s="12" t="s">
        <v>2377</v>
      </c>
      <c r="M560" s="12" t="s">
        <v>3095</v>
      </c>
      <c r="N560" s="83" t="s">
        <v>3146</v>
      </c>
      <c r="O560" s="5"/>
      <c r="P560" s="5"/>
      <c r="Q560" s="5"/>
      <c r="R560" s="5"/>
      <c r="S560" s="80"/>
      <c r="T560" s="42" t="s">
        <v>2003</v>
      </c>
      <c r="U560" s="49" t="s">
        <v>22</v>
      </c>
      <c r="V560" s="90"/>
      <c r="W560" s="90"/>
      <c r="X560" s="91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</row>
    <row r="561" ht="12.0" hidden="1" customHeight="1">
      <c r="A561" s="12" t="s">
        <v>3143</v>
      </c>
      <c r="B561" s="12">
        <v>4.0</v>
      </c>
      <c r="C561" s="42" t="s">
        <v>3144</v>
      </c>
      <c r="D561" s="78" t="s">
        <v>2051</v>
      </c>
      <c r="E561" s="78" t="s">
        <v>2001</v>
      </c>
      <c r="F561" s="12" t="s">
        <v>1133</v>
      </c>
      <c r="G561" s="26"/>
      <c r="H561" s="5"/>
      <c r="I561" s="5"/>
      <c r="J561" s="12" t="s">
        <v>3145</v>
      </c>
      <c r="K561" s="82">
        <v>4.0</v>
      </c>
      <c r="L561" s="12" t="s">
        <v>2377</v>
      </c>
      <c r="M561" s="12" t="s">
        <v>3095</v>
      </c>
      <c r="N561" s="83" t="s">
        <v>3147</v>
      </c>
      <c r="O561" s="5"/>
      <c r="P561" s="5"/>
      <c r="Q561" s="5"/>
      <c r="R561" s="5"/>
      <c r="S561" s="80"/>
      <c r="T561" s="42" t="s">
        <v>2003</v>
      </c>
      <c r="U561" s="49" t="s">
        <v>22</v>
      </c>
      <c r="V561" s="90"/>
      <c r="W561" s="90"/>
      <c r="X561" s="91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</row>
    <row r="562" ht="12.0" hidden="1" customHeight="1">
      <c r="A562" s="12" t="s">
        <v>3148</v>
      </c>
      <c r="B562" s="12">
        <v>6.0</v>
      </c>
      <c r="C562" s="42" t="s">
        <v>3149</v>
      </c>
      <c r="D562" s="78" t="s">
        <v>2051</v>
      </c>
      <c r="E562" s="78" t="s">
        <v>2001</v>
      </c>
      <c r="F562" s="12" t="s">
        <v>1133</v>
      </c>
      <c r="G562" s="26"/>
      <c r="H562" s="5"/>
      <c r="I562" s="5"/>
      <c r="J562" s="5"/>
      <c r="K562" s="79"/>
      <c r="L562" s="12" t="s">
        <v>3150</v>
      </c>
      <c r="M562" s="12" t="s">
        <v>2819</v>
      </c>
      <c r="N562" s="83" t="s">
        <v>3151</v>
      </c>
      <c r="O562" s="5"/>
      <c r="P562" s="5"/>
      <c r="Q562" s="5"/>
      <c r="R562" s="5"/>
      <c r="S562" s="80"/>
      <c r="T562" s="42" t="s">
        <v>2003</v>
      </c>
      <c r="U562" s="34" t="s">
        <v>22</v>
      </c>
      <c r="V562" s="81"/>
      <c r="W562" s="81"/>
      <c r="X562" s="91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</row>
    <row r="563" ht="12.0" hidden="1" customHeight="1">
      <c r="A563" s="12" t="s">
        <v>3148</v>
      </c>
      <c r="B563" s="12">
        <v>7.0</v>
      </c>
      <c r="C563" s="42" t="s">
        <v>3149</v>
      </c>
      <c r="D563" s="78" t="s">
        <v>2051</v>
      </c>
      <c r="E563" s="78" t="s">
        <v>2001</v>
      </c>
      <c r="F563" s="12" t="s">
        <v>1133</v>
      </c>
      <c r="G563" s="26"/>
      <c r="H563" s="5"/>
      <c r="I563" s="5"/>
      <c r="J563" s="5"/>
      <c r="K563" s="79"/>
      <c r="L563" s="12" t="s">
        <v>3150</v>
      </c>
      <c r="M563" s="12" t="s">
        <v>2819</v>
      </c>
      <c r="N563" s="93" t="s">
        <v>3151</v>
      </c>
      <c r="O563" s="5"/>
      <c r="P563" s="5"/>
      <c r="Q563" s="5"/>
      <c r="R563" s="5"/>
      <c r="S563" s="80"/>
      <c r="T563" s="42" t="s">
        <v>2003</v>
      </c>
      <c r="U563" s="34" t="s">
        <v>22</v>
      </c>
      <c r="V563" s="81"/>
      <c r="W563" s="81"/>
      <c r="X563" s="91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</row>
    <row r="564" ht="12.0" hidden="1" customHeight="1">
      <c r="A564" s="12" t="s">
        <v>3148</v>
      </c>
      <c r="B564" s="12">
        <v>8.0</v>
      </c>
      <c r="C564" s="42" t="s">
        <v>3149</v>
      </c>
      <c r="D564" s="78" t="s">
        <v>2051</v>
      </c>
      <c r="E564" s="78" t="s">
        <v>2001</v>
      </c>
      <c r="F564" s="12" t="s">
        <v>1133</v>
      </c>
      <c r="G564" s="26"/>
      <c r="H564" s="5"/>
      <c r="I564" s="5"/>
      <c r="J564" s="5"/>
      <c r="K564" s="79"/>
      <c r="L564" s="12" t="s">
        <v>3150</v>
      </c>
      <c r="M564" s="12" t="s">
        <v>2819</v>
      </c>
      <c r="N564" s="83" t="s">
        <v>3151</v>
      </c>
      <c r="O564" s="5"/>
      <c r="P564" s="5"/>
      <c r="Q564" s="5"/>
      <c r="R564" s="5"/>
      <c r="S564" s="80"/>
      <c r="T564" s="42" t="s">
        <v>2003</v>
      </c>
      <c r="U564" s="34" t="s">
        <v>22</v>
      </c>
      <c r="V564" s="81"/>
      <c r="W564" s="81"/>
      <c r="X564" s="91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</row>
    <row r="565" ht="12.0" hidden="1" customHeight="1">
      <c r="A565" s="12" t="s">
        <v>3148</v>
      </c>
      <c r="B565" s="12">
        <v>11.0</v>
      </c>
      <c r="C565" s="12" t="s">
        <v>3149</v>
      </c>
      <c r="D565" s="78" t="s">
        <v>2051</v>
      </c>
      <c r="E565" s="78" t="s">
        <v>2001</v>
      </c>
      <c r="F565" s="12" t="s">
        <v>1133</v>
      </c>
      <c r="G565" s="26"/>
      <c r="H565" s="5"/>
      <c r="I565" s="5"/>
      <c r="J565" s="5"/>
      <c r="K565" s="79"/>
      <c r="L565" s="12" t="s">
        <v>3150</v>
      </c>
      <c r="M565" s="12" t="s">
        <v>2819</v>
      </c>
      <c r="N565" s="93" t="s">
        <v>3151</v>
      </c>
      <c r="O565" s="5"/>
      <c r="P565" s="5"/>
      <c r="Q565" s="5"/>
      <c r="R565" s="5"/>
      <c r="S565" s="80"/>
      <c r="T565" s="42" t="s">
        <v>2003</v>
      </c>
      <c r="U565" s="34" t="s">
        <v>22</v>
      </c>
      <c r="V565" s="81"/>
      <c r="W565" s="81"/>
      <c r="X565" s="91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ht="12.0" hidden="1" customHeight="1">
      <c r="A566" s="12" t="s">
        <v>3148</v>
      </c>
      <c r="B566" s="12">
        <v>12.0</v>
      </c>
      <c r="C566" s="42" t="s">
        <v>3149</v>
      </c>
      <c r="D566" s="78" t="s">
        <v>2051</v>
      </c>
      <c r="E566" s="78" t="s">
        <v>2001</v>
      </c>
      <c r="F566" s="12" t="s">
        <v>1133</v>
      </c>
      <c r="G566" s="26"/>
      <c r="H566" s="5"/>
      <c r="I566" s="5"/>
      <c r="J566" s="5"/>
      <c r="K566" s="79"/>
      <c r="L566" s="12" t="s">
        <v>3150</v>
      </c>
      <c r="M566" s="12" t="s">
        <v>2819</v>
      </c>
      <c r="N566" s="83" t="s">
        <v>3151</v>
      </c>
      <c r="O566" s="5"/>
      <c r="P566" s="5"/>
      <c r="Q566" s="5"/>
      <c r="R566" s="5"/>
      <c r="S566" s="80"/>
      <c r="T566" s="42" t="s">
        <v>2003</v>
      </c>
      <c r="U566" s="34" t="s">
        <v>22</v>
      </c>
      <c r="V566" s="81"/>
      <c r="W566" s="81"/>
      <c r="X566" s="91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</row>
    <row r="567" ht="12.0" hidden="1" customHeight="1">
      <c r="A567" s="12" t="s">
        <v>3148</v>
      </c>
      <c r="B567" s="12">
        <v>13.0</v>
      </c>
      <c r="C567" s="42" t="s">
        <v>3149</v>
      </c>
      <c r="D567" s="78" t="s">
        <v>2051</v>
      </c>
      <c r="E567" s="78" t="s">
        <v>2001</v>
      </c>
      <c r="F567" s="12" t="s">
        <v>1133</v>
      </c>
      <c r="G567" s="26"/>
      <c r="H567" s="5"/>
      <c r="I567" s="5"/>
      <c r="J567" s="5"/>
      <c r="K567" s="79"/>
      <c r="L567" s="12" t="s">
        <v>3150</v>
      </c>
      <c r="M567" s="12" t="s">
        <v>2819</v>
      </c>
      <c r="N567" s="93" t="s">
        <v>3151</v>
      </c>
      <c r="O567" s="5"/>
      <c r="P567" s="5"/>
      <c r="Q567" s="5"/>
      <c r="R567" s="5"/>
      <c r="S567" s="80"/>
      <c r="T567" s="42" t="s">
        <v>2003</v>
      </c>
      <c r="U567" s="34" t="s">
        <v>22</v>
      </c>
      <c r="V567" s="81"/>
      <c r="W567" s="81"/>
      <c r="X567" s="91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</row>
    <row r="568" ht="12.0" hidden="1" customHeight="1">
      <c r="A568" s="12" t="s">
        <v>3148</v>
      </c>
      <c r="B568" s="12">
        <v>15.0</v>
      </c>
      <c r="C568" s="42" t="s">
        <v>3149</v>
      </c>
      <c r="D568" s="78" t="s">
        <v>2051</v>
      </c>
      <c r="E568" s="78" t="s">
        <v>2001</v>
      </c>
      <c r="F568" s="12" t="s">
        <v>1133</v>
      </c>
      <c r="G568" s="26"/>
      <c r="H568" s="5"/>
      <c r="I568" s="5"/>
      <c r="J568" s="5"/>
      <c r="K568" s="79"/>
      <c r="L568" s="12" t="s">
        <v>3150</v>
      </c>
      <c r="M568" s="12" t="s">
        <v>2819</v>
      </c>
      <c r="N568" s="83" t="s">
        <v>3151</v>
      </c>
      <c r="O568" s="5"/>
      <c r="P568" s="5"/>
      <c r="Q568" s="5"/>
      <c r="R568" s="5"/>
      <c r="S568" s="80"/>
      <c r="T568" s="42" t="s">
        <v>2003</v>
      </c>
      <c r="U568" s="34" t="s">
        <v>22</v>
      </c>
      <c r="V568" s="81"/>
      <c r="W568" s="81"/>
      <c r="X568" s="91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</row>
    <row r="569" ht="12.0" hidden="1" customHeight="1">
      <c r="A569" s="12" t="s">
        <v>3148</v>
      </c>
      <c r="B569" s="12">
        <v>16.0</v>
      </c>
      <c r="C569" s="42" t="s">
        <v>3149</v>
      </c>
      <c r="D569" s="78" t="s">
        <v>2051</v>
      </c>
      <c r="E569" s="78" t="s">
        <v>2001</v>
      </c>
      <c r="F569" s="12" t="s">
        <v>1133</v>
      </c>
      <c r="G569" s="26"/>
      <c r="H569" s="5"/>
      <c r="I569" s="5"/>
      <c r="J569" s="5"/>
      <c r="K569" s="79"/>
      <c r="L569" s="12" t="s">
        <v>3150</v>
      </c>
      <c r="M569" s="12" t="s">
        <v>2085</v>
      </c>
      <c r="N569" s="93" t="s">
        <v>3151</v>
      </c>
      <c r="O569" s="5"/>
      <c r="P569" s="5"/>
      <c r="Q569" s="5"/>
      <c r="R569" s="5"/>
      <c r="S569" s="80"/>
      <c r="T569" s="42" t="s">
        <v>2003</v>
      </c>
      <c r="U569" s="34" t="s">
        <v>22</v>
      </c>
      <c r="V569" s="81"/>
      <c r="W569" s="81"/>
      <c r="X569" s="91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</row>
    <row r="570" ht="12.0" hidden="1" customHeight="1">
      <c r="A570" s="12" t="s">
        <v>3148</v>
      </c>
      <c r="B570" s="12">
        <v>17.0</v>
      </c>
      <c r="C570" s="42" t="s">
        <v>3149</v>
      </c>
      <c r="D570" s="78" t="s">
        <v>2051</v>
      </c>
      <c r="E570" s="78" t="s">
        <v>2001</v>
      </c>
      <c r="F570" s="12" t="s">
        <v>1133</v>
      </c>
      <c r="G570" s="26"/>
      <c r="H570" s="5"/>
      <c r="I570" s="5"/>
      <c r="J570" s="5"/>
      <c r="K570" s="79"/>
      <c r="L570" s="12" t="s">
        <v>3150</v>
      </c>
      <c r="M570" s="12" t="s">
        <v>2085</v>
      </c>
      <c r="N570" s="83" t="s">
        <v>3151</v>
      </c>
      <c r="O570" s="5"/>
      <c r="P570" s="5"/>
      <c r="Q570" s="5"/>
      <c r="R570" s="5"/>
      <c r="S570" s="80"/>
      <c r="T570" s="42" t="s">
        <v>2003</v>
      </c>
      <c r="U570" s="34" t="s">
        <v>22</v>
      </c>
      <c r="V570" s="81"/>
      <c r="W570" s="81"/>
      <c r="X570" s="91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</row>
    <row r="571" ht="12.0" customHeight="1">
      <c r="A571" s="12" t="s">
        <v>3148</v>
      </c>
      <c r="B571" s="12">
        <v>20.0</v>
      </c>
      <c r="C571" s="42" t="s">
        <v>3149</v>
      </c>
      <c r="D571" s="78" t="s">
        <v>2051</v>
      </c>
      <c r="E571" s="78" t="s">
        <v>2059</v>
      </c>
      <c r="F571" s="12" t="s">
        <v>1133</v>
      </c>
      <c r="G571" s="26"/>
      <c r="H571" s="5"/>
      <c r="I571" s="5"/>
      <c r="J571" s="12" t="s">
        <v>3152</v>
      </c>
      <c r="K571" s="82">
        <v>2.0</v>
      </c>
      <c r="L571" s="12" t="s">
        <v>2550</v>
      </c>
      <c r="M571" s="12" t="s">
        <v>3153</v>
      </c>
      <c r="N571" s="93" t="s">
        <v>3151</v>
      </c>
      <c r="O571" s="5"/>
      <c r="P571" s="5"/>
      <c r="Q571" s="5"/>
      <c r="R571" s="5"/>
      <c r="S571" s="80"/>
      <c r="T571" s="42" t="s">
        <v>2003</v>
      </c>
      <c r="U571" s="34" t="s">
        <v>22</v>
      </c>
      <c r="V571" s="81"/>
      <c r="W571" s="81"/>
      <c r="X571" s="91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</row>
    <row r="572" ht="12.0" hidden="1" customHeight="1">
      <c r="A572" s="12" t="s">
        <v>3148</v>
      </c>
      <c r="B572" s="12">
        <v>23.0</v>
      </c>
      <c r="C572" s="42" t="s">
        <v>3149</v>
      </c>
      <c r="D572" s="78" t="s">
        <v>2051</v>
      </c>
      <c r="E572" s="78" t="s">
        <v>2001</v>
      </c>
      <c r="F572" s="12" t="s">
        <v>1133</v>
      </c>
      <c r="G572" s="26"/>
      <c r="H572" s="5"/>
      <c r="I572" s="5"/>
      <c r="J572" s="5"/>
      <c r="K572" s="79"/>
      <c r="L572" s="12" t="s">
        <v>2550</v>
      </c>
      <c r="M572" s="12" t="s">
        <v>3153</v>
      </c>
      <c r="N572" s="83" t="s">
        <v>3151</v>
      </c>
      <c r="O572" s="5"/>
      <c r="P572" s="5"/>
      <c r="Q572" s="5"/>
      <c r="R572" s="5"/>
      <c r="S572" s="80"/>
      <c r="T572" s="42" t="s">
        <v>2003</v>
      </c>
      <c r="U572" s="34" t="s">
        <v>22</v>
      </c>
      <c r="V572" s="81"/>
      <c r="W572" s="81"/>
      <c r="X572" s="91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</row>
    <row r="573" ht="12.0" hidden="1" customHeight="1">
      <c r="A573" s="12" t="s">
        <v>3148</v>
      </c>
      <c r="B573" s="12">
        <v>25.0</v>
      </c>
      <c r="C573" s="42" t="s">
        <v>3149</v>
      </c>
      <c r="D573" s="78" t="s">
        <v>2051</v>
      </c>
      <c r="E573" s="78" t="s">
        <v>2001</v>
      </c>
      <c r="F573" s="12" t="s">
        <v>1133</v>
      </c>
      <c r="G573" s="26"/>
      <c r="H573" s="5"/>
      <c r="I573" s="5"/>
      <c r="J573" s="5"/>
      <c r="K573" s="79"/>
      <c r="L573" s="12" t="s">
        <v>2550</v>
      </c>
      <c r="M573" s="12" t="s">
        <v>3154</v>
      </c>
      <c r="N573" s="93" t="s">
        <v>3151</v>
      </c>
      <c r="O573" s="5"/>
      <c r="P573" s="5"/>
      <c r="Q573" s="5"/>
      <c r="R573" s="5"/>
      <c r="S573" s="80"/>
      <c r="T573" s="42" t="s">
        <v>2003</v>
      </c>
      <c r="U573" s="34" t="s">
        <v>22</v>
      </c>
      <c r="V573" s="81"/>
      <c r="W573" s="81"/>
      <c r="X573" s="91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</row>
    <row r="574" ht="12.0" hidden="1" customHeight="1">
      <c r="A574" s="12" t="s">
        <v>3148</v>
      </c>
      <c r="B574" s="12">
        <v>28.0</v>
      </c>
      <c r="C574" s="42" t="s">
        <v>3149</v>
      </c>
      <c r="D574" s="78" t="s">
        <v>2051</v>
      </c>
      <c r="E574" s="78" t="s">
        <v>2001</v>
      </c>
      <c r="F574" s="12" t="s">
        <v>1133</v>
      </c>
      <c r="G574" s="26"/>
      <c r="H574" s="5"/>
      <c r="I574" s="5"/>
      <c r="J574" s="5"/>
      <c r="K574" s="79"/>
      <c r="L574" s="12" t="s">
        <v>2550</v>
      </c>
      <c r="M574" s="12" t="s">
        <v>3153</v>
      </c>
      <c r="N574" s="83" t="s">
        <v>3151</v>
      </c>
      <c r="O574" s="5"/>
      <c r="P574" s="5"/>
      <c r="Q574" s="5"/>
      <c r="R574" s="5"/>
      <c r="S574" s="80"/>
      <c r="T574" s="42" t="s">
        <v>2003</v>
      </c>
      <c r="U574" s="34" t="s">
        <v>22</v>
      </c>
      <c r="V574" s="81"/>
      <c r="W574" s="81"/>
      <c r="X574" s="91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</row>
    <row r="575" ht="12.0" hidden="1" customHeight="1">
      <c r="A575" s="12" t="s">
        <v>3148</v>
      </c>
      <c r="B575" s="12">
        <v>30.0</v>
      </c>
      <c r="C575" s="42" t="s">
        <v>3149</v>
      </c>
      <c r="D575" s="78" t="s">
        <v>2051</v>
      </c>
      <c r="E575" s="78" t="s">
        <v>2001</v>
      </c>
      <c r="F575" s="12" t="s">
        <v>1133</v>
      </c>
      <c r="G575" s="26"/>
      <c r="H575" s="5"/>
      <c r="I575" s="5"/>
      <c r="J575" s="5"/>
      <c r="K575" s="79"/>
      <c r="L575" s="12" t="s">
        <v>2550</v>
      </c>
      <c r="M575" s="12" t="s">
        <v>3153</v>
      </c>
      <c r="N575" s="93" t="s">
        <v>3151</v>
      </c>
      <c r="O575" s="5"/>
      <c r="P575" s="5"/>
      <c r="Q575" s="5"/>
      <c r="R575" s="5"/>
      <c r="S575" s="80"/>
      <c r="T575" s="42" t="s">
        <v>2003</v>
      </c>
      <c r="U575" s="34" t="s">
        <v>22</v>
      </c>
      <c r="V575" s="81"/>
      <c r="W575" s="81"/>
      <c r="X575" s="91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</row>
    <row r="576" ht="12.0" hidden="1" customHeight="1">
      <c r="A576" s="12" t="s">
        <v>3148</v>
      </c>
      <c r="B576" s="12">
        <v>41.0</v>
      </c>
      <c r="C576" s="42" t="s">
        <v>3149</v>
      </c>
      <c r="D576" s="78" t="s">
        <v>2051</v>
      </c>
      <c r="E576" s="78" t="s">
        <v>2001</v>
      </c>
      <c r="F576" s="12" t="s">
        <v>1133</v>
      </c>
      <c r="G576" s="26"/>
      <c r="H576" s="5"/>
      <c r="I576" s="5"/>
      <c r="J576" s="5"/>
      <c r="K576" s="79"/>
      <c r="L576" s="12" t="s">
        <v>2550</v>
      </c>
      <c r="M576" s="12" t="s">
        <v>3153</v>
      </c>
      <c r="N576" s="83" t="s">
        <v>3151</v>
      </c>
      <c r="O576" s="5"/>
      <c r="P576" s="5"/>
      <c r="Q576" s="5"/>
      <c r="R576" s="5"/>
      <c r="S576" s="80"/>
      <c r="T576" s="42" t="s">
        <v>2003</v>
      </c>
      <c r="U576" s="34" t="s">
        <v>22</v>
      </c>
      <c r="V576" s="81"/>
      <c r="W576" s="81"/>
      <c r="X576" s="91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</row>
    <row r="577" ht="12.0" hidden="1" customHeight="1">
      <c r="A577" s="12" t="s">
        <v>3148</v>
      </c>
      <c r="B577" s="12">
        <v>42.0</v>
      </c>
      <c r="C577" s="42" t="s">
        <v>3149</v>
      </c>
      <c r="D577" s="78" t="s">
        <v>2051</v>
      </c>
      <c r="E577" s="78" t="s">
        <v>2001</v>
      </c>
      <c r="F577" s="12" t="s">
        <v>1133</v>
      </c>
      <c r="G577" s="26"/>
      <c r="H577" s="5"/>
      <c r="I577" s="5"/>
      <c r="J577" s="5"/>
      <c r="K577" s="79"/>
      <c r="L577" s="12" t="s">
        <v>2550</v>
      </c>
      <c r="M577" s="12" t="s">
        <v>3155</v>
      </c>
      <c r="N577" s="93" t="s">
        <v>3151</v>
      </c>
      <c r="O577" s="5"/>
      <c r="P577" s="5"/>
      <c r="Q577" s="5"/>
      <c r="R577" s="5"/>
      <c r="S577" s="80"/>
      <c r="T577" s="42" t="s">
        <v>2003</v>
      </c>
      <c r="U577" s="34" t="s">
        <v>22</v>
      </c>
      <c r="V577" s="81"/>
      <c r="W577" s="81"/>
      <c r="X577" s="91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</row>
    <row r="578" ht="12.0" hidden="1" customHeight="1">
      <c r="A578" s="12" t="s">
        <v>3148</v>
      </c>
      <c r="B578" s="12">
        <v>43.0</v>
      </c>
      <c r="C578" s="42" t="s">
        <v>3149</v>
      </c>
      <c r="D578" s="78" t="s">
        <v>2051</v>
      </c>
      <c r="E578" s="78" t="s">
        <v>2001</v>
      </c>
      <c r="F578" s="12" t="s">
        <v>1133</v>
      </c>
      <c r="G578" s="26"/>
      <c r="H578" s="5"/>
      <c r="I578" s="5"/>
      <c r="J578" s="5"/>
      <c r="K578" s="79"/>
      <c r="L578" s="12" t="s">
        <v>2550</v>
      </c>
      <c r="M578" s="12" t="s">
        <v>3156</v>
      </c>
      <c r="N578" s="83" t="s">
        <v>3151</v>
      </c>
      <c r="O578" s="5"/>
      <c r="P578" s="5"/>
      <c r="Q578" s="5"/>
      <c r="R578" s="5"/>
      <c r="S578" s="80"/>
      <c r="T578" s="42" t="s">
        <v>2003</v>
      </c>
      <c r="U578" s="34" t="s">
        <v>22</v>
      </c>
      <c r="V578" s="81"/>
      <c r="W578" s="81"/>
      <c r="X578" s="91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</row>
    <row r="579" ht="12.0" hidden="1" customHeight="1">
      <c r="A579" s="12" t="s">
        <v>3148</v>
      </c>
      <c r="B579" s="12">
        <v>44.0</v>
      </c>
      <c r="C579" s="42" t="s">
        <v>3149</v>
      </c>
      <c r="D579" s="78" t="s">
        <v>2051</v>
      </c>
      <c r="E579" s="78" t="s">
        <v>2001</v>
      </c>
      <c r="F579" s="12" t="s">
        <v>1133</v>
      </c>
      <c r="G579" s="26"/>
      <c r="H579" s="5"/>
      <c r="I579" s="5"/>
      <c r="J579" s="5"/>
      <c r="K579" s="79"/>
      <c r="L579" s="12" t="s">
        <v>2550</v>
      </c>
      <c r="M579" s="12" t="s">
        <v>3153</v>
      </c>
      <c r="N579" s="93" t="s">
        <v>3151</v>
      </c>
      <c r="O579" s="5"/>
      <c r="P579" s="5"/>
      <c r="Q579" s="5"/>
      <c r="R579" s="5"/>
      <c r="S579" s="80"/>
      <c r="T579" s="42" t="s">
        <v>2003</v>
      </c>
      <c r="U579" s="34" t="s">
        <v>22</v>
      </c>
      <c r="V579" s="81"/>
      <c r="W579" s="81"/>
      <c r="X579" s="91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</row>
    <row r="580" ht="12.0" hidden="1" customHeight="1">
      <c r="A580" s="12" t="s">
        <v>3148</v>
      </c>
      <c r="B580" s="12">
        <v>47.0</v>
      </c>
      <c r="C580" s="42" t="s">
        <v>3149</v>
      </c>
      <c r="D580" s="78" t="s">
        <v>2051</v>
      </c>
      <c r="E580" s="78" t="s">
        <v>2001</v>
      </c>
      <c r="F580" s="12" t="s">
        <v>1133</v>
      </c>
      <c r="G580" s="26"/>
      <c r="H580" s="5"/>
      <c r="I580" s="5"/>
      <c r="J580" s="5"/>
      <c r="K580" s="79"/>
      <c r="L580" s="12" t="s">
        <v>2550</v>
      </c>
      <c r="M580" s="12" t="s">
        <v>3153</v>
      </c>
      <c r="N580" s="83" t="s">
        <v>3151</v>
      </c>
      <c r="O580" s="5"/>
      <c r="P580" s="5"/>
      <c r="Q580" s="5"/>
      <c r="R580" s="5"/>
      <c r="S580" s="80"/>
      <c r="T580" s="42" t="s">
        <v>2003</v>
      </c>
      <c r="U580" s="34" t="s">
        <v>22</v>
      </c>
      <c r="V580" s="81"/>
      <c r="W580" s="81"/>
      <c r="X580" s="91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</row>
    <row r="581" ht="12.0" hidden="1" customHeight="1">
      <c r="A581" s="12" t="s">
        <v>3148</v>
      </c>
      <c r="B581" s="12">
        <v>48.0</v>
      </c>
      <c r="C581" s="42" t="s">
        <v>3149</v>
      </c>
      <c r="D581" s="78" t="s">
        <v>2051</v>
      </c>
      <c r="E581" s="78" t="s">
        <v>2001</v>
      </c>
      <c r="F581" s="12" t="s">
        <v>1133</v>
      </c>
      <c r="G581" s="26"/>
      <c r="H581" s="5"/>
      <c r="I581" s="5"/>
      <c r="J581" s="5"/>
      <c r="K581" s="79"/>
      <c r="L581" s="12" t="s">
        <v>2550</v>
      </c>
      <c r="M581" s="12" t="s">
        <v>3153</v>
      </c>
      <c r="N581" s="93" t="s">
        <v>3151</v>
      </c>
      <c r="O581" s="5"/>
      <c r="P581" s="5"/>
      <c r="Q581" s="5"/>
      <c r="R581" s="5"/>
      <c r="S581" s="80"/>
      <c r="T581" s="42" t="s">
        <v>2003</v>
      </c>
      <c r="U581" s="34" t="s">
        <v>22</v>
      </c>
      <c r="V581" s="81"/>
      <c r="W581" s="81"/>
      <c r="X581" s="91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</row>
    <row r="582" ht="12.0" hidden="1" customHeight="1">
      <c r="A582" s="12" t="s">
        <v>3148</v>
      </c>
      <c r="B582" s="12">
        <v>63.0</v>
      </c>
      <c r="C582" s="42" t="s">
        <v>3149</v>
      </c>
      <c r="D582" s="78" t="s">
        <v>2051</v>
      </c>
      <c r="E582" s="78" t="s">
        <v>2001</v>
      </c>
      <c r="F582" s="12" t="s">
        <v>1133</v>
      </c>
      <c r="G582" s="26"/>
      <c r="H582" s="5"/>
      <c r="I582" s="5"/>
      <c r="J582" s="5"/>
      <c r="K582" s="79"/>
      <c r="L582" s="12" t="s">
        <v>2550</v>
      </c>
      <c r="M582" s="12" t="s">
        <v>3153</v>
      </c>
      <c r="N582" s="83" t="s">
        <v>3151</v>
      </c>
      <c r="O582" s="5"/>
      <c r="P582" s="5"/>
      <c r="Q582" s="5"/>
      <c r="R582" s="5"/>
      <c r="S582" s="80"/>
      <c r="T582" s="42" t="s">
        <v>2003</v>
      </c>
      <c r="U582" s="34" t="s">
        <v>22</v>
      </c>
      <c r="V582" s="81"/>
      <c r="W582" s="81"/>
      <c r="X582" s="91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</row>
    <row r="583" ht="12.0" hidden="1" customHeight="1">
      <c r="A583" s="12" t="s">
        <v>3148</v>
      </c>
      <c r="B583" s="12">
        <v>67.0</v>
      </c>
      <c r="C583" s="42" t="s">
        <v>3149</v>
      </c>
      <c r="D583" s="78" t="s">
        <v>2051</v>
      </c>
      <c r="E583" s="78" t="s">
        <v>2001</v>
      </c>
      <c r="F583" s="12" t="s">
        <v>1133</v>
      </c>
      <c r="G583" s="26"/>
      <c r="H583" s="5"/>
      <c r="I583" s="5"/>
      <c r="J583" s="5"/>
      <c r="K583" s="79"/>
      <c r="L583" s="12" t="s">
        <v>3157</v>
      </c>
      <c r="M583" s="12" t="s">
        <v>3158</v>
      </c>
      <c r="N583" s="93" t="s">
        <v>3151</v>
      </c>
      <c r="O583" s="5"/>
      <c r="P583" s="5"/>
      <c r="Q583" s="5"/>
      <c r="R583" s="5"/>
      <c r="S583" s="80"/>
      <c r="T583" s="42" t="s">
        <v>2003</v>
      </c>
      <c r="U583" s="34" t="s">
        <v>22</v>
      </c>
      <c r="V583" s="81"/>
      <c r="W583" s="81"/>
      <c r="X583" s="91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</row>
    <row r="584" ht="12.0" hidden="1" customHeight="1">
      <c r="A584" s="12" t="s">
        <v>3148</v>
      </c>
      <c r="B584" s="12">
        <v>69.0</v>
      </c>
      <c r="C584" s="42" t="s">
        <v>3149</v>
      </c>
      <c r="D584" s="78" t="s">
        <v>2051</v>
      </c>
      <c r="E584" s="78" t="s">
        <v>2001</v>
      </c>
      <c r="F584" s="12" t="s">
        <v>1133</v>
      </c>
      <c r="G584" s="26"/>
      <c r="H584" s="5"/>
      <c r="I584" s="5"/>
      <c r="J584" s="5"/>
      <c r="K584" s="79"/>
      <c r="L584" s="12" t="s">
        <v>3157</v>
      </c>
      <c r="M584" s="12" t="s">
        <v>3158</v>
      </c>
      <c r="N584" s="83" t="s">
        <v>3151</v>
      </c>
      <c r="O584" s="5"/>
      <c r="P584" s="5"/>
      <c r="Q584" s="5"/>
      <c r="R584" s="5"/>
      <c r="S584" s="80"/>
      <c r="T584" s="42" t="s">
        <v>2003</v>
      </c>
      <c r="U584" s="34" t="s">
        <v>22</v>
      </c>
      <c r="V584" s="81"/>
      <c r="W584" s="81"/>
      <c r="X584" s="91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</row>
    <row r="585" ht="12.0" hidden="1" customHeight="1">
      <c r="A585" s="12" t="s">
        <v>3148</v>
      </c>
      <c r="B585" s="12">
        <v>71.0</v>
      </c>
      <c r="C585" s="42" t="s">
        <v>3149</v>
      </c>
      <c r="D585" s="78" t="s">
        <v>2051</v>
      </c>
      <c r="E585" s="78" t="s">
        <v>2001</v>
      </c>
      <c r="F585" s="12" t="s">
        <v>1133</v>
      </c>
      <c r="G585" s="26"/>
      <c r="H585" s="5"/>
      <c r="I585" s="5"/>
      <c r="J585" s="5"/>
      <c r="K585" s="79"/>
      <c r="L585" s="12" t="s">
        <v>3157</v>
      </c>
      <c r="M585" s="12" t="s">
        <v>3158</v>
      </c>
      <c r="N585" s="93" t="s">
        <v>3151</v>
      </c>
      <c r="O585" s="5"/>
      <c r="P585" s="5"/>
      <c r="Q585" s="5"/>
      <c r="R585" s="5"/>
      <c r="S585" s="80"/>
      <c r="T585" s="42" t="s">
        <v>2003</v>
      </c>
      <c r="U585" s="34" t="s">
        <v>22</v>
      </c>
      <c r="V585" s="81"/>
      <c r="W585" s="81"/>
      <c r="X585" s="91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</row>
    <row r="586" ht="12.0" hidden="1" customHeight="1">
      <c r="A586" s="12" t="s">
        <v>3148</v>
      </c>
      <c r="B586" s="12">
        <v>73.0</v>
      </c>
      <c r="C586" s="42" t="s">
        <v>3149</v>
      </c>
      <c r="D586" s="78" t="s">
        <v>2051</v>
      </c>
      <c r="E586" s="78" t="s">
        <v>2001</v>
      </c>
      <c r="F586" s="12" t="s">
        <v>1133</v>
      </c>
      <c r="G586" s="26"/>
      <c r="H586" s="5"/>
      <c r="I586" s="5"/>
      <c r="J586" s="5"/>
      <c r="K586" s="79"/>
      <c r="L586" s="12" t="s">
        <v>3157</v>
      </c>
      <c r="M586" s="12" t="s">
        <v>3158</v>
      </c>
      <c r="N586" s="83" t="s">
        <v>3151</v>
      </c>
      <c r="O586" s="5"/>
      <c r="P586" s="5"/>
      <c r="Q586" s="5"/>
      <c r="R586" s="5"/>
      <c r="S586" s="80"/>
      <c r="T586" s="42" t="s">
        <v>2003</v>
      </c>
      <c r="U586" s="34" t="s">
        <v>22</v>
      </c>
      <c r="V586" s="81"/>
      <c r="W586" s="81"/>
      <c r="X586" s="91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</row>
    <row r="587" ht="12.0" hidden="1" customHeight="1">
      <c r="A587" s="12" t="s">
        <v>3148</v>
      </c>
      <c r="B587" s="12">
        <v>74.0</v>
      </c>
      <c r="C587" s="42" t="s">
        <v>3149</v>
      </c>
      <c r="D587" s="78" t="s">
        <v>2051</v>
      </c>
      <c r="E587" s="78" t="s">
        <v>2001</v>
      </c>
      <c r="F587" s="12" t="s">
        <v>1133</v>
      </c>
      <c r="G587" s="26"/>
      <c r="H587" s="5"/>
      <c r="I587" s="5"/>
      <c r="J587" s="5"/>
      <c r="K587" s="79"/>
      <c r="L587" s="12" t="s">
        <v>3157</v>
      </c>
      <c r="M587" s="12" t="s">
        <v>3158</v>
      </c>
      <c r="N587" s="93" t="s">
        <v>3151</v>
      </c>
      <c r="O587" s="5"/>
      <c r="P587" s="5"/>
      <c r="Q587" s="5"/>
      <c r="R587" s="5"/>
      <c r="S587" s="80"/>
      <c r="T587" s="42" t="s">
        <v>2003</v>
      </c>
      <c r="U587" s="34" t="s">
        <v>22</v>
      </c>
      <c r="V587" s="81"/>
      <c r="W587" s="81"/>
      <c r="X587" s="91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</row>
    <row r="588" ht="12.0" hidden="1" customHeight="1">
      <c r="A588" s="12" t="s">
        <v>3148</v>
      </c>
      <c r="B588" s="12">
        <v>76.0</v>
      </c>
      <c r="C588" s="42" t="s">
        <v>3149</v>
      </c>
      <c r="D588" s="78" t="s">
        <v>2051</v>
      </c>
      <c r="E588" s="78" t="s">
        <v>2001</v>
      </c>
      <c r="F588" s="12" t="s">
        <v>1133</v>
      </c>
      <c r="G588" s="26"/>
      <c r="H588" s="5"/>
      <c r="I588" s="5"/>
      <c r="J588" s="5"/>
      <c r="K588" s="79"/>
      <c r="L588" s="12" t="s">
        <v>3157</v>
      </c>
      <c r="M588" s="12" t="s">
        <v>3159</v>
      </c>
      <c r="N588" s="83" t="s">
        <v>3151</v>
      </c>
      <c r="O588" s="5"/>
      <c r="P588" s="5"/>
      <c r="Q588" s="5"/>
      <c r="R588" s="5"/>
      <c r="S588" s="80"/>
      <c r="T588" s="42" t="s">
        <v>2003</v>
      </c>
      <c r="U588" s="34" t="s">
        <v>22</v>
      </c>
      <c r="V588" s="81"/>
      <c r="W588" s="81"/>
      <c r="X588" s="91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</row>
    <row r="589" ht="12.0" hidden="1" customHeight="1">
      <c r="A589" s="12" t="s">
        <v>3148</v>
      </c>
      <c r="B589" s="12">
        <v>79.0</v>
      </c>
      <c r="C589" s="42" t="s">
        <v>3149</v>
      </c>
      <c r="D589" s="78" t="s">
        <v>2051</v>
      </c>
      <c r="E589" s="78" t="s">
        <v>2001</v>
      </c>
      <c r="F589" s="12" t="s">
        <v>1133</v>
      </c>
      <c r="G589" s="26"/>
      <c r="H589" s="5"/>
      <c r="I589" s="5"/>
      <c r="J589" s="5"/>
      <c r="K589" s="79"/>
      <c r="L589" s="12" t="s">
        <v>3157</v>
      </c>
      <c r="M589" s="12" t="s">
        <v>3159</v>
      </c>
      <c r="N589" s="93" t="s">
        <v>3151</v>
      </c>
      <c r="O589" s="5"/>
      <c r="P589" s="5"/>
      <c r="Q589" s="5"/>
      <c r="R589" s="5"/>
      <c r="S589" s="80"/>
      <c r="T589" s="42" t="s">
        <v>2003</v>
      </c>
      <c r="U589" s="34" t="s">
        <v>22</v>
      </c>
      <c r="V589" s="81"/>
      <c r="W589" s="81"/>
      <c r="X589" s="91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</row>
    <row r="590" ht="12.0" hidden="1" customHeight="1">
      <c r="A590" s="12" t="s">
        <v>3160</v>
      </c>
      <c r="B590" s="12">
        <v>1.0</v>
      </c>
      <c r="C590" s="42" t="s">
        <v>3149</v>
      </c>
      <c r="D590" s="78" t="s">
        <v>2051</v>
      </c>
      <c r="E590" s="78" t="s">
        <v>2001</v>
      </c>
      <c r="F590" s="12" t="s">
        <v>1133</v>
      </c>
      <c r="G590" s="26"/>
      <c r="H590" s="5"/>
      <c r="I590" s="5"/>
      <c r="J590" s="12"/>
      <c r="K590" s="82"/>
      <c r="L590" s="12" t="s">
        <v>3150</v>
      </c>
      <c r="M590" s="12" t="s">
        <v>3161</v>
      </c>
      <c r="N590" s="83" t="s">
        <v>3162</v>
      </c>
      <c r="O590" s="5"/>
      <c r="P590" s="5"/>
      <c r="Q590" s="5"/>
      <c r="R590" s="5"/>
      <c r="S590" s="80"/>
      <c r="T590" s="42" t="s">
        <v>2003</v>
      </c>
      <c r="U590" s="34" t="s">
        <v>22</v>
      </c>
      <c r="V590" s="81"/>
      <c r="W590" s="81"/>
      <c r="X590" s="91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</row>
    <row r="591" ht="12.0" customHeight="1">
      <c r="A591" s="12" t="s">
        <v>3160</v>
      </c>
      <c r="B591" s="12">
        <v>2.0</v>
      </c>
      <c r="C591" s="42" t="s">
        <v>3149</v>
      </c>
      <c r="D591" s="78" t="s">
        <v>2051</v>
      </c>
      <c r="E591" s="78" t="s">
        <v>2059</v>
      </c>
      <c r="F591" s="12" t="s">
        <v>1133</v>
      </c>
      <c r="G591" s="26"/>
      <c r="H591" s="5"/>
      <c r="I591" s="5"/>
      <c r="J591" s="12" t="s">
        <v>3163</v>
      </c>
      <c r="K591" s="82">
        <v>5.0</v>
      </c>
      <c r="L591" s="12" t="s">
        <v>3157</v>
      </c>
      <c r="M591" s="12" t="s">
        <v>3164</v>
      </c>
      <c r="N591" s="83" t="s">
        <v>3165</v>
      </c>
      <c r="O591" s="10"/>
      <c r="P591" s="10"/>
      <c r="Q591" s="10"/>
      <c r="R591" s="10"/>
      <c r="S591" s="136"/>
      <c r="T591" s="137" t="s">
        <v>2003</v>
      </c>
      <c r="U591" s="10" t="s">
        <v>22</v>
      </c>
      <c r="V591" s="10"/>
      <c r="W591" s="10"/>
      <c r="X591" s="138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</row>
    <row r="592" ht="12.0" hidden="1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139"/>
      <c r="L592" s="67"/>
      <c r="M592" s="67"/>
      <c r="N592" s="140"/>
      <c r="O592" s="67"/>
      <c r="P592" s="67"/>
      <c r="Q592" s="67"/>
      <c r="R592" s="67"/>
      <c r="S592" s="140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</row>
    <row r="593" ht="12.0" hidden="1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139"/>
      <c r="L593" s="67"/>
      <c r="M593" s="67"/>
      <c r="N593" s="140"/>
      <c r="O593" s="67"/>
      <c r="P593" s="67"/>
      <c r="Q593" s="67"/>
      <c r="R593" s="67"/>
      <c r="S593" s="140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</row>
    <row r="594" ht="12.0" hidden="1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139"/>
      <c r="L594" s="67"/>
      <c r="M594" s="67"/>
      <c r="N594" s="140"/>
      <c r="O594" s="67"/>
      <c r="P594" s="67"/>
      <c r="Q594" s="67"/>
      <c r="R594" s="67"/>
      <c r="S594" s="140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</row>
    <row r="595" ht="12.0" hidden="1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139"/>
      <c r="L595" s="67"/>
      <c r="M595" s="67"/>
      <c r="N595" s="140"/>
      <c r="O595" s="67"/>
      <c r="P595" s="67"/>
      <c r="Q595" s="67"/>
      <c r="R595" s="67"/>
      <c r="S595" s="140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</row>
    <row r="596" ht="12.0" hidden="1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139"/>
      <c r="L596" s="67"/>
      <c r="M596" s="67"/>
      <c r="N596" s="140"/>
      <c r="O596" s="67"/>
      <c r="P596" s="67"/>
      <c r="Q596" s="67"/>
      <c r="R596" s="67"/>
      <c r="S596" s="140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</row>
    <row r="597" ht="12.0" hidden="1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139"/>
      <c r="L597" s="67"/>
      <c r="M597" s="67"/>
      <c r="N597" s="140"/>
      <c r="O597" s="67"/>
      <c r="P597" s="67"/>
      <c r="Q597" s="67"/>
      <c r="R597" s="67"/>
      <c r="S597" s="140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</row>
    <row r="598" ht="12.0" hidden="1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139"/>
      <c r="L598" s="67"/>
      <c r="M598" s="67"/>
      <c r="N598" s="140"/>
      <c r="O598" s="67"/>
      <c r="P598" s="67"/>
      <c r="Q598" s="67"/>
      <c r="R598" s="67"/>
      <c r="S598" s="140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</row>
    <row r="599" ht="12.0" hidden="1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139"/>
      <c r="L599" s="67"/>
      <c r="M599" s="67"/>
      <c r="N599" s="140"/>
      <c r="O599" s="67"/>
      <c r="P599" s="67"/>
      <c r="Q599" s="67"/>
      <c r="R599" s="67"/>
      <c r="S599" s="140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</row>
    <row r="600" ht="12.0" hidden="1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139"/>
      <c r="L600" s="67"/>
      <c r="M600" s="67"/>
      <c r="N600" s="140"/>
      <c r="O600" s="67"/>
      <c r="P600" s="67"/>
      <c r="Q600" s="67"/>
      <c r="R600" s="67"/>
      <c r="S600" s="140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</row>
    <row r="601" ht="12.0" hidden="1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139"/>
      <c r="L601" s="67"/>
      <c r="M601" s="67"/>
      <c r="N601" s="140"/>
      <c r="O601" s="67"/>
      <c r="P601" s="67"/>
      <c r="Q601" s="67"/>
      <c r="R601" s="67"/>
      <c r="S601" s="140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</row>
    <row r="602" ht="12.0" hidden="1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139"/>
      <c r="L602" s="67"/>
      <c r="M602" s="67"/>
      <c r="N602" s="140"/>
      <c r="O602" s="67"/>
      <c r="P602" s="67"/>
      <c r="Q602" s="67"/>
      <c r="R602" s="67"/>
      <c r="S602" s="140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</row>
    <row r="603" ht="12.0" hidden="1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139"/>
      <c r="L603" s="67"/>
      <c r="M603" s="67"/>
      <c r="N603" s="140"/>
      <c r="O603" s="67"/>
      <c r="P603" s="67"/>
      <c r="Q603" s="67"/>
      <c r="R603" s="67"/>
      <c r="S603" s="140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</row>
    <row r="604" ht="12.0" hidden="1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139"/>
      <c r="L604" s="67"/>
      <c r="M604" s="67"/>
      <c r="N604" s="140"/>
      <c r="O604" s="67"/>
      <c r="P604" s="67"/>
      <c r="Q604" s="67"/>
      <c r="R604" s="67"/>
      <c r="S604" s="140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</row>
    <row r="605" ht="12.0" hidden="1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139"/>
      <c r="L605" s="67"/>
      <c r="M605" s="67"/>
      <c r="N605" s="140"/>
      <c r="O605" s="67"/>
      <c r="P605" s="67"/>
      <c r="Q605" s="67"/>
      <c r="R605" s="67"/>
      <c r="S605" s="140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</row>
    <row r="606" ht="12.0" hidden="1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139"/>
      <c r="L606" s="67"/>
      <c r="M606" s="67"/>
      <c r="N606" s="140"/>
      <c r="O606" s="67"/>
      <c r="P606" s="67"/>
      <c r="Q606" s="67"/>
      <c r="R606" s="67"/>
      <c r="S606" s="140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</row>
    <row r="607" ht="12.0" hidden="1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139"/>
      <c r="L607" s="67"/>
      <c r="M607" s="67"/>
      <c r="N607" s="140"/>
      <c r="O607" s="67"/>
      <c r="P607" s="67"/>
      <c r="Q607" s="67"/>
      <c r="R607" s="67"/>
      <c r="S607" s="140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</row>
    <row r="608" ht="12.0" hidden="1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139"/>
      <c r="L608" s="67"/>
      <c r="M608" s="67"/>
      <c r="N608" s="140"/>
      <c r="O608" s="67"/>
      <c r="P608" s="67"/>
      <c r="Q608" s="67"/>
      <c r="R608" s="67"/>
      <c r="S608" s="140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</row>
    <row r="609" ht="12.0" hidden="1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139"/>
      <c r="L609" s="67"/>
      <c r="M609" s="67"/>
      <c r="N609" s="140"/>
      <c r="O609" s="67"/>
      <c r="P609" s="67"/>
      <c r="Q609" s="67"/>
      <c r="R609" s="67"/>
      <c r="S609" s="140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</row>
    <row r="610" ht="12.0" hidden="1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139"/>
      <c r="L610" s="67"/>
      <c r="M610" s="67"/>
      <c r="N610" s="140"/>
      <c r="O610" s="67"/>
      <c r="P610" s="67"/>
      <c r="Q610" s="67"/>
      <c r="R610" s="67"/>
      <c r="S610" s="140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</row>
    <row r="611" ht="12.0" hidden="1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139"/>
      <c r="L611" s="67"/>
      <c r="M611" s="67"/>
      <c r="N611" s="140"/>
      <c r="O611" s="67"/>
      <c r="P611" s="67"/>
      <c r="Q611" s="67"/>
      <c r="R611" s="67"/>
      <c r="S611" s="140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</row>
    <row r="612" ht="12.0" hidden="1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139"/>
      <c r="L612" s="67"/>
      <c r="M612" s="67"/>
      <c r="N612" s="140"/>
      <c r="O612" s="67"/>
      <c r="P612" s="67"/>
      <c r="Q612" s="67"/>
      <c r="R612" s="67"/>
      <c r="S612" s="140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</row>
    <row r="613" ht="12.0" hidden="1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139"/>
      <c r="L613" s="67"/>
      <c r="M613" s="67"/>
      <c r="N613" s="140"/>
      <c r="O613" s="67"/>
      <c r="P613" s="67"/>
      <c r="Q613" s="67"/>
      <c r="R613" s="67"/>
      <c r="S613" s="140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</row>
    <row r="614" ht="12.0" hidden="1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139"/>
      <c r="L614" s="67"/>
      <c r="M614" s="67"/>
      <c r="N614" s="140"/>
      <c r="O614" s="67"/>
      <c r="P614" s="67"/>
      <c r="Q614" s="67"/>
      <c r="R614" s="67"/>
      <c r="S614" s="140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</row>
    <row r="615" ht="12.0" hidden="1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139"/>
      <c r="L615" s="67"/>
      <c r="M615" s="67"/>
      <c r="N615" s="140"/>
      <c r="O615" s="67"/>
      <c r="P615" s="67"/>
      <c r="Q615" s="67"/>
      <c r="R615" s="67"/>
      <c r="S615" s="140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</row>
    <row r="616" ht="12.0" hidden="1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139"/>
      <c r="L616" s="67"/>
      <c r="M616" s="67"/>
      <c r="N616" s="140"/>
      <c r="O616" s="67"/>
      <c r="P616" s="67"/>
      <c r="Q616" s="67"/>
      <c r="R616" s="67"/>
      <c r="S616" s="140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</row>
    <row r="617" ht="12.0" hidden="1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139"/>
      <c r="L617" s="67"/>
      <c r="M617" s="67"/>
      <c r="N617" s="140"/>
      <c r="O617" s="67"/>
      <c r="P617" s="67"/>
      <c r="Q617" s="67"/>
      <c r="R617" s="67"/>
      <c r="S617" s="140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</row>
    <row r="618" ht="12.0" hidden="1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139"/>
      <c r="L618" s="67"/>
      <c r="M618" s="67"/>
      <c r="N618" s="140"/>
      <c r="O618" s="67"/>
      <c r="P618" s="67"/>
      <c r="Q618" s="67"/>
      <c r="R618" s="67"/>
      <c r="S618" s="140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ht="12.0" hidden="1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139"/>
      <c r="L619" s="67"/>
      <c r="M619" s="67"/>
      <c r="N619" s="140"/>
      <c r="O619" s="67"/>
      <c r="P619" s="67"/>
      <c r="Q619" s="67"/>
      <c r="R619" s="67"/>
      <c r="S619" s="140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</row>
    <row r="620" ht="12.0" hidden="1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139"/>
      <c r="L620" s="67"/>
      <c r="M620" s="67"/>
      <c r="N620" s="140"/>
      <c r="O620" s="67"/>
      <c r="P620" s="67"/>
      <c r="Q620" s="67"/>
      <c r="R620" s="67"/>
      <c r="S620" s="140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</row>
    <row r="621" ht="12.0" hidden="1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139"/>
      <c r="L621" s="67"/>
      <c r="M621" s="67"/>
      <c r="N621" s="140"/>
      <c r="O621" s="67"/>
      <c r="P621" s="67"/>
      <c r="Q621" s="67"/>
      <c r="R621" s="67"/>
      <c r="S621" s="140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</row>
    <row r="622" ht="12.0" hidden="1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139"/>
      <c r="L622" s="67"/>
      <c r="M622" s="67"/>
      <c r="N622" s="140"/>
      <c r="O622" s="67"/>
      <c r="P622" s="67"/>
      <c r="Q622" s="67"/>
      <c r="R622" s="67"/>
      <c r="S622" s="140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</row>
    <row r="623" ht="12.0" hidden="1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139"/>
      <c r="L623" s="67"/>
      <c r="M623" s="67"/>
      <c r="N623" s="140"/>
      <c r="O623" s="67"/>
      <c r="P623" s="67"/>
      <c r="Q623" s="67"/>
      <c r="R623" s="67"/>
      <c r="S623" s="140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</row>
    <row r="624" ht="12.0" hidden="1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139"/>
      <c r="L624" s="67"/>
      <c r="M624" s="67"/>
      <c r="N624" s="140"/>
      <c r="O624" s="67"/>
      <c r="P624" s="67"/>
      <c r="Q624" s="67"/>
      <c r="R624" s="67"/>
      <c r="S624" s="140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</row>
    <row r="625" ht="12.0" hidden="1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139"/>
      <c r="L625" s="67"/>
      <c r="M625" s="67"/>
      <c r="N625" s="140"/>
      <c r="O625" s="67"/>
      <c r="P625" s="67"/>
      <c r="Q625" s="67"/>
      <c r="R625" s="67"/>
      <c r="S625" s="140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</row>
    <row r="626" ht="12.0" hidden="1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139"/>
      <c r="L626" s="67"/>
      <c r="M626" s="67"/>
      <c r="N626" s="140"/>
      <c r="O626" s="67"/>
      <c r="P626" s="67"/>
      <c r="Q626" s="67"/>
      <c r="R626" s="67"/>
      <c r="S626" s="140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</row>
    <row r="627" ht="12.0" hidden="1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139"/>
      <c r="L627" s="67"/>
      <c r="M627" s="67"/>
      <c r="N627" s="140"/>
      <c r="O627" s="67"/>
      <c r="P627" s="67"/>
      <c r="Q627" s="67"/>
      <c r="R627" s="67"/>
      <c r="S627" s="140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</row>
    <row r="628" ht="12.0" hidden="1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139"/>
      <c r="L628" s="67"/>
      <c r="M628" s="67"/>
      <c r="N628" s="140"/>
      <c r="O628" s="67"/>
      <c r="P628" s="67"/>
      <c r="Q628" s="67"/>
      <c r="R628" s="67"/>
      <c r="S628" s="140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</row>
    <row r="629" ht="12.0" hidden="1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139"/>
      <c r="L629" s="67"/>
      <c r="M629" s="67"/>
      <c r="N629" s="140"/>
      <c r="O629" s="67"/>
      <c r="P629" s="67"/>
      <c r="Q629" s="67"/>
      <c r="R629" s="67"/>
      <c r="S629" s="140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</row>
    <row r="630" ht="12.0" hidden="1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139"/>
      <c r="L630" s="67"/>
      <c r="M630" s="67"/>
      <c r="N630" s="140"/>
      <c r="O630" s="67"/>
      <c r="P630" s="67"/>
      <c r="Q630" s="67"/>
      <c r="R630" s="67"/>
      <c r="S630" s="140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</row>
    <row r="631" ht="12.0" hidden="1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139"/>
      <c r="L631" s="67"/>
      <c r="M631" s="67"/>
      <c r="N631" s="140"/>
      <c r="O631" s="67"/>
      <c r="P631" s="67"/>
      <c r="Q631" s="67"/>
      <c r="R631" s="67"/>
      <c r="S631" s="140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</row>
    <row r="632" ht="12.0" hidden="1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139"/>
      <c r="L632" s="67"/>
      <c r="M632" s="67"/>
      <c r="N632" s="140"/>
      <c r="O632" s="67"/>
      <c r="P632" s="67"/>
      <c r="Q632" s="67"/>
      <c r="R632" s="67"/>
      <c r="S632" s="140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</row>
    <row r="633" ht="12.0" hidden="1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139"/>
      <c r="L633" s="67"/>
      <c r="M633" s="67"/>
      <c r="N633" s="140"/>
      <c r="O633" s="67"/>
      <c r="P633" s="67"/>
      <c r="Q633" s="67"/>
      <c r="R633" s="67"/>
      <c r="S633" s="140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</row>
    <row r="634" ht="12.0" hidden="1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139"/>
      <c r="L634" s="67"/>
      <c r="M634" s="67"/>
      <c r="N634" s="140"/>
      <c r="O634" s="67"/>
      <c r="P634" s="67"/>
      <c r="Q634" s="67"/>
      <c r="R634" s="67"/>
      <c r="S634" s="140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</row>
    <row r="635" ht="12.0" hidden="1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139"/>
      <c r="L635" s="67"/>
      <c r="M635" s="67"/>
      <c r="N635" s="140"/>
      <c r="O635" s="67"/>
      <c r="P635" s="67"/>
      <c r="Q635" s="67"/>
      <c r="R635" s="67"/>
      <c r="S635" s="140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</row>
    <row r="636" ht="12.0" hidden="1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139"/>
      <c r="L636" s="67"/>
      <c r="M636" s="67"/>
      <c r="N636" s="140"/>
      <c r="O636" s="67"/>
      <c r="P636" s="67"/>
      <c r="Q636" s="67"/>
      <c r="R636" s="67"/>
      <c r="S636" s="140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</row>
    <row r="637" ht="12.0" hidden="1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139"/>
      <c r="L637" s="67"/>
      <c r="M637" s="67"/>
      <c r="N637" s="140"/>
      <c r="O637" s="67"/>
      <c r="P637" s="67"/>
      <c r="Q637" s="67"/>
      <c r="R637" s="67"/>
      <c r="S637" s="140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</row>
    <row r="638" ht="12.0" hidden="1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139"/>
      <c r="L638" s="67"/>
      <c r="M638" s="67"/>
      <c r="N638" s="140"/>
      <c r="O638" s="67"/>
      <c r="P638" s="67"/>
      <c r="Q638" s="67"/>
      <c r="R638" s="67"/>
      <c r="S638" s="140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</row>
    <row r="639" ht="12.0" hidden="1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139"/>
      <c r="L639" s="67"/>
      <c r="M639" s="67"/>
      <c r="N639" s="140"/>
      <c r="O639" s="67"/>
      <c r="P639" s="67"/>
      <c r="Q639" s="67"/>
      <c r="R639" s="67"/>
      <c r="S639" s="140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</row>
    <row r="640" ht="12.0" hidden="1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139"/>
      <c r="L640" s="67"/>
      <c r="M640" s="67"/>
      <c r="N640" s="140"/>
      <c r="O640" s="67"/>
      <c r="P640" s="67"/>
      <c r="Q640" s="67"/>
      <c r="R640" s="67"/>
      <c r="S640" s="140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</row>
    <row r="641" ht="12.0" hidden="1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139"/>
      <c r="L641" s="67"/>
      <c r="M641" s="67"/>
      <c r="N641" s="140"/>
      <c r="O641" s="67"/>
      <c r="P641" s="67"/>
      <c r="Q641" s="67"/>
      <c r="R641" s="67"/>
      <c r="S641" s="140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</row>
    <row r="642" ht="12.0" hidden="1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139"/>
      <c r="L642" s="67"/>
      <c r="M642" s="67"/>
      <c r="N642" s="140"/>
      <c r="O642" s="67"/>
      <c r="P642" s="67"/>
      <c r="Q642" s="67"/>
      <c r="R642" s="67"/>
      <c r="S642" s="140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</row>
    <row r="643" ht="12.0" hidden="1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139"/>
      <c r="L643" s="67"/>
      <c r="M643" s="67"/>
      <c r="N643" s="140"/>
      <c r="O643" s="67"/>
      <c r="P643" s="67"/>
      <c r="Q643" s="67"/>
      <c r="R643" s="67"/>
      <c r="S643" s="140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</row>
    <row r="644" ht="12.0" hidden="1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139"/>
      <c r="L644" s="67"/>
      <c r="M644" s="67"/>
      <c r="N644" s="140"/>
      <c r="O644" s="67"/>
      <c r="P644" s="67"/>
      <c r="Q644" s="67"/>
      <c r="R644" s="67"/>
      <c r="S644" s="140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</row>
    <row r="645" ht="12.0" hidden="1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139"/>
      <c r="L645" s="67"/>
      <c r="M645" s="67"/>
      <c r="N645" s="140"/>
      <c r="O645" s="67"/>
      <c r="P645" s="67"/>
      <c r="Q645" s="67"/>
      <c r="R645" s="67"/>
      <c r="S645" s="140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</row>
    <row r="646" ht="12.0" hidden="1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139"/>
      <c r="L646" s="67"/>
      <c r="M646" s="67"/>
      <c r="N646" s="140"/>
      <c r="O646" s="67"/>
      <c r="P646" s="67"/>
      <c r="Q646" s="67"/>
      <c r="R646" s="67"/>
      <c r="S646" s="140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</row>
    <row r="647" ht="12.0" hidden="1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139"/>
      <c r="L647" s="67"/>
      <c r="M647" s="67"/>
      <c r="N647" s="140"/>
      <c r="O647" s="67"/>
      <c r="P647" s="67"/>
      <c r="Q647" s="67"/>
      <c r="R647" s="67"/>
      <c r="S647" s="140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</row>
    <row r="648" ht="12.0" hidden="1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139"/>
      <c r="L648" s="67"/>
      <c r="M648" s="67"/>
      <c r="N648" s="140"/>
      <c r="O648" s="67"/>
      <c r="P648" s="67"/>
      <c r="Q648" s="67"/>
      <c r="R648" s="67"/>
      <c r="S648" s="140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</row>
    <row r="649" ht="12.0" hidden="1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139"/>
      <c r="L649" s="67"/>
      <c r="M649" s="67"/>
      <c r="N649" s="140"/>
      <c r="O649" s="67"/>
      <c r="P649" s="67"/>
      <c r="Q649" s="67"/>
      <c r="R649" s="67"/>
      <c r="S649" s="140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</row>
    <row r="650" ht="12.0" hidden="1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139"/>
      <c r="L650" s="67"/>
      <c r="M650" s="67"/>
      <c r="N650" s="140"/>
      <c r="O650" s="67"/>
      <c r="P650" s="67"/>
      <c r="Q650" s="67"/>
      <c r="R650" s="67"/>
      <c r="S650" s="140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</row>
    <row r="651" ht="12.0" hidden="1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139"/>
      <c r="L651" s="67"/>
      <c r="M651" s="67"/>
      <c r="N651" s="140"/>
      <c r="O651" s="67"/>
      <c r="P651" s="67"/>
      <c r="Q651" s="67"/>
      <c r="R651" s="67"/>
      <c r="S651" s="140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</row>
    <row r="652" ht="12.0" hidden="1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139"/>
      <c r="L652" s="67"/>
      <c r="M652" s="67"/>
      <c r="N652" s="140"/>
      <c r="O652" s="67"/>
      <c r="P652" s="67"/>
      <c r="Q652" s="67"/>
      <c r="R652" s="67"/>
      <c r="S652" s="140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</row>
    <row r="653" ht="12.0" hidden="1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139"/>
      <c r="L653" s="67"/>
      <c r="M653" s="67"/>
      <c r="N653" s="140"/>
      <c r="O653" s="67"/>
      <c r="P653" s="67"/>
      <c r="Q653" s="67"/>
      <c r="R653" s="67"/>
      <c r="S653" s="140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</row>
    <row r="654" ht="12.0" hidden="1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139"/>
      <c r="L654" s="67"/>
      <c r="M654" s="67"/>
      <c r="N654" s="140"/>
      <c r="O654" s="67"/>
      <c r="P654" s="67"/>
      <c r="Q654" s="67"/>
      <c r="R654" s="67"/>
      <c r="S654" s="140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</row>
    <row r="655" ht="12.0" hidden="1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139"/>
      <c r="L655" s="67"/>
      <c r="M655" s="67"/>
      <c r="N655" s="140"/>
      <c r="O655" s="67"/>
      <c r="P655" s="67"/>
      <c r="Q655" s="67"/>
      <c r="R655" s="67"/>
      <c r="S655" s="140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</row>
    <row r="656" ht="12.0" hidden="1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139"/>
      <c r="L656" s="67"/>
      <c r="M656" s="67"/>
      <c r="N656" s="140"/>
      <c r="O656" s="67"/>
      <c r="P656" s="67"/>
      <c r="Q656" s="67"/>
      <c r="R656" s="67"/>
      <c r="S656" s="140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</row>
    <row r="657" ht="12.0" hidden="1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139"/>
      <c r="L657" s="67"/>
      <c r="M657" s="67"/>
      <c r="N657" s="140"/>
      <c r="O657" s="67"/>
      <c r="P657" s="67"/>
      <c r="Q657" s="67"/>
      <c r="R657" s="67"/>
      <c r="S657" s="140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</row>
    <row r="658" ht="12.0" hidden="1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139"/>
      <c r="L658" s="67"/>
      <c r="M658" s="67"/>
      <c r="N658" s="140"/>
      <c r="O658" s="67"/>
      <c r="P658" s="67"/>
      <c r="Q658" s="67"/>
      <c r="R658" s="67"/>
      <c r="S658" s="140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</row>
    <row r="659" ht="12.0" hidden="1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139"/>
      <c r="L659" s="67"/>
      <c r="M659" s="67"/>
      <c r="N659" s="140"/>
      <c r="O659" s="67"/>
      <c r="P659" s="67"/>
      <c r="Q659" s="67"/>
      <c r="R659" s="67"/>
      <c r="S659" s="140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</row>
    <row r="660" ht="12.0" hidden="1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139"/>
      <c r="L660" s="67"/>
      <c r="M660" s="67"/>
      <c r="N660" s="140"/>
      <c r="O660" s="67"/>
      <c r="P660" s="67"/>
      <c r="Q660" s="67"/>
      <c r="R660" s="67"/>
      <c r="S660" s="140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</row>
    <row r="661" ht="12.0" hidden="1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139"/>
      <c r="L661" s="67"/>
      <c r="M661" s="67"/>
      <c r="N661" s="140"/>
      <c r="O661" s="67"/>
      <c r="P661" s="67"/>
      <c r="Q661" s="67"/>
      <c r="R661" s="67"/>
      <c r="S661" s="140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</row>
    <row r="662" ht="12.0" hidden="1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139"/>
      <c r="L662" s="67"/>
      <c r="M662" s="67"/>
      <c r="N662" s="140"/>
      <c r="O662" s="67"/>
      <c r="P662" s="67"/>
      <c r="Q662" s="67"/>
      <c r="R662" s="67"/>
      <c r="S662" s="140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</row>
    <row r="663" ht="12.0" hidden="1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139"/>
      <c r="L663" s="67"/>
      <c r="M663" s="67"/>
      <c r="N663" s="140"/>
      <c r="O663" s="67"/>
      <c r="P663" s="67"/>
      <c r="Q663" s="67"/>
      <c r="R663" s="67"/>
      <c r="S663" s="140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</row>
    <row r="664" ht="12.0" hidden="1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139"/>
      <c r="L664" s="67"/>
      <c r="M664" s="67"/>
      <c r="N664" s="140"/>
      <c r="O664" s="67"/>
      <c r="P664" s="67"/>
      <c r="Q664" s="67"/>
      <c r="R664" s="67"/>
      <c r="S664" s="140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</row>
    <row r="665" ht="12.0" hidden="1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139"/>
      <c r="L665" s="67"/>
      <c r="M665" s="67"/>
      <c r="N665" s="140"/>
      <c r="O665" s="67"/>
      <c r="P665" s="67"/>
      <c r="Q665" s="67"/>
      <c r="R665" s="67"/>
      <c r="S665" s="140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</row>
    <row r="666" ht="12.0" hidden="1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139"/>
      <c r="L666" s="67"/>
      <c r="M666" s="67"/>
      <c r="N666" s="140"/>
      <c r="O666" s="67"/>
      <c r="P666" s="67"/>
      <c r="Q666" s="67"/>
      <c r="R666" s="67"/>
      <c r="S666" s="140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</row>
    <row r="667" ht="12.0" hidden="1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139"/>
      <c r="L667" s="67"/>
      <c r="M667" s="67"/>
      <c r="N667" s="140"/>
      <c r="O667" s="67"/>
      <c r="P667" s="67"/>
      <c r="Q667" s="67"/>
      <c r="R667" s="67"/>
      <c r="S667" s="140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</row>
    <row r="668" ht="12.0" hidden="1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139"/>
      <c r="L668" s="67"/>
      <c r="M668" s="67"/>
      <c r="N668" s="140"/>
      <c r="O668" s="67"/>
      <c r="P668" s="67"/>
      <c r="Q668" s="67"/>
      <c r="R668" s="67"/>
      <c r="S668" s="140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</row>
    <row r="669" ht="12.0" hidden="1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139"/>
      <c r="L669" s="67"/>
      <c r="M669" s="67"/>
      <c r="N669" s="140"/>
      <c r="O669" s="67"/>
      <c r="P669" s="67"/>
      <c r="Q669" s="67"/>
      <c r="R669" s="67"/>
      <c r="S669" s="140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</row>
    <row r="670" ht="12.0" hidden="1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139"/>
      <c r="L670" s="67"/>
      <c r="M670" s="67"/>
      <c r="N670" s="140"/>
      <c r="O670" s="67"/>
      <c r="P670" s="67"/>
      <c r="Q670" s="67"/>
      <c r="R670" s="67"/>
      <c r="S670" s="140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</row>
    <row r="671" ht="12.0" hidden="1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139"/>
      <c r="L671" s="67"/>
      <c r="M671" s="67"/>
      <c r="N671" s="140"/>
      <c r="O671" s="67"/>
      <c r="P671" s="67"/>
      <c r="Q671" s="67"/>
      <c r="R671" s="67"/>
      <c r="S671" s="140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ht="12.0" hidden="1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139"/>
      <c r="L672" s="67"/>
      <c r="M672" s="67"/>
      <c r="N672" s="140"/>
      <c r="O672" s="67"/>
      <c r="P672" s="67"/>
      <c r="Q672" s="67"/>
      <c r="R672" s="67"/>
      <c r="S672" s="140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</row>
    <row r="673" ht="12.0" hidden="1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139"/>
      <c r="L673" s="67"/>
      <c r="M673" s="67"/>
      <c r="N673" s="140"/>
      <c r="O673" s="67"/>
      <c r="P673" s="67"/>
      <c r="Q673" s="67"/>
      <c r="R673" s="67"/>
      <c r="S673" s="140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</row>
    <row r="674" ht="12.0" hidden="1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139"/>
      <c r="L674" s="67"/>
      <c r="M674" s="67"/>
      <c r="N674" s="140"/>
      <c r="O674" s="67"/>
      <c r="P674" s="67"/>
      <c r="Q674" s="67"/>
      <c r="R674" s="67"/>
      <c r="S674" s="140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</row>
    <row r="675" ht="12.0" hidden="1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139"/>
      <c r="L675" s="67"/>
      <c r="M675" s="67"/>
      <c r="N675" s="140"/>
      <c r="O675" s="67"/>
      <c r="P675" s="67"/>
      <c r="Q675" s="67"/>
      <c r="R675" s="67"/>
      <c r="S675" s="140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</row>
    <row r="676" ht="12.0" hidden="1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139"/>
      <c r="L676" s="67"/>
      <c r="M676" s="67"/>
      <c r="N676" s="140"/>
      <c r="O676" s="67"/>
      <c r="P676" s="67"/>
      <c r="Q676" s="67"/>
      <c r="R676" s="67"/>
      <c r="S676" s="140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</row>
    <row r="677" ht="12.0" hidden="1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139"/>
      <c r="L677" s="67"/>
      <c r="M677" s="67"/>
      <c r="N677" s="140"/>
      <c r="O677" s="67"/>
      <c r="P677" s="67"/>
      <c r="Q677" s="67"/>
      <c r="R677" s="67"/>
      <c r="S677" s="140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</row>
    <row r="678" ht="12.0" hidden="1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139"/>
      <c r="L678" s="67"/>
      <c r="M678" s="67"/>
      <c r="N678" s="140"/>
      <c r="O678" s="67"/>
      <c r="P678" s="67"/>
      <c r="Q678" s="67"/>
      <c r="R678" s="67"/>
      <c r="S678" s="140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</row>
    <row r="679" ht="12.0" hidden="1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139"/>
      <c r="L679" s="67"/>
      <c r="M679" s="67"/>
      <c r="N679" s="140"/>
      <c r="O679" s="67"/>
      <c r="P679" s="67"/>
      <c r="Q679" s="67"/>
      <c r="R679" s="67"/>
      <c r="S679" s="140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</row>
    <row r="680" ht="12.0" hidden="1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139"/>
      <c r="L680" s="67"/>
      <c r="M680" s="67"/>
      <c r="N680" s="140"/>
      <c r="O680" s="67"/>
      <c r="P680" s="67"/>
      <c r="Q680" s="67"/>
      <c r="R680" s="67"/>
      <c r="S680" s="140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</row>
    <row r="681" ht="12.0" hidden="1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139"/>
      <c r="L681" s="67"/>
      <c r="M681" s="67"/>
      <c r="N681" s="140"/>
      <c r="O681" s="67"/>
      <c r="P681" s="67"/>
      <c r="Q681" s="67"/>
      <c r="R681" s="67"/>
      <c r="S681" s="140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</row>
    <row r="682" ht="12.0" hidden="1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139"/>
      <c r="L682" s="67"/>
      <c r="M682" s="67"/>
      <c r="N682" s="140"/>
      <c r="O682" s="67"/>
      <c r="P682" s="67"/>
      <c r="Q682" s="67"/>
      <c r="R682" s="67"/>
      <c r="S682" s="140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</row>
    <row r="683" ht="12.0" hidden="1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139"/>
      <c r="L683" s="67"/>
      <c r="M683" s="67"/>
      <c r="N683" s="140"/>
      <c r="O683" s="67"/>
      <c r="P683" s="67"/>
      <c r="Q683" s="67"/>
      <c r="R683" s="67"/>
      <c r="S683" s="140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</row>
    <row r="684" ht="12.0" hidden="1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139"/>
      <c r="L684" s="67"/>
      <c r="M684" s="67"/>
      <c r="N684" s="140"/>
      <c r="O684" s="67"/>
      <c r="P684" s="67"/>
      <c r="Q684" s="67"/>
      <c r="R684" s="67"/>
      <c r="S684" s="140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</row>
    <row r="685" ht="12.0" hidden="1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139"/>
      <c r="L685" s="67"/>
      <c r="M685" s="67"/>
      <c r="N685" s="140"/>
      <c r="O685" s="67"/>
      <c r="P685" s="67"/>
      <c r="Q685" s="67"/>
      <c r="R685" s="67"/>
      <c r="S685" s="140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</row>
    <row r="686" ht="12.0" hidden="1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139"/>
      <c r="L686" s="67"/>
      <c r="M686" s="67"/>
      <c r="N686" s="140"/>
      <c r="O686" s="67"/>
      <c r="P686" s="67"/>
      <c r="Q686" s="67"/>
      <c r="R686" s="67"/>
      <c r="S686" s="140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</row>
    <row r="687" ht="12.0" hidden="1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139"/>
      <c r="L687" s="67"/>
      <c r="M687" s="67"/>
      <c r="N687" s="140"/>
      <c r="O687" s="67"/>
      <c r="P687" s="67"/>
      <c r="Q687" s="67"/>
      <c r="R687" s="67"/>
      <c r="S687" s="140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</row>
    <row r="688" ht="12.0" hidden="1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139"/>
      <c r="L688" s="67"/>
      <c r="M688" s="67"/>
      <c r="N688" s="140"/>
      <c r="O688" s="67"/>
      <c r="P688" s="67"/>
      <c r="Q688" s="67"/>
      <c r="R688" s="67"/>
      <c r="S688" s="140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</row>
    <row r="689" ht="12.0" hidden="1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139"/>
      <c r="L689" s="67"/>
      <c r="M689" s="67"/>
      <c r="N689" s="140"/>
      <c r="O689" s="67"/>
      <c r="P689" s="67"/>
      <c r="Q689" s="67"/>
      <c r="R689" s="67"/>
      <c r="S689" s="140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</row>
    <row r="690" ht="12.0" hidden="1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139"/>
      <c r="L690" s="67"/>
      <c r="M690" s="67"/>
      <c r="N690" s="140"/>
      <c r="O690" s="67"/>
      <c r="P690" s="67"/>
      <c r="Q690" s="67"/>
      <c r="R690" s="67"/>
      <c r="S690" s="140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</row>
    <row r="691" ht="12.0" hidden="1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139"/>
      <c r="L691" s="67"/>
      <c r="M691" s="67"/>
      <c r="N691" s="140"/>
      <c r="O691" s="67"/>
      <c r="P691" s="67"/>
      <c r="Q691" s="67"/>
      <c r="R691" s="67"/>
      <c r="S691" s="140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</row>
    <row r="692" ht="12.0" hidden="1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139"/>
      <c r="L692" s="67"/>
      <c r="M692" s="67"/>
      <c r="N692" s="140"/>
      <c r="O692" s="67"/>
      <c r="P692" s="67"/>
      <c r="Q692" s="67"/>
      <c r="R692" s="67"/>
      <c r="S692" s="140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</row>
    <row r="693" ht="12.0" hidden="1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139"/>
      <c r="L693" s="67"/>
      <c r="M693" s="67"/>
      <c r="N693" s="140"/>
      <c r="O693" s="67"/>
      <c r="P693" s="67"/>
      <c r="Q693" s="67"/>
      <c r="R693" s="67"/>
      <c r="S693" s="140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</row>
    <row r="694" ht="12.0" hidden="1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139"/>
      <c r="L694" s="67"/>
      <c r="M694" s="67"/>
      <c r="N694" s="140"/>
      <c r="O694" s="67"/>
      <c r="P694" s="67"/>
      <c r="Q694" s="67"/>
      <c r="R694" s="67"/>
      <c r="S694" s="140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</row>
    <row r="695" ht="12.0" hidden="1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139"/>
      <c r="L695" s="67"/>
      <c r="M695" s="67"/>
      <c r="N695" s="140"/>
      <c r="O695" s="67"/>
      <c r="P695" s="67"/>
      <c r="Q695" s="67"/>
      <c r="R695" s="67"/>
      <c r="S695" s="140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</row>
    <row r="696" ht="12.0" hidden="1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139"/>
      <c r="L696" s="67"/>
      <c r="M696" s="67"/>
      <c r="N696" s="140"/>
      <c r="O696" s="67"/>
      <c r="P696" s="67"/>
      <c r="Q696" s="67"/>
      <c r="R696" s="67"/>
      <c r="S696" s="140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</row>
    <row r="697" ht="12.0" hidden="1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139"/>
      <c r="L697" s="67"/>
      <c r="M697" s="67"/>
      <c r="N697" s="140"/>
      <c r="O697" s="67"/>
      <c r="P697" s="67"/>
      <c r="Q697" s="67"/>
      <c r="R697" s="67"/>
      <c r="S697" s="140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</row>
    <row r="698" ht="12.0" hidden="1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139"/>
      <c r="L698" s="67"/>
      <c r="M698" s="67"/>
      <c r="N698" s="140"/>
      <c r="O698" s="67"/>
      <c r="P698" s="67"/>
      <c r="Q698" s="67"/>
      <c r="R698" s="67"/>
      <c r="S698" s="140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</row>
    <row r="699" ht="12.0" hidden="1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139"/>
      <c r="L699" s="67"/>
      <c r="M699" s="67"/>
      <c r="N699" s="140"/>
      <c r="O699" s="67"/>
      <c r="P699" s="67"/>
      <c r="Q699" s="67"/>
      <c r="R699" s="67"/>
      <c r="S699" s="140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</row>
    <row r="700" ht="12.0" hidden="1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139"/>
      <c r="L700" s="67"/>
      <c r="M700" s="67"/>
      <c r="N700" s="140"/>
      <c r="O700" s="67"/>
      <c r="P700" s="67"/>
      <c r="Q700" s="67"/>
      <c r="R700" s="67"/>
      <c r="S700" s="140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</row>
    <row r="701" ht="12.0" hidden="1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139"/>
      <c r="L701" s="67"/>
      <c r="M701" s="67"/>
      <c r="N701" s="140"/>
      <c r="O701" s="67"/>
      <c r="P701" s="67"/>
      <c r="Q701" s="67"/>
      <c r="R701" s="67"/>
      <c r="S701" s="140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</row>
    <row r="702" ht="12.0" hidden="1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139"/>
      <c r="L702" s="67"/>
      <c r="M702" s="67"/>
      <c r="N702" s="140"/>
      <c r="O702" s="67"/>
      <c r="P702" s="67"/>
      <c r="Q702" s="67"/>
      <c r="R702" s="67"/>
      <c r="S702" s="140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</row>
    <row r="703" ht="12.0" hidden="1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139"/>
      <c r="L703" s="67"/>
      <c r="M703" s="67"/>
      <c r="N703" s="140"/>
      <c r="O703" s="67"/>
      <c r="P703" s="67"/>
      <c r="Q703" s="67"/>
      <c r="R703" s="67"/>
      <c r="S703" s="140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</row>
    <row r="704" ht="12.0" hidden="1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139"/>
      <c r="L704" s="67"/>
      <c r="M704" s="67"/>
      <c r="N704" s="140"/>
      <c r="O704" s="67"/>
      <c r="P704" s="67"/>
      <c r="Q704" s="67"/>
      <c r="R704" s="67"/>
      <c r="S704" s="140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</row>
    <row r="705" ht="12.0" hidden="1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139"/>
      <c r="L705" s="67"/>
      <c r="M705" s="67"/>
      <c r="N705" s="140"/>
      <c r="O705" s="67"/>
      <c r="P705" s="67"/>
      <c r="Q705" s="67"/>
      <c r="R705" s="67"/>
      <c r="S705" s="140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</row>
    <row r="706" ht="12.0" hidden="1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139"/>
      <c r="L706" s="67"/>
      <c r="M706" s="67"/>
      <c r="N706" s="140"/>
      <c r="O706" s="67"/>
      <c r="P706" s="67"/>
      <c r="Q706" s="67"/>
      <c r="R706" s="67"/>
      <c r="S706" s="140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</row>
    <row r="707" ht="12.0" hidden="1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139"/>
      <c r="L707" s="67"/>
      <c r="M707" s="67"/>
      <c r="N707" s="140"/>
      <c r="O707" s="67"/>
      <c r="P707" s="67"/>
      <c r="Q707" s="67"/>
      <c r="R707" s="67"/>
      <c r="S707" s="140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</row>
    <row r="708" ht="12.0" hidden="1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139"/>
      <c r="L708" s="67"/>
      <c r="M708" s="67"/>
      <c r="N708" s="140"/>
      <c r="O708" s="67"/>
      <c r="P708" s="67"/>
      <c r="Q708" s="67"/>
      <c r="R708" s="67"/>
      <c r="S708" s="140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</row>
    <row r="709" ht="12.0" hidden="1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139"/>
      <c r="L709" s="67"/>
      <c r="M709" s="67"/>
      <c r="N709" s="140"/>
      <c r="O709" s="67"/>
      <c r="P709" s="67"/>
      <c r="Q709" s="67"/>
      <c r="R709" s="67"/>
      <c r="S709" s="140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</row>
    <row r="710" ht="12.0" hidden="1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139"/>
      <c r="L710" s="67"/>
      <c r="M710" s="67"/>
      <c r="N710" s="140"/>
      <c r="O710" s="67"/>
      <c r="P710" s="67"/>
      <c r="Q710" s="67"/>
      <c r="R710" s="67"/>
      <c r="S710" s="140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</row>
    <row r="711" ht="12.0" hidden="1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139"/>
      <c r="L711" s="67"/>
      <c r="M711" s="67"/>
      <c r="N711" s="140"/>
      <c r="O711" s="67"/>
      <c r="P711" s="67"/>
      <c r="Q711" s="67"/>
      <c r="R711" s="67"/>
      <c r="S711" s="140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</row>
    <row r="712" ht="12.0" hidden="1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139"/>
      <c r="L712" s="67"/>
      <c r="M712" s="67"/>
      <c r="N712" s="140"/>
      <c r="O712" s="67"/>
      <c r="P712" s="67"/>
      <c r="Q712" s="67"/>
      <c r="R712" s="67"/>
      <c r="S712" s="140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</row>
    <row r="713" ht="12.0" hidden="1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139"/>
      <c r="L713" s="67"/>
      <c r="M713" s="67"/>
      <c r="N713" s="140"/>
      <c r="O713" s="67"/>
      <c r="P713" s="67"/>
      <c r="Q713" s="67"/>
      <c r="R713" s="67"/>
      <c r="S713" s="140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</row>
    <row r="714" ht="12.0" hidden="1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139"/>
      <c r="L714" s="67"/>
      <c r="M714" s="67"/>
      <c r="N714" s="140"/>
      <c r="O714" s="67"/>
      <c r="P714" s="67"/>
      <c r="Q714" s="67"/>
      <c r="R714" s="67"/>
      <c r="S714" s="140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</row>
    <row r="715" ht="12.0" hidden="1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139"/>
      <c r="L715" s="67"/>
      <c r="M715" s="67"/>
      <c r="N715" s="140"/>
      <c r="O715" s="67"/>
      <c r="P715" s="67"/>
      <c r="Q715" s="67"/>
      <c r="R715" s="67"/>
      <c r="S715" s="140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</row>
    <row r="716" ht="12.0" hidden="1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139"/>
      <c r="L716" s="67"/>
      <c r="M716" s="67"/>
      <c r="N716" s="140"/>
      <c r="O716" s="67"/>
      <c r="P716" s="67"/>
      <c r="Q716" s="67"/>
      <c r="R716" s="67"/>
      <c r="S716" s="140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</row>
    <row r="717" ht="12.0" hidden="1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139"/>
      <c r="L717" s="67"/>
      <c r="M717" s="67"/>
      <c r="N717" s="140"/>
      <c r="O717" s="67"/>
      <c r="P717" s="67"/>
      <c r="Q717" s="67"/>
      <c r="R717" s="67"/>
      <c r="S717" s="140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</row>
    <row r="718" ht="12.0" hidden="1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139"/>
      <c r="L718" s="67"/>
      <c r="M718" s="67"/>
      <c r="N718" s="140"/>
      <c r="O718" s="67"/>
      <c r="P718" s="67"/>
      <c r="Q718" s="67"/>
      <c r="R718" s="67"/>
      <c r="S718" s="140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</row>
    <row r="719" ht="12.0" hidden="1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139"/>
      <c r="L719" s="67"/>
      <c r="M719" s="67"/>
      <c r="N719" s="140"/>
      <c r="O719" s="67"/>
      <c r="P719" s="67"/>
      <c r="Q719" s="67"/>
      <c r="R719" s="67"/>
      <c r="S719" s="140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</row>
    <row r="720" ht="12.0" hidden="1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139"/>
      <c r="L720" s="67"/>
      <c r="M720" s="67"/>
      <c r="N720" s="140"/>
      <c r="O720" s="67"/>
      <c r="P720" s="67"/>
      <c r="Q720" s="67"/>
      <c r="R720" s="67"/>
      <c r="S720" s="140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</row>
    <row r="721" ht="12.0" hidden="1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139"/>
      <c r="L721" s="67"/>
      <c r="M721" s="67"/>
      <c r="N721" s="140"/>
      <c r="O721" s="67"/>
      <c r="P721" s="67"/>
      <c r="Q721" s="67"/>
      <c r="R721" s="67"/>
      <c r="S721" s="140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</row>
    <row r="722" ht="12.0" hidden="1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139"/>
      <c r="L722" s="67"/>
      <c r="M722" s="67"/>
      <c r="N722" s="140"/>
      <c r="O722" s="67"/>
      <c r="P722" s="67"/>
      <c r="Q722" s="67"/>
      <c r="R722" s="67"/>
      <c r="S722" s="140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</row>
    <row r="723" ht="12.0" hidden="1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139"/>
      <c r="L723" s="67"/>
      <c r="M723" s="67"/>
      <c r="N723" s="140"/>
      <c r="O723" s="67"/>
      <c r="P723" s="67"/>
      <c r="Q723" s="67"/>
      <c r="R723" s="67"/>
      <c r="S723" s="140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</row>
    <row r="724" ht="12.0" hidden="1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139"/>
      <c r="L724" s="67"/>
      <c r="M724" s="67"/>
      <c r="N724" s="140"/>
      <c r="O724" s="67"/>
      <c r="P724" s="67"/>
      <c r="Q724" s="67"/>
      <c r="R724" s="67"/>
      <c r="S724" s="140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ht="12.0" hidden="1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139"/>
      <c r="L725" s="67"/>
      <c r="M725" s="67"/>
      <c r="N725" s="140"/>
      <c r="O725" s="67"/>
      <c r="P725" s="67"/>
      <c r="Q725" s="67"/>
      <c r="R725" s="67"/>
      <c r="S725" s="140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</row>
    <row r="726" ht="12.0" hidden="1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139"/>
      <c r="L726" s="67"/>
      <c r="M726" s="67"/>
      <c r="N726" s="140"/>
      <c r="O726" s="67"/>
      <c r="P726" s="67"/>
      <c r="Q726" s="67"/>
      <c r="R726" s="67"/>
      <c r="S726" s="140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</row>
    <row r="727" ht="12.0" hidden="1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139"/>
      <c r="L727" s="67"/>
      <c r="M727" s="67"/>
      <c r="N727" s="140"/>
      <c r="O727" s="67"/>
      <c r="P727" s="67"/>
      <c r="Q727" s="67"/>
      <c r="R727" s="67"/>
      <c r="S727" s="140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</row>
    <row r="728" ht="12.0" hidden="1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139"/>
      <c r="L728" s="67"/>
      <c r="M728" s="67"/>
      <c r="N728" s="140"/>
      <c r="O728" s="67"/>
      <c r="P728" s="67"/>
      <c r="Q728" s="67"/>
      <c r="R728" s="67"/>
      <c r="S728" s="140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</row>
    <row r="729" ht="12.0" hidden="1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139"/>
      <c r="L729" s="67"/>
      <c r="M729" s="67"/>
      <c r="N729" s="140"/>
      <c r="O729" s="67"/>
      <c r="P729" s="67"/>
      <c r="Q729" s="67"/>
      <c r="R729" s="67"/>
      <c r="S729" s="140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</row>
    <row r="730" ht="12.0" hidden="1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139"/>
      <c r="L730" s="67"/>
      <c r="M730" s="67"/>
      <c r="N730" s="140"/>
      <c r="O730" s="67"/>
      <c r="P730" s="67"/>
      <c r="Q730" s="67"/>
      <c r="R730" s="67"/>
      <c r="S730" s="140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</row>
    <row r="731" ht="12.0" hidden="1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139"/>
      <c r="L731" s="67"/>
      <c r="M731" s="67"/>
      <c r="N731" s="140"/>
      <c r="O731" s="67"/>
      <c r="P731" s="67"/>
      <c r="Q731" s="67"/>
      <c r="R731" s="67"/>
      <c r="S731" s="140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</row>
    <row r="732" ht="12.0" hidden="1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139"/>
      <c r="L732" s="67"/>
      <c r="M732" s="67"/>
      <c r="N732" s="140"/>
      <c r="O732" s="67"/>
      <c r="P732" s="67"/>
      <c r="Q732" s="67"/>
      <c r="R732" s="67"/>
      <c r="S732" s="140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</row>
    <row r="733" ht="12.0" hidden="1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139"/>
      <c r="L733" s="67"/>
      <c r="M733" s="67"/>
      <c r="N733" s="140"/>
      <c r="O733" s="67"/>
      <c r="P733" s="67"/>
      <c r="Q733" s="67"/>
      <c r="R733" s="67"/>
      <c r="S733" s="140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</row>
    <row r="734" ht="12.0" hidden="1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139"/>
      <c r="L734" s="67"/>
      <c r="M734" s="67"/>
      <c r="N734" s="140"/>
      <c r="O734" s="67"/>
      <c r="P734" s="67"/>
      <c r="Q734" s="67"/>
      <c r="R734" s="67"/>
      <c r="S734" s="140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</row>
    <row r="735" ht="12.0" hidden="1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139"/>
      <c r="L735" s="67"/>
      <c r="M735" s="67"/>
      <c r="N735" s="140"/>
      <c r="O735" s="67"/>
      <c r="P735" s="67"/>
      <c r="Q735" s="67"/>
      <c r="R735" s="67"/>
      <c r="S735" s="140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</row>
    <row r="736" ht="12.0" hidden="1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139"/>
      <c r="L736" s="67"/>
      <c r="M736" s="67"/>
      <c r="N736" s="140"/>
      <c r="O736" s="67"/>
      <c r="P736" s="67"/>
      <c r="Q736" s="67"/>
      <c r="R736" s="67"/>
      <c r="S736" s="140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</row>
    <row r="737" ht="12.0" hidden="1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139"/>
      <c r="L737" s="67"/>
      <c r="M737" s="67"/>
      <c r="N737" s="140"/>
      <c r="O737" s="67"/>
      <c r="P737" s="67"/>
      <c r="Q737" s="67"/>
      <c r="R737" s="67"/>
      <c r="S737" s="140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</row>
    <row r="738" ht="12.0" hidden="1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139"/>
      <c r="L738" s="67"/>
      <c r="M738" s="67"/>
      <c r="N738" s="140"/>
      <c r="O738" s="67"/>
      <c r="P738" s="67"/>
      <c r="Q738" s="67"/>
      <c r="R738" s="67"/>
      <c r="S738" s="140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</row>
    <row r="739" ht="12.0" hidden="1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139"/>
      <c r="L739" s="67"/>
      <c r="M739" s="67"/>
      <c r="N739" s="140"/>
      <c r="O739" s="67"/>
      <c r="P739" s="67"/>
      <c r="Q739" s="67"/>
      <c r="R739" s="67"/>
      <c r="S739" s="140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</row>
    <row r="740" ht="12.0" hidden="1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139"/>
      <c r="L740" s="67"/>
      <c r="M740" s="67"/>
      <c r="N740" s="140"/>
      <c r="O740" s="67"/>
      <c r="P740" s="67"/>
      <c r="Q740" s="67"/>
      <c r="R740" s="67"/>
      <c r="S740" s="140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</row>
    <row r="741" ht="12.0" hidden="1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139"/>
      <c r="L741" s="67"/>
      <c r="M741" s="67"/>
      <c r="N741" s="140"/>
      <c r="O741" s="67"/>
      <c r="P741" s="67"/>
      <c r="Q741" s="67"/>
      <c r="R741" s="67"/>
      <c r="S741" s="140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</row>
    <row r="742" ht="12.0" hidden="1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139"/>
      <c r="L742" s="67"/>
      <c r="M742" s="67"/>
      <c r="N742" s="140"/>
      <c r="O742" s="67"/>
      <c r="P742" s="67"/>
      <c r="Q742" s="67"/>
      <c r="R742" s="67"/>
      <c r="S742" s="140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</row>
    <row r="743" ht="12.0" hidden="1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139"/>
      <c r="L743" s="67"/>
      <c r="M743" s="67"/>
      <c r="N743" s="140"/>
      <c r="O743" s="67"/>
      <c r="P743" s="67"/>
      <c r="Q743" s="67"/>
      <c r="R743" s="67"/>
      <c r="S743" s="140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</row>
    <row r="744" ht="12.0" hidden="1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139"/>
      <c r="L744" s="67"/>
      <c r="M744" s="67"/>
      <c r="N744" s="140"/>
      <c r="O744" s="67"/>
      <c r="P744" s="67"/>
      <c r="Q744" s="67"/>
      <c r="R744" s="67"/>
      <c r="S744" s="140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</row>
    <row r="745" ht="12.0" hidden="1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139"/>
      <c r="L745" s="67"/>
      <c r="M745" s="67"/>
      <c r="N745" s="140"/>
      <c r="O745" s="67"/>
      <c r="P745" s="67"/>
      <c r="Q745" s="67"/>
      <c r="R745" s="67"/>
      <c r="S745" s="140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</row>
    <row r="746" ht="12.0" hidden="1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139"/>
      <c r="L746" s="67"/>
      <c r="M746" s="67"/>
      <c r="N746" s="140"/>
      <c r="O746" s="67"/>
      <c r="P746" s="67"/>
      <c r="Q746" s="67"/>
      <c r="R746" s="67"/>
      <c r="S746" s="140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</row>
    <row r="747" ht="12.0" hidden="1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139"/>
      <c r="L747" s="67"/>
      <c r="M747" s="67"/>
      <c r="N747" s="140"/>
      <c r="O747" s="67"/>
      <c r="P747" s="67"/>
      <c r="Q747" s="67"/>
      <c r="R747" s="67"/>
      <c r="S747" s="140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</row>
    <row r="748" ht="12.0" hidden="1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139"/>
      <c r="L748" s="67"/>
      <c r="M748" s="67"/>
      <c r="N748" s="140"/>
      <c r="O748" s="67"/>
      <c r="P748" s="67"/>
      <c r="Q748" s="67"/>
      <c r="R748" s="67"/>
      <c r="S748" s="140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</row>
    <row r="749" ht="12.0" hidden="1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139"/>
      <c r="L749" s="67"/>
      <c r="M749" s="67"/>
      <c r="N749" s="140"/>
      <c r="O749" s="67"/>
      <c r="P749" s="67"/>
      <c r="Q749" s="67"/>
      <c r="R749" s="67"/>
      <c r="S749" s="140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</row>
    <row r="750" ht="12.0" hidden="1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139"/>
      <c r="L750" s="67"/>
      <c r="M750" s="67"/>
      <c r="N750" s="140"/>
      <c r="O750" s="67"/>
      <c r="P750" s="67"/>
      <c r="Q750" s="67"/>
      <c r="R750" s="67"/>
      <c r="S750" s="140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</row>
    <row r="751" ht="12.0" hidden="1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139"/>
      <c r="L751" s="67"/>
      <c r="M751" s="67"/>
      <c r="N751" s="140"/>
      <c r="O751" s="67"/>
      <c r="P751" s="67"/>
      <c r="Q751" s="67"/>
      <c r="R751" s="67"/>
      <c r="S751" s="140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</row>
    <row r="752" ht="12.0" hidden="1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139"/>
      <c r="L752" s="67"/>
      <c r="M752" s="67"/>
      <c r="N752" s="140"/>
      <c r="O752" s="67"/>
      <c r="P752" s="67"/>
      <c r="Q752" s="67"/>
      <c r="R752" s="67"/>
      <c r="S752" s="140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</row>
    <row r="753" ht="12.0" hidden="1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139"/>
      <c r="L753" s="67"/>
      <c r="M753" s="67"/>
      <c r="N753" s="140"/>
      <c r="O753" s="67"/>
      <c r="P753" s="67"/>
      <c r="Q753" s="67"/>
      <c r="R753" s="67"/>
      <c r="S753" s="140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</row>
    <row r="754" ht="12.0" hidden="1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139"/>
      <c r="L754" s="67"/>
      <c r="M754" s="67"/>
      <c r="N754" s="140"/>
      <c r="O754" s="67"/>
      <c r="P754" s="67"/>
      <c r="Q754" s="67"/>
      <c r="R754" s="67"/>
      <c r="S754" s="140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</row>
    <row r="755" ht="12.0" hidden="1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139"/>
      <c r="L755" s="67"/>
      <c r="M755" s="67"/>
      <c r="N755" s="140"/>
      <c r="O755" s="67"/>
      <c r="P755" s="67"/>
      <c r="Q755" s="67"/>
      <c r="R755" s="67"/>
      <c r="S755" s="140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</row>
    <row r="756" ht="12.0" hidden="1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139"/>
      <c r="L756" s="67"/>
      <c r="M756" s="67"/>
      <c r="N756" s="140"/>
      <c r="O756" s="67"/>
      <c r="P756" s="67"/>
      <c r="Q756" s="67"/>
      <c r="R756" s="67"/>
      <c r="S756" s="140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</row>
    <row r="757" ht="12.0" hidden="1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139"/>
      <c r="L757" s="67"/>
      <c r="M757" s="67"/>
      <c r="N757" s="140"/>
      <c r="O757" s="67"/>
      <c r="P757" s="67"/>
      <c r="Q757" s="67"/>
      <c r="R757" s="67"/>
      <c r="S757" s="140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</row>
    <row r="758" ht="12.0" hidden="1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139"/>
      <c r="L758" s="67"/>
      <c r="M758" s="67"/>
      <c r="N758" s="140"/>
      <c r="O758" s="67"/>
      <c r="P758" s="67"/>
      <c r="Q758" s="67"/>
      <c r="R758" s="67"/>
      <c r="S758" s="140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</row>
    <row r="759" ht="12.0" hidden="1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139"/>
      <c r="L759" s="67"/>
      <c r="M759" s="67"/>
      <c r="N759" s="140"/>
      <c r="O759" s="67"/>
      <c r="P759" s="67"/>
      <c r="Q759" s="67"/>
      <c r="R759" s="67"/>
      <c r="S759" s="140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</row>
    <row r="760" ht="12.0" hidden="1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139"/>
      <c r="L760" s="67"/>
      <c r="M760" s="67"/>
      <c r="N760" s="140"/>
      <c r="O760" s="67"/>
      <c r="P760" s="67"/>
      <c r="Q760" s="67"/>
      <c r="R760" s="67"/>
      <c r="S760" s="140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</row>
    <row r="761" ht="12.0" hidden="1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139"/>
      <c r="L761" s="67"/>
      <c r="M761" s="67"/>
      <c r="N761" s="140"/>
      <c r="O761" s="67"/>
      <c r="P761" s="67"/>
      <c r="Q761" s="67"/>
      <c r="R761" s="67"/>
      <c r="S761" s="140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</row>
    <row r="762" ht="12.0" hidden="1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139"/>
      <c r="L762" s="67"/>
      <c r="M762" s="67"/>
      <c r="N762" s="140"/>
      <c r="O762" s="67"/>
      <c r="P762" s="67"/>
      <c r="Q762" s="67"/>
      <c r="R762" s="67"/>
      <c r="S762" s="140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</row>
    <row r="763" ht="12.0" hidden="1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139"/>
      <c r="L763" s="67"/>
      <c r="M763" s="67"/>
      <c r="N763" s="140"/>
      <c r="O763" s="67"/>
      <c r="P763" s="67"/>
      <c r="Q763" s="67"/>
      <c r="R763" s="67"/>
      <c r="S763" s="140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</row>
    <row r="764" ht="12.0" hidden="1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139"/>
      <c r="L764" s="67"/>
      <c r="M764" s="67"/>
      <c r="N764" s="140"/>
      <c r="O764" s="67"/>
      <c r="P764" s="67"/>
      <c r="Q764" s="67"/>
      <c r="R764" s="67"/>
      <c r="S764" s="140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</row>
    <row r="765" ht="12.0" hidden="1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139"/>
      <c r="L765" s="67"/>
      <c r="M765" s="67"/>
      <c r="N765" s="140"/>
      <c r="O765" s="67"/>
      <c r="P765" s="67"/>
      <c r="Q765" s="67"/>
      <c r="R765" s="67"/>
      <c r="S765" s="140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</row>
    <row r="766" ht="12.0" hidden="1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139"/>
      <c r="L766" s="67"/>
      <c r="M766" s="67"/>
      <c r="N766" s="140"/>
      <c r="O766" s="67"/>
      <c r="P766" s="67"/>
      <c r="Q766" s="67"/>
      <c r="R766" s="67"/>
      <c r="S766" s="140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</row>
    <row r="767" ht="12.0" hidden="1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139"/>
      <c r="L767" s="67"/>
      <c r="M767" s="67"/>
      <c r="N767" s="140"/>
      <c r="O767" s="67"/>
      <c r="P767" s="67"/>
      <c r="Q767" s="67"/>
      <c r="R767" s="67"/>
      <c r="S767" s="140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</row>
    <row r="768" ht="12.0" hidden="1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139"/>
      <c r="L768" s="67"/>
      <c r="M768" s="67"/>
      <c r="N768" s="140"/>
      <c r="O768" s="67"/>
      <c r="P768" s="67"/>
      <c r="Q768" s="67"/>
      <c r="R768" s="67"/>
      <c r="S768" s="140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</row>
    <row r="769" ht="12.0" hidden="1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139"/>
      <c r="L769" s="67"/>
      <c r="M769" s="67"/>
      <c r="N769" s="140"/>
      <c r="O769" s="67"/>
      <c r="P769" s="67"/>
      <c r="Q769" s="67"/>
      <c r="R769" s="67"/>
      <c r="S769" s="140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</row>
    <row r="770" ht="12.0" hidden="1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139"/>
      <c r="L770" s="67"/>
      <c r="M770" s="67"/>
      <c r="N770" s="140"/>
      <c r="O770" s="67"/>
      <c r="P770" s="67"/>
      <c r="Q770" s="67"/>
      <c r="R770" s="67"/>
      <c r="S770" s="140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</row>
    <row r="771" ht="12.0" hidden="1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139"/>
      <c r="L771" s="67"/>
      <c r="M771" s="67"/>
      <c r="N771" s="140"/>
      <c r="O771" s="67"/>
      <c r="P771" s="67"/>
      <c r="Q771" s="67"/>
      <c r="R771" s="67"/>
      <c r="S771" s="140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</row>
    <row r="772" ht="12.0" hidden="1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139"/>
      <c r="L772" s="67"/>
      <c r="M772" s="67"/>
      <c r="N772" s="140"/>
      <c r="O772" s="67"/>
      <c r="P772" s="67"/>
      <c r="Q772" s="67"/>
      <c r="R772" s="67"/>
      <c r="S772" s="140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</row>
    <row r="773" ht="12.0" hidden="1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139"/>
      <c r="L773" s="67"/>
      <c r="M773" s="67"/>
      <c r="N773" s="140"/>
      <c r="O773" s="67"/>
      <c r="P773" s="67"/>
      <c r="Q773" s="67"/>
      <c r="R773" s="67"/>
      <c r="S773" s="140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</row>
    <row r="774" ht="12.0" hidden="1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139"/>
      <c r="L774" s="67"/>
      <c r="M774" s="67"/>
      <c r="N774" s="140"/>
      <c r="O774" s="67"/>
      <c r="P774" s="67"/>
      <c r="Q774" s="67"/>
      <c r="R774" s="67"/>
      <c r="S774" s="140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</row>
    <row r="775" ht="12.0" hidden="1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139"/>
      <c r="L775" s="67"/>
      <c r="M775" s="67"/>
      <c r="N775" s="140"/>
      <c r="O775" s="67"/>
      <c r="P775" s="67"/>
      <c r="Q775" s="67"/>
      <c r="R775" s="67"/>
      <c r="S775" s="140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</row>
    <row r="776" ht="12.0" hidden="1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139"/>
      <c r="L776" s="67"/>
      <c r="M776" s="67"/>
      <c r="N776" s="140"/>
      <c r="O776" s="67"/>
      <c r="P776" s="67"/>
      <c r="Q776" s="67"/>
      <c r="R776" s="67"/>
      <c r="S776" s="140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</row>
    <row r="777" ht="12.0" hidden="1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139"/>
      <c r="L777" s="67"/>
      <c r="M777" s="67"/>
      <c r="N777" s="140"/>
      <c r="O777" s="67"/>
      <c r="P777" s="67"/>
      <c r="Q777" s="67"/>
      <c r="R777" s="67"/>
      <c r="S777" s="140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ht="12.0" hidden="1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139"/>
      <c r="L778" s="67"/>
      <c r="M778" s="67"/>
      <c r="N778" s="140"/>
      <c r="O778" s="67"/>
      <c r="P778" s="67"/>
      <c r="Q778" s="67"/>
      <c r="R778" s="67"/>
      <c r="S778" s="140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</row>
    <row r="779" ht="12.0" hidden="1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139"/>
      <c r="L779" s="67"/>
      <c r="M779" s="67"/>
      <c r="N779" s="140"/>
      <c r="O779" s="67"/>
      <c r="P779" s="67"/>
      <c r="Q779" s="67"/>
      <c r="R779" s="67"/>
      <c r="S779" s="140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</row>
    <row r="780" ht="12.0" hidden="1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139"/>
      <c r="L780" s="67"/>
      <c r="M780" s="67"/>
      <c r="N780" s="140"/>
      <c r="O780" s="67"/>
      <c r="P780" s="67"/>
      <c r="Q780" s="67"/>
      <c r="R780" s="67"/>
      <c r="S780" s="140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</row>
    <row r="781" ht="12.0" hidden="1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139"/>
      <c r="L781" s="67"/>
      <c r="M781" s="67"/>
      <c r="N781" s="140"/>
      <c r="O781" s="67"/>
      <c r="P781" s="67"/>
      <c r="Q781" s="67"/>
      <c r="R781" s="67"/>
      <c r="S781" s="140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</row>
    <row r="782" ht="12.0" hidden="1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139"/>
      <c r="L782" s="67"/>
      <c r="M782" s="67"/>
      <c r="N782" s="140"/>
      <c r="O782" s="67"/>
      <c r="P782" s="67"/>
      <c r="Q782" s="67"/>
      <c r="R782" s="67"/>
      <c r="S782" s="140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</row>
    <row r="783" ht="12.0" hidden="1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139"/>
      <c r="L783" s="67"/>
      <c r="M783" s="67"/>
      <c r="N783" s="140"/>
      <c r="O783" s="67"/>
      <c r="P783" s="67"/>
      <c r="Q783" s="67"/>
      <c r="R783" s="67"/>
      <c r="S783" s="140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</row>
    <row r="784" ht="12.0" hidden="1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139"/>
      <c r="L784" s="67"/>
      <c r="M784" s="67"/>
      <c r="N784" s="140"/>
      <c r="O784" s="67"/>
      <c r="P784" s="67"/>
      <c r="Q784" s="67"/>
      <c r="R784" s="67"/>
      <c r="S784" s="140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</row>
    <row r="785" ht="12.0" hidden="1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139"/>
      <c r="L785" s="67"/>
      <c r="M785" s="67"/>
      <c r="N785" s="140"/>
      <c r="O785" s="67"/>
      <c r="P785" s="67"/>
      <c r="Q785" s="67"/>
      <c r="R785" s="67"/>
      <c r="S785" s="140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</row>
    <row r="786" ht="12.0" hidden="1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139"/>
      <c r="L786" s="67"/>
      <c r="M786" s="67"/>
      <c r="N786" s="140"/>
      <c r="O786" s="67"/>
      <c r="P786" s="67"/>
      <c r="Q786" s="67"/>
      <c r="R786" s="67"/>
      <c r="S786" s="140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</row>
    <row r="787" ht="12.0" hidden="1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139"/>
      <c r="L787" s="67"/>
      <c r="M787" s="67"/>
      <c r="N787" s="140"/>
      <c r="O787" s="67"/>
      <c r="P787" s="67"/>
      <c r="Q787" s="67"/>
      <c r="R787" s="67"/>
      <c r="S787" s="140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</row>
    <row r="788" ht="12.0" hidden="1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139"/>
      <c r="L788" s="67"/>
      <c r="M788" s="67"/>
      <c r="N788" s="140"/>
      <c r="O788" s="67"/>
      <c r="P788" s="67"/>
      <c r="Q788" s="67"/>
      <c r="R788" s="67"/>
      <c r="S788" s="140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</row>
    <row r="789" ht="12.0" hidden="1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139"/>
      <c r="L789" s="67"/>
      <c r="M789" s="67"/>
      <c r="N789" s="140"/>
      <c r="O789" s="67"/>
      <c r="P789" s="67"/>
      <c r="Q789" s="67"/>
      <c r="R789" s="67"/>
      <c r="S789" s="140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</row>
    <row r="790" ht="12.0" hidden="1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139"/>
      <c r="L790" s="67"/>
      <c r="M790" s="67"/>
      <c r="N790" s="140"/>
      <c r="O790" s="67"/>
      <c r="P790" s="67"/>
      <c r="Q790" s="67"/>
      <c r="R790" s="67"/>
      <c r="S790" s="140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</row>
    <row r="791" ht="12.0" hidden="1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139"/>
      <c r="L791" s="67"/>
      <c r="M791" s="67"/>
      <c r="N791" s="140"/>
      <c r="O791" s="67"/>
      <c r="P791" s="67"/>
      <c r="Q791" s="67"/>
      <c r="R791" s="67"/>
      <c r="S791" s="140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</row>
    <row r="792" ht="12.0" hidden="1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139"/>
      <c r="L792" s="67"/>
      <c r="M792" s="67"/>
      <c r="N792" s="140"/>
      <c r="O792" s="67"/>
      <c r="P792" s="67"/>
      <c r="Q792" s="67"/>
      <c r="R792" s="67"/>
      <c r="S792" s="140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</row>
    <row r="793" ht="12.0" hidden="1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139"/>
      <c r="L793" s="67"/>
      <c r="M793" s="67"/>
      <c r="N793" s="140"/>
      <c r="O793" s="67"/>
      <c r="P793" s="67"/>
      <c r="Q793" s="67"/>
      <c r="R793" s="67"/>
      <c r="S793" s="140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</row>
    <row r="794" ht="12.0" hidden="1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139"/>
      <c r="L794" s="67"/>
      <c r="M794" s="67"/>
      <c r="N794" s="140"/>
      <c r="O794" s="67"/>
      <c r="P794" s="67"/>
      <c r="Q794" s="67"/>
      <c r="R794" s="67"/>
      <c r="S794" s="140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</row>
    <row r="795" ht="12.0" hidden="1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139"/>
      <c r="L795" s="67"/>
      <c r="M795" s="67"/>
      <c r="N795" s="140"/>
      <c r="O795" s="67"/>
      <c r="P795" s="67"/>
      <c r="Q795" s="67"/>
      <c r="R795" s="67"/>
      <c r="S795" s="140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</row>
    <row r="796" ht="12.0" hidden="1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139"/>
      <c r="L796" s="67"/>
      <c r="M796" s="67"/>
      <c r="N796" s="140"/>
      <c r="O796" s="67"/>
      <c r="P796" s="67"/>
      <c r="Q796" s="67"/>
      <c r="R796" s="67"/>
      <c r="S796" s="140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</row>
    <row r="797" ht="12.0" hidden="1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139"/>
      <c r="L797" s="67"/>
      <c r="M797" s="67"/>
      <c r="N797" s="140"/>
      <c r="O797" s="67"/>
      <c r="P797" s="67"/>
      <c r="Q797" s="67"/>
      <c r="R797" s="67"/>
      <c r="S797" s="140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</row>
    <row r="798" ht="12.0" hidden="1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139"/>
      <c r="L798" s="67"/>
      <c r="M798" s="67"/>
      <c r="N798" s="140"/>
      <c r="O798" s="67"/>
      <c r="P798" s="67"/>
      <c r="Q798" s="67"/>
      <c r="R798" s="67"/>
      <c r="S798" s="140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</row>
    <row r="799" ht="12.0" hidden="1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139"/>
      <c r="L799" s="67"/>
      <c r="M799" s="67"/>
      <c r="N799" s="140"/>
      <c r="O799" s="67"/>
      <c r="P799" s="67"/>
      <c r="Q799" s="67"/>
      <c r="R799" s="67"/>
      <c r="S799" s="140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</row>
    <row r="800" ht="12.0" hidden="1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139"/>
      <c r="L800" s="67"/>
      <c r="M800" s="67"/>
      <c r="N800" s="140"/>
      <c r="O800" s="67"/>
      <c r="P800" s="67"/>
      <c r="Q800" s="67"/>
      <c r="R800" s="67"/>
      <c r="S800" s="140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</row>
    <row r="801" ht="12.0" hidden="1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139"/>
      <c r="L801" s="67"/>
      <c r="M801" s="67"/>
      <c r="N801" s="140"/>
      <c r="O801" s="67"/>
      <c r="P801" s="67"/>
      <c r="Q801" s="67"/>
      <c r="R801" s="67"/>
      <c r="S801" s="140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</row>
    <row r="802" ht="12.0" hidden="1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139"/>
      <c r="L802" s="67"/>
      <c r="M802" s="67"/>
      <c r="N802" s="140"/>
      <c r="O802" s="67"/>
      <c r="P802" s="67"/>
      <c r="Q802" s="67"/>
      <c r="R802" s="67"/>
      <c r="S802" s="140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</row>
    <row r="803" ht="12.0" hidden="1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139"/>
      <c r="L803" s="67"/>
      <c r="M803" s="67"/>
      <c r="N803" s="140"/>
      <c r="O803" s="67"/>
      <c r="P803" s="67"/>
      <c r="Q803" s="67"/>
      <c r="R803" s="67"/>
      <c r="S803" s="140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</row>
    <row r="804" ht="12.0" hidden="1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139"/>
      <c r="L804" s="67"/>
      <c r="M804" s="67"/>
      <c r="N804" s="140"/>
      <c r="O804" s="67"/>
      <c r="P804" s="67"/>
      <c r="Q804" s="67"/>
      <c r="R804" s="67"/>
      <c r="S804" s="140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</row>
    <row r="805" ht="12.0" hidden="1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139"/>
      <c r="L805" s="67"/>
      <c r="M805" s="67"/>
      <c r="N805" s="140"/>
      <c r="O805" s="67"/>
      <c r="P805" s="67"/>
      <c r="Q805" s="67"/>
      <c r="R805" s="67"/>
      <c r="S805" s="140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</row>
    <row r="806" ht="12.0" hidden="1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139"/>
      <c r="L806" s="67"/>
      <c r="M806" s="67"/>
      <c r="N806" s="140"/>
      <c r="O806" s="67"/>
      <c r="P806" s="67"/>
      <c r="Q806" s="67"/>
      <c r="R806" s="67"/>
      <c r="S806" s="140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</row>
    <row r="807" ht="12.0" hidden="1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139"/>
      <c r="L807" s="67"/>
      <c r="M807" s="67"/>
      <c r="N807" s="140"/>
      <c r="O807" s="67"/>
      <c r="P807" s="67"/>
      <c r="Q807" s="67"/>
      <c r="R807" s="67"/>
      <c r="S807" s="140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</row>
    <row r="808" ht="12.0" hidden="1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139"/>
      <c r="L808" s="67"/>
      <c r="M808" s="67"/>
      <c r="N808" s="140"/>
      <c r="O808" s="67"/>
      <c r="P808" s="67"/>
      <c r="Q808" s="67"/>
      <c r="R808" s="67"/>
      <c r="S808" s="140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</row>
    <row r="809" ht="12.0" hidden="1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139"/>
      <c r="L809" s="67"/>
      <c r="M809" s="67"/>
      <c r="N809" s="140"/>
      <c r="O809" s="67"/>
      <c r="P809" s="67"/>
      <c r="Q809" s="67"/>
      <c r="R809" s="67"/>
      <c r="S809" s="140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</row>
    <row r="810" ht="12.0" hidden="1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139"/>
      <c r="L810" s="67"/>
      <c r="M810" s="67"/>
      <c r="N810" s="140"/>
      <c r="O810" s="67"/>
      <c r="P810" s="67"/>
      <c r="Q810" s="67"/>
      <c r="R810" s="67"/>
      <c r="S810" s="140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</row>
    <row r="811" ht="12.0" hidden="1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139"/>
      <c r="L811" s="67"/>
      <c r="M811" s="67"/>
      <c r="N811" s="140"/>
      <c r="O811" s="67"/>
      <c r="P811" s="67"/>
      <c r="Q811" s="67"/>
      <c r="R811" s="67"/>
      <c r="S811" s="140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</row>
    <row r="812" ht="12.0" hidden="1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139"/>
      <c r="L812" s="67"/>
      <c r="M812" s="67"/>
      <c r="N812" s="140"/>
      <c r="O812" s="67"/>
      <c r="P812" s="67"/>
      <c r="Q812" s="67"/>
      <c r="R812" s="67"/>
      <c r="S812" s="140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</row>
    <row r="813" ht="12.0" hidden="1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139"/>
      <c r="L813" s="67"/>
      <c r="M813" s="67"/>
      <c r="N813" s="140"/>
      <c r="O813" s="67"/>
      <c r="P813" s="67"/>
      <c r="Q813" s="67"/>
      <c r="R813" s="67"/>
      <c r="S813" s="140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</row>
    <row r="814" ht="12.0" hidden="1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139"/>
      <c r="L814" s="67"/>
      <c r="M814" s="67"/>
      <c r="N814" s="140"/>
      <c r="O814" s="67"/>
      <c r="P814" s="67"/>
      <c r="Q814" s="67"/>
      <c r="R814" s="67"/>
      <c r="S814" s="140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</row>
    <row r="815" ht="12.0" hidden="1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139"/>
      <c r="L815" s="67"/>
      <c r="M815" s="67"/>
      <c r="N815" s="140"/>
      <c r="O815" s="67"/>
      <c r="P815" s="67"/>
      <c r="Q815" s="67"/>
      <c r="R815" s="67"/>
      <c r="S815" s="140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</row>
    <row r="816" ht="12.0" hidden="1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139"/>
      <c r="L816" s="67"/>
      <c r="M816" s="67"/>
      <c r="N816" s="140"/>
      <c r="O816" s="67"/>
      <c r="P816" s="67"/>
      <c r="Q816" s="67"/>
      <c r="R816" s="67"/>
      <c r="S816" s="140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</row>
    <row r="817" ht="12.0" hidden="1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139"/>
      <c r="L817" s="67"/>
      <c r="M817" s="67"/>
      <c r="N817" s="140"/>
      <c r="O817" s="67"/>
      <c r="P817" s="67"/>
      <c r="Q817" s="67"/>
      <c r="R817" s="67"/>
      <c r="S817" s="140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</row>
    <row r="818" ht="12.0" hidden="1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139"/>
      <c r="L818" s="67"/>
      <c r="M818" s="67"/>
      <c r="N818" s="140"/>
      <c r="O818" s="67"/>
      <c r="P818" s="67"/>
      <c r="Q818" s="67"/>
      <c r="R818" s="67"/>
      <c r="S818" s="140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</row>
    <row r="819" ht="12.0" hidden="1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139"/>
      <c r="L819" s="67"/>
      <c r="M819" s="67"/>
      <c r="N819" s="140"/>
      <c r="O819" s="67"/>
      <c r="P819" s="67"/>
      <c r="Q819" s="67"/>
      <c r="R819" s="67"/>
      <c r="S819" s="140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</row>
    <row r="820" ht="12.0" hidden="1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139"/>
      <c r="L820" s="67"/>
      <c r="M820" s="67"/>
      <c r="N820" s="140"/>
      <c r="O820" s="67"/>
      <c r="P820" s="67"/>
      <c r="Q820" s="67"/>
      <c r="R820" s="67"/>
      <c r="S820" s="140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</row>
    <row r="821" ht="12.0" hidden="1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139"/>
      <c r="L821" s="67"/>
      <c r="M821" s="67"/>
      <c r="N821" s="140"/>
      <c r="O821" s="67"/>
      <c r="P821" s="67"/>
      <c r="Q821" s="67"/>
      <c r="R821" s="67"/>
      <c r="S821" s="140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</row>
    <row r="822" ht="12.0" hidden="1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139"/>
      <c r="L822" s="67"/>
      <c r="M822" s="67"/>
      <c r="N822" s="140"/>
      <c r="O822" s="67"/>
      <c r="P822" s="67"/>
      <c r="Q822" s="67"/>
      <c r="R822" s="67"/>
      <c r="S822" s="140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</row>
    <row r="823" ht="12.0" hidden="1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139"/>
      <c r="L823" s="67"/>
      <c r="M823" s="67"/>
      <c r="N823" s="140"/>
      <c r="O823" s="67"/>
      <c r="P823" s="67"/>
      <c r="Q823" s="67"/>
      <c r="R823" s="67"/>
      <c r="S823" s="140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</row>
    <row r="824" ht="12.0" hidden="1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139"/>
      <c r="L824" s="67"/>
      <c r="M824" s="67"/>
      <c r="N824" s="140"/>
      <c r="O824" s="67"/>
      <c r="P824" s="67"/>
      <c r="Q824" s="67"/>
      <c r="R824" s="67"/>
      <c r="S824" s="140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</row>
    <row r="825" ht="12.0" hidden="1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139"/>
      <c r="L825" s="67"/>
      <c r="M825" s="67"/>
      <c r="N825" s="140"/>
      <c r="O825" s="67"/>
      <c r="P825" s="67"/>
      <c r="Q825" s="67"/>
      <c r="R825" s="67"/>
      <c r="S825" s="140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</row>
    <row r="826" ht="12.0" hidden="1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139"/>
      <c r="L826" s="67"/>
      <c r="M826" s="67"/>
      <c r="N826" s="140"/>
      <c r="O826" s="67"/>
      <c r="P826" s="67"/>
      <c r="Q826" s="67"/>
      <c r="R826" s="67"/>
      <c r="S826" s="140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</row>
    <row r="827" ht="12.0" hidden="1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139"/>
      <c r="L827" s="67"/>
      <c r="M827" s="67"/>
      <c r="N827" s="140"/>
      <c r="O827" s="67"/>
      <c r="P827" s="67"/>
      <c r="Q827" s="67"/>
      <c r="R827" s="67"/>
      <c r="S827" s="140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</row>
    <row r="828" ht="12.0" hidden="1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139"/>
      <c r="L828" s="67"/>
      <c r="M828" s="67"/>
      <c r="N828" s="140"/>
      <c r="O828" s="67"/>
      <c r="P828" s="67"/>
      <c r="Q828" s="67"/>
      <c r="R828" s="67"/>
      <c r="S828" s="140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</row>
    <row r="829" ht="12.0" hidden="1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139"/>
      <c r="L829" s="67"/>
      <c r="M829" s="67"/>
      <c r="N829" s="140"/>
      <c r="O829" s="67"/>
      <c r="P829" s="67"/>
      <c r="Q829" s="67"/>
      <c r="R829" s="67"/>
      <c r="S829" s="140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</row>
    <row r="830" ht="12.0" hidden="1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139"/>
      <c r="L830" s="67"/>
      <c r="M830" s="67"/>
      <c r="N830" s="140"/>
      <c r="O830" s="67"/>
      <c r="P830" s="67"/>
      <c r="Q830" s="67"/>
      <c r="R830" s="67"/>
      <c r="S830" s="140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ht="12.0" hidden="1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139"/>
      <c r="L831" s="67"/>
      <c r="M831" s="67"/>
      <c r="N831" s="140"/>
      <c r="O831" s="67"/>
      <c r="P831" s="67"/>
      <c r="Q831" s="67"/>
      <c r="R831" s="67"/>
      <c r="S831" s="140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</row>
    <row r="832" ht="12.0" hidden="1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139"/>
      <c r="L832" s="67"/>
      <c r="M832" s="67"/>
      <c r="N832" s="140"/>
      <c r="O832" s="67"/>
      <c r="P832" s="67"/>
      <c r="Q832" s="67"/>
      <c r="R832" s="67"/>
      <c r="S832" s="140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</row>
    <row r="833" ht="12.0" hidden="1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139"/>
      <c r="L833" s="67"/>
      <c r="M833" s="67"/>
      <c r="N833" s="140"/>
      <c r="O833" s="67"/>
      <c r="P833" s="67"/>
      <c r="Q833" s="67"/>
      <c r="R833" s="67"/>
      <c r="S833" s="140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</row>
    <row r="834" ht="12.0" hidden="1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139"/>
      <c r="L834" s="67"/>
      <c r="M834" s="67"/>
      <c r="N834" s="140"/>
      <c r="O834" s="67"/>
      <c r="P834" s="67"/>
      <c r="Q834" s="67"/>
      <c r="R834" s="67"/>
      <c r="S834" s="140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</row>
    <row r="835" ht="12.0" hidden="1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139"/>
      <c r="L835" s="67"/>
      <c r="M835" s="67"/>
      <c r="N835" s="140"/>
      <c r="O835" s="67"/>
      <c r="P835" s="67"/>
      <c r="Q835" s="67"/>
      <c r="R835" s="67"/>
      <c r="S835" s="140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</row>
    <row r="836" ht="12.0" hidden="1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139"/>
      <c r="L836" s="67"/>
      <c r="M836" s="67"/>
      <c r="N836" s="140"/>
      <c r="O836" s="67"/>
      <c r="P836" s="67"/>
      <c r="Q836" s="67"/>
      <c r="R836" s="67"/>
      <c r="S836" s="140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</row>
    <row r="837" ht="12.0" hidden="1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139"/>
      <c r="L837" s="67"/>
      <c r="M837" s="67"/>
      <c r="N837" s="140"/>
      <c r="O837" s="67"/>
      <c r="P837" s="67"/>
      <c r="Q837" s="67"/>
      <c r="R837" s="67"/>
      <c r="S837" s="140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</row>
    <row r="838" ht="12.0" hidden="1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139"/>
      <c r="L838" s="67"/>
      <c r="M838" s="67"/>
      <c r="N838" s="140"/>
      <c r="O838" s="67"/>
      <c r="P838" s="67"/>
      <c r="Q838" s="67"/>
      <c r="R838" s="67"/>
      <c r="S838" s="140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</row>
    <row r="839" ht="12.0" hidden="1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139"/>
      <c r="L839" s="67"/>
      <c r="M839" s="67"/>
      <c r="N839" s="140"/>
      <c r="O839" s="67"/>
      <c r="P839" s="67"/>
      <c r="Q839" s="67"/>
      <c r="R839" s="67"/>
      <c r="S839" s="140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</row>
    <row r="840" ht="12.0" hidden="1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139"/>
      <c r="L840" s="67"/>
      <c r="M840" s="67"/>
      <c r="N840" s="140"/>
      <c r="O840" s="67"/>
      <c r="P840" s="67"/>
      <c r="Q840" s="67"/>
      <c r="R840" s="67"/>
      <c r="S840" s="140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</row>
    <row r="841" ht="12.0" hidden="1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139"/>
      <c r="L841" s="67"/>
      <c r="M841" s="67"/>
      <c r="N841" s="140"/>
      <c r="O841" s="67"/>
      <c r="P841" s="67"/>
      <c r="Q841" s="67"/>
      <c r="R841" s="67"/>
      <c r="S841" s="140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</row>
    <row r="842" ht="12.0" hidden="1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139"/>
      <c r="L842" s="67"/>
      <c r="M842" s="67"/>
      <c r="N842" s="140"/>
      <c r="O842" s="67"/>
      <c r="P842" s="67"/>
      <c r="Q842" s="67"/>
      <c r="R842" s="67"/>
      <c r="S842" s="140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</row>
    <row r="843" ht="12.0" hidden="1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139"/>
      <c r="L843" s="67"/>
      <c r="M843" s="67"/>
      <c r="N843" s="140"/>
      <c r="O843" s="67"/>
      <c r="P843" s="67"/>
      <c r="Q843" s="67"/>
      <c r="R843" s="67"/>
      <c r="S843" s="140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</row>
    <row r="844" ht="12.0" hidden="1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139"/>
      <c r="L844" s="67"/>
      <c r="M844" s="67"/>
      <c r="N844" s="140"/>
      <c r="O844" s="67"/>
      <c r="P844" s="67"/>
      <c r="Q844" s="67"/>
      <c r="R844" s="67"/>
      <c r="S844" s="140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</row>
    <row r="845" ht="12.0" hidden="1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139"/>
      <c r="L845" s="67"/>
      <c r="M845" s="67"/>
      <c r="N845" s="140"/>
      <c r="O845" s="67"/>
      <c r="P845" s="67"/>
      <c r="Q845" s="67"/>
      <c r="R845" s="67"/>
      <c r="S845" s="140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</row>
    <row r="846" ht="12.0" hidden="1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139"/>
      <c r="L846" s="67"/>
      <c r="M846" s="67"/>
      <c r="N846" s="140"/>
      <c r="O846" s="67"/>
      <c r="P846" s="67"/>
      <c r="Q846" s="67"/>
      <c r="R846" s="67"/>
      <c r="S846" s="140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</row>
    <row r="847" ht="12.0" hidden="1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139"/>
      <c r="L847" s="67"/>
      <c r="M847" s="67"/>
      <c r="N847" s="140"/>
      <c r="O847" s="67"/>
      <c r="P847" s="67"/>
      <c r="Q847" s="67"/>
      <c r="R847" s="67"/>
      <c r="S847" s="140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</row>
    <row r="848" ht="12.0" hidden="1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139"/>
      <c r="L848" s="67"/>
      <c r="M848" s="67"/>
      <c r="N848" s="140"/>
      <c r="O848" s="67"/>
      <c r="P848" s="67"/>
      <c r="Q848" s="67"/>
      <c r="R848" s="67"/>
      <c r="S848" s="140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</row>
    <row r="849" ht="12.0" hidden="1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139"/>
      <c r="L849" s="67"/>
      <c r="M849" s="67"/>
      <c r="N849" s="140"/>
      <c r="O849" s="67"/>
      <c r="P849" s="67"/>
      <c r="Q849" s="67"/>
      <c r="R849" s="67"/>
      <c r="S849" s="140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</row>
    <row r="850" ht="12.0" hidden="1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139"/>
      <c r="L850" s="67"/>
      <c r="M850" s="67"/>
      <c r="N850" s="140"/>
      <c r="O850" s="67"/>
      <c r="P850" s="67"/>
      <c r="Q850" s="67"/>
      <c r="R850" s="67"/>
      <c r="S850" s="140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</row>
    <row r="851" ht="12.0" hidden="1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139"/>
      <c r="L851" s="67"/>
      <c r="M851" s="67"/>
      <c r="N851" s="140"/>
      <c r="O851" s="67"/>
      <c r="P851" s="67"/>
      <c r="Q851" s="67"/>
      <c r="R851" s="67"/>
      <c r="S851" s="140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</row>
    <row r="852" ht="12.0" hidden="1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139"/>
      <c r="L852" s="67"/>
      <c r="M852" s="67"/>
      <c r="N852" s="140"/>
      <c r="O852" s="67"/>
      <c r="P852" s="67"/>
      <c r="Q852" s="67"/>
      <c r="R852" s="67"/>
      <c r="S852" s="140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</row>
    <row r="853" ht="12.0" hidden="1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139"/>
      <c r="L853" s="67"/>
      <c r="M853" s="67"/>
      <c r="N853" s="140"/>
      <c r="O853" s="67"/>
      <c r="P853" s="67"/>
      <c r="Q853" s="67"/>
      <c r="R853" s="67"/>
      <c r="S853" s="140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</row>
    <row r="854" ht="12.0" hidden="1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139"/>
      <c r="L854" s="67"/>
      <c r="M854" s="67"/>
      <c r="N854" s="140"/>
      <c r="O854" s="67"/>
      <c r="P854" s="67"/>
      <c r="Q854" s="67"/>
      <c r="R854" s="67"/>
      <c r="S854" s="140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</row>
    <row r="855" ht="12.0" hidden="1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139"/>
      <c r="L855" s="67"/>
      <c r="M855" s="67"/>
      <c r="N855" s="140"/>
      <c r="O855" s="67"/>
      <c r="P855" s="67"/>
      <c r="Q855" s="67"/>
      <c r="R855" s="67"/>
      <c r="S855" s="140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</row>
    <row r="856" ht="12.0" hidden="1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139"/>
      <c r="L856" s="67"/>
      <c r="M856" s="67"/>
      <c r="N856" s="140"/>
      <c r="O856" s="67"/>
      <c r="P856" s="67"/>
      <c r="Q856" s="67"/>
      <c r="R856" s="67"/>
      <c r="S856" s="140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</row>
    <row r="857" ht="12.0" hidden="1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139"/>
      <c r="L857" s="67"/>
      <c r="M857" s="67"/>
      <c r="N857" s="140"/>
      <c r="O857" s="67"/>
      <c r="P857" s="67"/>
      <c r="Q857" s="67"/>
      <c r="R857" s="67"/>
      <c r="S857" s="140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</row>
    <row r="858" ht="12.0" hidden="1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139"/>
      <c r="L858" s="67"/>
      <c r="M858" s="67"/>
      <c r="N858" s="140"/>
      <c r="O858" s="67"/>
      <c r="P858" s="67"/>
      <c r="Q858" s="67"/>
      <c r="R858" s="67"/>
      <c r="S858" s="140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</row>
    <row r="859" ht="12.0" hidden="1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139"/>
      <c r="L859" s="67"/>
      <c r="M859" s="67"/>
      <c r="N859" s="140"/>
      <c r="O859" s="67"/>
      <c r="P859" s="67"/>
      <c r="Q859" s="67"/>
      <c r="R859" s="67"/>
      <c r="S859" s="140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</row>
    <row r="860" ht="12.0" hidden="1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139"/>
      <c r="L860" s="67"/>
      <c r="M860" s="67"/>
      <c r="N860" s="140"/>
      <c r="O860" s="67"/>
      <c r="P860" s="67"/>
      <c r="Q860" s="67"/>
      <c r="R860" s="67"/>
      <c r="S860" s="140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</row>
    <row r="861" ht="12.0" hidden="1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139"/>
      <c r="L861" s="67"/>
      <c r="M861" s="67"/>
      <c r="N861" s="140"/>
      <c r="O861" s="67"/>
      <c r="P861" s="67"/>
      <c r="Q861" s="67"/>
      <c r="R861" s="67"/>
      <c r="S861" s="140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</row>
    <row r="862" ht="12.0" hidden="1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139"/>
      <c r="L862" s="67"/>
      <c r="M862" s="67"/>
      <c r="N862" s="140"/>
      <c r="O862" s="67"/>
      <c r="P862" s="67"/>
      <c r="Q862" s="67"/>
      <c r="R862" s="67"/>
      <c r="S862" s="140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</row>
    <row r="863" ht="12.0" hidden="1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139"/>
      <c r="L863" s="67"/>
      <c r="M863" s="67"/>
      <c r="N863" s="140"/>
      <c r="O863" s="67"/>
      <c r="P863" s="67"/>
      <c r="Q863" s="67"/>
      <c r="R863" s="67"/>
      <c r="S863" s="140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</row>
    <row r="864" ht="12.0" hidden="1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139"/>
      <c r="L864" s="67"/>
      <c r="M864" s="67"/>
      <c r="N864" s="140"/>
      <c r="O864" s="67"/>
      <c r="P864" s="67"/>
      <c r="Q864" s="67"/>
      <c r="R864" s="67"/>
      <c r="S864" s="140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</row>
    <row r="865" ht="12.0" hidden="1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139"/>
      <c r="L865" s="67"/>
      <c r="M865" s="67"/>
      <c r="N865" s="140"/>
      <c r="O865" s="67"/>
      <c r="P865" s="67"/>
      <c r="Q865" s="67"/>
      <c r="R865" s="67"/>
      <c r="S865" s="140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</row>
    <row r="866" ht="12.0" hidden="1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139"/>
      <c r="L866" s="67"/>
      <c r="M866" s="67"/>
      <c r="N866" s="140"/>
      <c r="O866" s="67"/>
      <c r="P866" s="67"/>
      <c r="Q866" s="67"/>
      <c r="R866" s="67"/>
      <c r="S866" s="140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</row>
    <row r="867" ht="12.0" hidden="1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139"/>
      <c r="L867" s="67"/>
      <c r="M867" s="67"/>
      <c r="N867" s="140"/>
      <c r="O867" s="67"/>
      <c r="P867" s="67"/>
      <c r="Q867" s="67"/>
      <c r="R867" s="67"/>
      <c r="S867" s="140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</row>
    <row r="868" ht="12.0" hidden="1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139"/>
      <c r="L868" s="67"/>
      <c r="M868" s="67"/>
      <c r="N868" s="140"/>
      <c r="O868" s="67"/>
      <c r="P868" s="67"/>
      <c r="Q868" s="67"/>
      <c r="R868" s="67"/>
      <c r="S868" s="140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</row>
    <row r="869" ht="12.0" hidden="1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139"/>
      <c r="L869" s="67"/>
      <c r="M869" s="67"/>
      <c r="N869" s="140"/>
      <c r="O869" s="67"/>
      <c r="P869" s="67"/>
      <c r="Q869" s="67"/>
      <c r="R869" s="67"/>
      <c r="S869" s="140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</row>
    <row r="870" ht="12.0" hidden="1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139"/>
      <c r="L870" s="67"/>
      <c r="M870" s="67"/>
      <c r="N870" s="140"/>
      <c r="O870" s="67"/>
      <c r="P870" s="67"/>
      <c r="Q870" s="67"/>
      <c r="R870" s="67"/>
      <c r="S870" s="140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</row>
    <row r="871" ht="12.0" hidden="1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139"/>
      <c r="L871" s="67"/>
      <c r="M871" s="67"/>
      <c r="N871" s="140"/>
      <c r="O871" s="67"/>
      <c r="P871" s="67"/>
      <c r="Q871" s="67"/>
      <c r="R871" s="67"/>
      <c r="S871" s="140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</row>
    <row r="872" ht="12.0" hidden="1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139"/>
      <c r="L872" s="67"/>
      <c r="M872" s="67"/>
      <c r="N872" s="140"/>
      <c r="O872" s="67"/>
      <c r="P872" s="67"/>
      <c r="Q872" s="67"/>
      <c r="R872" s="67"/>
      <c r="S872" s="140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</row>
    <row r="873" ht="12.0" hidden="1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139"/>
      <c r="L873" s="67"/>
      <c r="M873" s="67"/>
      <c r="N873" s="140"/>
      <c r="O873" s="67"/>
      <c r="P873" s="67"/>
      <c r="Q873" s="67"/>
      <c r="R873" s="67"/>
      <c r="S873" s="140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</row>
    <row r="874" ht="12.0" hidden="1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139"/>
      <c r="L874" s="67"/>
      <c r="M874" s="67"/>
      <c r="N874" s="140"/>
      <c r="O874" s="67"/>
      <c r="P874" s="67"/>
      <c r="Q874" s="67"/>
      <c r="R874" s="67"/>
      <c r="S874" s="140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</row>
    <row r="875" ht="12.0" hidden="1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139"/>
      <c r="L875" s="67"/>
      <c r="M875" s="67"/>
      <c r="N875" s="140"/>
      <c r="O875" s="67"/>
      <c r="P875" s="67"/>
      <c r="Q875" s="67"/>
      <c r="R875" s="67"/>
      <c r="S875" s="140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</row>
    <row r="876" ht="12.0" hidden="1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139"/>
      <c r="L876" s="67"/>
      <c r="M876" s="67"/>
      <c r="N876" s="140"/>
      <c r="O876" s="67"/>
      <c r="P876" s="67"/>
      <c r="Q876" s="67"/>
      <c r="R876" s="67"/>
      <c r="S876" s="140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</row>
    <row r="877" ht="12.0" hidden="1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139"/>
      <c r="L877" s="67"/>
      <c r="M877" s="67"/>
      <c r="N877" s="140"/>
      <c r="O877" s="67"/>
      <c r="P877" s="67"/>
      <c r="Q877" s="67"/>
      <c r="R877" s="67"/>
      <c r="S877" s="140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</row>
    <row r="878" ht="12.0" hidden="1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139"/>
      <c r="L878" s="67"/>
      <c r="M878" s="67"/>
      <c r="N878" s="140"/>
      <c r="O878" s="67"/>
      <c r="P878" s="67"/>
      <c r="Q878" s="67"/>
      <c r="R878" s="67"/>
      <c r="S878" s="140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</row>
    <row r="879" ht="12.0" hidden="1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139"/>
      <c r="L879" s="67"/>
      <c r="M879" s="67"/>
      <c r="N879" s="140"/>
      <c r="O879" s="67"/>
      <c r="P879" s="67"/>
      <c r="Q879" s="67"/>
      <c r="R879" s="67"/>
      <c r="S879" s="140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</row>
    <row r="880" ht="12.0" hidden="1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139"/>
      <c r="L880" s="67"/>
      <c r="M880" s="67"/>
      <c r="N880" s="140"/>
      <c r="O880" s="67"/>
      <c r="P880" s="67"/>
      <c r="Q880" s="67"/>
      <c r="R880" s="67"/>
      <c r="S880" s="140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</row>
    <row r="881" ht="12.0" hidden="1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139"/>
      <c r="L881" s="67"/>
      <c r="M881" s="67"/>
      <c r="N881" s="140"/>
      <c r="O881" s="67"/>
      <c r="P881" s="67"/>
      <c r="Q881" s="67"/>
      <c r="R881" s="67"/>
      <c r="S881" s="140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</row>
    <row r="882" ht="12.0" hidden="1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139"/>
      <c r="L882" s="67"/>
      <c r="M882" s="67"/>
      <c r="N882" s="140"/>
      <c r="O882" s="67"/>
      <c r="P882" s="67"/>
      <c r="Q882" s="67"/>
      <c r="R882" s="67"/>
      <c r="S882" s="140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</row>
    <row r="883" ht="12.0" hidden="1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139"/>
      <c r="L883" s="67"/>
      <c r="M883" s="67"/>
      <c r="N883" s="140"/>
      <c r="O883" s="67"/>
      <c r="P883" s="67"/>
      <c r="Q883" s="67"/>
      <c r="R883" s="67"/>
      <c r="S883" s="140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ht="12.0" hidden="1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139"/>
      <c r="L884" s="67"/>
      <c r="M884" s="67"/>
      <c r="N884" s="140"/>
      <c r="O884" s="67"/>
      <c r="P884" s="67"/>
      <c r="Q884" s="67"/>
      <c r="R884" s="67"/>
      <c r="S884" s="140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</row>
    <row r="885" ht="12.0" hidden="1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139"/>
      <c r="L885" s="67"/>
      <c r="M885" s="67"/>
      <c r="N885" s="140"/>
      <c r="O885" s="67"/>
      <c r="P885" s="67"/>
      <c r="Q885" s="67"/>
      <c r="R885" s="67"/>
      <c r="S885" s="140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</row>
    <row r="886" ht="12.0" hidden="1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139"/>
      <c r="L886" s="67"/>
      <c r="M886" s="67"/>
      <c r="N886" s="140"/>
      <c r="O886" s="67"/>
      <c r="P886" s="67"/>
      <c r="Q886" s="67"/>
      <c r="R886" s="67"/>
      <c r="S886" s="140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</row>
    <row r="887" ht="12.0" hidden="1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139"/>
      <c r="L887" s="67"/>
      <c r="M887" s="67"/>
      <c r="N887" s="140"/>
      <c r="O887" s="67"/>
      <c r="P887" s="67"/>
      <c r="Q887" s="67"/>
      <c r="R887" s="67"/>
      <c r="S887" s="140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</row>
    <row r="888" ht="12.0" hidden="1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139"/>
      <c r="L888" s="67"/>
      <c r="M888" s="67"/>
      <c r="N888" s="140"/>
      <c r="O888" s="67"/>
      <c r="P888" s="67"/>
      <c r="Q888" s="67"/>
      <c r="R888" s="67"/>
      <c r="S888" s="140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</row>
    <row r="889" ht="12.0" hidden="1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139"/>
      <c r="L889" s="67"/>
      <c r="M889" s="67"/>
      <c r="N889" s="140"/>
      <c r="O889" s="67"/>
      <c r="P889" s="67"/>
      <c r="Q889" s="67"/>
      <c r="R889" s="67"/>
      <c r="S889" s="140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</row>
    <row r="890" ht="12.0" hidden="1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139"/>
      <c r="L890" s="67"/>
      <c r="M890" s="67"/>
      <c r="N890" s="140"/>
      <c r="O890" s="67"/>
      <c r="P890" s="67"/>
      <c r="Q890" s="67"/>
      <c r="R890" s="67"/>
      <c r="S890" s="140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</row>
    <row r="891" ht="12.0" hidden="1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139"/>
      <c r="L891" s="67"/>
      <c r="M891" s="67"/>
      <c r="N891" s="140"/>
      <c r="O891" s="67"/>
      <c r="P891" s="67"/>
      <c r="Q891" s="67"/>
      <c r="R891" s="67"/>
      <c r="S891" s="140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</row>
    <row r="892" ht="12.0" hidden="1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139"/>
      <c r="L892" s="67"/>
      <c r="M892" s="67"/>
      <c r="N892" s="140"/>
      <c r="O892" s="67"/>
      <c r="P892" s="67"/>
      <c r="Q892" s="67"/>
      <c r="R892" s="67"/>
      <c r="S892" s="140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</row>
    <row r="893" ht="12.0" hidden="1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139"/>
      <c r="L893" s="67"/>
      <c r="M893" s="67"/>
      <c r="N893" s="140"/>
      <c r="O893" s="67"/>
      <c r="P893" s="67"/>
      <c r="Q893" s="67"/>
      <c r="R893" s="67"/>
      <c r="S893" s="140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</row>
    <row r="894" ht="12.0" hidden="1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139"/>
      <c r="L894" s="67"/>
      <c r="M894" s="67"/>
      <c r="N894" s="140"/>
      <c r="O894" s="67"/>
      <c r="P894" s="67"/>
      <c r="Q894" s="67"/>
      <c r="R894" s="67"/>
      <c r="S894" s="140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</row>
    <row r="895" ht="12.0" hidden="1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139"/>
      <c r="L895" s="67"/>
      <c r="M895" s="67"/>
      <c r="N895" s="140"/>
      <c r="O895" s="67"/>
      <c r="P895" s="67"/>
      <c r="Q895" s="67"/>
      <c r="R895" s="67"/>
      <c r="S895" s="140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</row>
    <row r="896" ht="12.0" hidden="1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139"/>
      <c r="L896" s="67"/>
      <c r="M896" s="67"/>
      <c r="N896" s="140"/>
      <c r="O896" s="67"/>
      <c r="P896" s="67"/>
      <c r="Q896" s="67"/>
      <c r="R896" s="67"/>
      <c r="S896" s="140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</row>
    <row r="897" ht="12.0" hidden="1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139"/>
      <c r="L897" s="67"/>
      <c r="M897" s="67"/>
      <c r="N897" s="140"/>
      <c r="O897" s="67"/>
      <c r="P897" s="67"/>
      <c r="Q897" s="67"/>
      <c r="R897" s="67"/>
      <c r="S897" s="140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</row>
    <row r="898" ht="12.0" hidden="1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139"/>
      <c r="L898" s="67"/>
      <c r="M898" s="67"/>
      <c r="N898" s="140"/>
      <c r="O898" s="67"/>
      <c r="P898" s="67"/>
      <c r="Q898" s="67"/>
      <c r="R898" s="67"/>
      <c r="S898" s="140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</row>
    <row r="899" ht="12.0" hidden="1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139"/>
      <c r="L899" s="67"/>
      <c r="M899" s="67"/>
      <c r="N899" s="140"/>
      <c r="O899" s="67"/>
      <c r="P899" s="67"/>
      <c r="Q899" s="67"/>
      <c r="R899" s="67"/>
      <c r="S899" s="140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</row>
    <row r="900" ht="12.0" hidden="1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139"/>
      <c r="L900" s="67"/>
      <c r="M900" s="67"/>
      <c r="N900" s="140"/>
      <c r="O900" s="67"/>
      <c r="P900" s="67"/>
      <c r="Q900" s="67"/>
      <c r="R900" s="67"/>
      <c r="S900" s="140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</row>
    <row r="901" ht="12.0" hidden="1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139"/>
      <c r="L901" s="67"/>
      <c r="M901" s="67"/>
      <c r="N901" s="140"/>
      <c r="O901" s="67"/>
      <c r="P901" s="67"/>
      <c r="Q901" s="67"/>
      <c r="R901" s="67"/>
      <c r="S901" s="140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</row>
    <row r="902" ht="12.0" hidden="1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139"/>
      <c r="L902" s="67"/>
      <c r="M902" s="67"/>
      <c r="N902" s="140"/>
      <c r="O902" s="67"/>
      <c r="P902" s="67"/>
      <c r="Q902" s="67"/>
      <c r="R902" s="67"/>
      <c r="S902" s="140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</row>
    <row r="903" ht="12.0" hidden="1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139"/>
      <c r="L903" s="67"/>
      <c r="M903" s="67"/>
      <c r="N903" s="140"/>
      <c r="O903" s="67"/>
      <c r="P903" s="67"/>
      <c r="Q903" s="67"/>
      <c r="R903" s="67"/>
      <c r="S903" s="140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</row>
    <row r="904" ht="12.0" hidden="1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139"/>
      <c r="L904" s="67"/>
      <c r="M904" s="67"/>
      <c r="N904" s="140"/>
      <c r="O904" s="67"/>
      <c r="P904" s="67"/>
      <c r="Q904" s="67"/>
      <c r="R904" s="67"/>
      <c r="S904" s="140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</row>
    <row r="905" ht="12.0" hidden="1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139"/>
      <c r="L905" s="67"/>
      <c r="M905" s="67"/>
      <c r="N905" s="140"/>
      <c r="O905" s="67"/>
      <c r="P905" s="67"/>
      <c r="Q905" s="67"/>
      <c r="R905" s="67"/>
      <c r="S905" s="140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</row>
    <row r="906" ht="12.0" hidden="1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139"/>
      <c r="L906" s="67"/>
      <c r="M906" s="67"/>
      <c r="N906" s="140"/>
      <c r="O906" s="67"/>
      <c r="P906" s="67"/>
      <c r="Q906" s="67"/>
      <c r="R906" s="67"/>
      <c r="S906" s="140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</row>
    <row r="907" ht="12.0" hidden="1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139"/>
      <c r="L907" s="67"/>
      <c r="M907" s="67"/>
      <c r="N907" s="140"/>
      <c r="O907" s="67"/>
      <c r="P907" s="67"/>
      <c r="Q907" s="67"/>
      <c r="R907" s="67"/>
      <c r="S907" s="140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</row>
    <row r="908" ht="12.0" hidden="1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139"/>
      <c r="L908" s="67"/>
      <c r="M908" s="67"/>
      <c r="N908" s="140"/>
      <c r="O908" s="67"/>
      <c r="P908" s="67"/>
      <c r="Q908" s="67"/>
      <c r="R908" s="67"/>
      <c r="S908" s="140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</row>
    <row r="909" ht="12.0" hidden="1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139"/>
      <c r="L909" s="67"/>
      <c r="M909" s="67"/>
      <c r="N909" s="140"/>
      <c r="O909" s="67"/>
      <c r="P909" s="67"/>
      <c r="Q909" s="67"/>
      <c r="R909" s="67"/>
      <c r="S909" s="140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</row>
    <row r="910" ht="12.0" hidden="1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139"/>
      <c r="L910" s="67"/>
      <c r="M910" s="67"/>
      <c r="N910" s="140"/>
      <c r="O910" s="67"/>
      <c r="P910" s="67"/>
      <c r="Q910" s="67"/>
      <c r="R910" s="67"/>
      <c r="S910" s="140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</row>
    <row r="911" ht="12.0" hidden="1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139"/>
      <c r="L911" s="67"/>
      <c r="M911" s="67"/>
      <c r="N911" s="140"/>
      <c r="O911" s="67"/>
      <c r="P911" s="67"/>
      <c r="Q911" s="67"/>
      <c r="R911" s="67"/>
      <c r="S911" s="140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</row>
    <row r="912" ht="12.0" hidden="1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139"/>
      <c r="L912" s="67"/>
      <c r="M912" s="67"/>
      <c r="N912" s="140"/>
      <c r="O912" s="67"/>
      <c r="P912" s="67"/>
      <c r="Q912" s="67"/>
      <c r="R912" s="67"/>
      <c r="S912" s="140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</row>
    <row r="913" ht="12.0" hidden="1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139"/>
      <c r="L913" s="67"/>
      <c r="M913" s="67"/>
      <c r="N913" s="140"/>
      <c r="O913" s="67"/>
      <c r="P913" s="67"/>
      <c r="Q913" s="67"/>
      <c r="R913" s="67"/>
      <c r="S913" s="140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</row>
    <row r="914" ht="12.0" hidden="1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139"/>
      <c r="L914" s="67"/>
      <c r="M914" s="67"/>
      <c r="N914" s="140"/>
      <c r="O914" s="67"/>
      <c r="P914" s="67"/>
      <c r="Q914" s="67"/>
      <c r="R914" s="67"/>
      <c r="S914" s="140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</row>
    <row r="915" ht="12.0" hidden="1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139"/>
      <c r="L915" s="67"/>
      <c r="M915" s="67"/>
      <c r="N915" s="140"/>
      <c r="O915" s="67"/>
      <c r="P915" s="67"/>
      <c r="Q915" s="67"/>
      <c r="R915" s="67"/>
      <c r="S915" s="140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</row>
    <row r="916" ht="12.0" hidden="1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139"/>
      <c r="L916" s="67"/>
      <c r="M916" s="67"/>
      <c r="N916" s="140"/>
      <c r="O916" s="67"/>
      <c r="P916" s="67"/>
      <c r="Q916" s="67"/>
      <c r="R916" s="67"/>
      <c r="S916" s="140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</row>
    <row r="917" ht="12.0" hidden="1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139"/>
      <c r="L917" s="67"/>
      <c r="M917" s="67"/>
      <c r="N917" s="140"/>
      <c r="O917" s="67"/>
      <c r="P917" s="67"/>
      <c r="Q917" s="67"/>
      <c r="R917" s="67"/>
      <c r="S917" s="140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</row>
    <row r="918" ht="12.0" hidden="1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139"/>
      <c r="L918" s="67"/>
      <c r="M918" s="67"/>
      <c r="N918" s="140"/>
      <c r="O918" s="67"/>
      <c r="P918" s="67"/>
      <c r="Q918" s="67"/>
      <c r="R918" s="67"/>
      <c r="S918" s="140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</row>
    <row r="919" ht="12.0" hidden="1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139"/>
      <c r="L919" s="67"/>
      <c r="M919" s="67"/>
      <c r="N919" s="140"/>
      <c r="O919" s="67"/>
      <c r="P919" s="67"/>
      <c r="Q919" s="67"/>
      <c r="R919" s="67"/>
      <c r="S919" s="140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</row>
    <row r="920" ht="12.0" hidden="1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139"/>
      <c r="L920" s="67"/>
      <c r="M920" s="67"/>
      <c r="N920" s="140"/>
      <c r="O920" s="67"/>
      <c r="P920" s="67"/>
      <c r="Q920" s="67"/>
      <c r="R920" s="67"/>
      <c r="S920" s="140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</row>
    <row r="921" ht="12.0" hidden="1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139"/>
      <c r="L921" s="67"/>
      <c r="M921" s="67"/>
      <c r="N921" s="140"/>
      <c r="O921" s="67"/>
      <c r="P921" s="67"/>
      <c r="Q921" s="67"/>
      <c r="R921" s="67"/>
      <c r="S921" s="140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</row>
    <row r="922" ht="12.0" hidden="1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139"/>
      <c r="L922" s="67"/>
      <c r="M922" s="67"/>
      <c r="N922" s="140"/>
      <c r="O922" s="67"/>
      <c r="P922" s="67"/>
      <c r="Q922" s="67"/>
      <c r="R922" s="67"/>
      <c r="S922" s="140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</row>
    <row r="923" ht="12.0" hidden="1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139"/>
      <c r="L923" s="67"/>
      <c r="M923" s="67"/>
      <c r="N923" s="140"/>
      <c r="O923" s="67"/>
      <c r="P923" s="67"/>
      <c r="Q923" s="67"/>
      <c r="R923" s="67"/>
      <c r="S923" s="140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</row>
    <row r="924" ht="12.0" hidden="1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139"/>
      <c r="L924" s="67"/>
      <c r="M924" s="67"/>
      <c r="N924" s="140"/>
      <c r="O924" s="67"/>
      <c r="P924" s="67"/>
      <c r="Q924" s="67"/>
      <c r="R924" s="67"/>
      <c r="S924" s="140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</row>
    <row r="925" ht="12.0" hidden="1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139"/>
      <c r="L925" s="67"/>
      <c r="M925" s="67"/>
      <c r="N925" s="140"/>
      <c r="O925" s="67"/>
      <c r="P925" s="67"/>
      <c r="Q925" s="67"/>
      <c r="R925" s="67"/>
      <c r="S925" s="140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</row>
    <row r="926" ht="12.0" hidden="1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139"/>
      <c r="L926" s="67"/>
      <c r="M926" s="67"/>
      <c r="N926" s="140"/>
      <c r="O926" s="67"/>
      <c r="P926" s="67"/>
      <c r="Q926" s="67"/>
      <c r="R926" s="67"/>
      <c r="S926" s="140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</row>
    <row r="927" ht="12.0" hidden="1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139"/>
      <c r="L927" s="67"/>
      <c r="M927" s="67"/>
      <c r="N927" s="140"/>
      <c r="O927" s="67"/>
      <c r="P927" s="67"/>
      <c r="Q927" s="67"/>
      <c r="R927" s="67"/>
      <c r="S927" s="140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</row>
    <row r="928" ht="12.0" hidden="1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139"/>
      <c r="L928" s="67"/>
      <c r="M928" s="67"/>
      <c r="N928" s="140"/>
      <c r="O928" s="67"/>
      <c r="P928" s="67"/>
      <c r="Q928" s="67"/>
      <c r="R928" s="67"/>
      <c r="S928" s="140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</row>
    <row r="929" ht="12.0" hidden="1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139"/>
      <c r="L929" s="67"/>
      <c r="M929" s="67"/>
      <c r="N929" s="140"/>
      <c r="O929" s="67"/>
      <c r="P929" s="67"/>
      <c r="Q929" s="67"/>
      <c r="R929" s="67"/>
      <c r="S929" s="140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</row>
    <row r="930" ht="12.0" hidden="1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139"/>
      <c r="L930" s="67"/>
      <c r="M930" s="67"/>
      <c r="N930" s="140"/>
      <c r="O930" s="67"/>
      <c r="P930" s="67"/>
      <c r="Q930" s="67"/>
      <c r="R930" s="67"/>
      <c r="S930" s="140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</row>
    <row r="931" ht="12.0" hidden="1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139"/>
      <c r="L931" s="67"/>
      <c r="M931" s="67"/>
      <c r="N931" s="140"/>
      <c r="O931" s="67"/>
      <c r="P931" s="67"/>
      <c r="Q931" s="67"/>
      <c r="R931" s="67"/>
      <c r="S931" s="140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</row>
    <row r="932" ht="12.0" hidden="1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139"/>
      <c r="L932" s="67"/>
      <c r="M932" s="67"/>
      <c r="N932" s="140"/>
      <c r="O932" s="67"/>
      <c r="P932" s="67"/>
      <c r="Q932" s="67"/>
      <c r="R932" s="67"/>
      <c r="S932" s="140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</row>
    <row r="933" ht="12.0" hidden="1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139"/>
      <c r="L933" s="67"/>
      <c r="M933" s="67"/>
      <c r="N933" s="140"/>
      <c r="O933" s="67"/>
      <c r="P933" s="67"/>
      <c r="Q933" s="67"/>
      <c r="R933" s="67"/>
      <c r="S933" s="140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</row>
    <row r="934" ht="12.0" hidden="1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139"/>
      <c r="L934" s="67"/>
      <c r="M934" s="67"/>
      <c r="N934" s="140"/>
      <c r="O934" s="67"/>
      <c r="P934" s="67"/>
      <c r="Q934" s="67"/>
      <c r="R934" s="67"/>
      <c r="S934" s="140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</row>
    <row r="935" ht="12.0" hidden="1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139"/>
      <c r="L935" s="67"/>
      <c r="M935" s="67"/>
      <c r="N935" s="140"/>
      <c r="O935" s="67"/>
      <c r="P935" s="67"/>
      <c r="Q935" s="67"/>
      <c r="R935" s="67"/>
      <c r="S935" s="140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</row>
    <row r="936" ht="12.0" hidden="1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139"/>
      <c r="L936" s="67"/>
      <c r="M936" s="67"/>
      <c r="N936" s="140"/>
      <c r="O936" s="67"/>
      <c r="P936" s="67"/>
      <c r="Q936" s="67"/>
      <c r="R936" s="67"/>
      <c r="S936" s="140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ht="12.0" hidden="1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139"/>
      <c r="L937" s="67"/>
      <c r="M937" s="67"/>
      <c r="N937" s="140"/>
      <c r="O937" s="67"/>
      <c r="P937" s="67"/>
      <c r="Q937" s="67"/>
      <c r="R937" s="67"/>
      <c r="S937" s="140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</row>
    <row r="938" ht="12.0" hidden="1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139"/>
      <c r="L938" s="67"/>
      <c r="M938" s="67"/>
      <c r="N938" s="140"/>
      <c r="O938" s="67"/>
      <c r="P938" s="67"/>
      <c r="Q938" s="67"/>
      <c r="R938" s="67"/>
      <c r="S938" s="140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</row>
    <row r="939" ht="12.0" hidden="1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139"/>
      <c r="L939" s="67"/>
      <c r="M939" s="67"/>
      <c r="N939" s="140"/>
      <c r="O939" s="67"/>
      <c r="P939" s="67"/>
      <c r="Q939" s="67"/>
      <c r="R939" s="67"/>
      <c r="S939" s="140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</row>
    <row r="940" ht="12.0" hidden="1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139"/>
      <c r="L940" s="67"/>
      <c r="M940" s="67"/>
      <c r="N940" s="140"/>
      <c r="O940" s="67"/>
      <c r="P940" s="67"/>
      <c r="Q940" s="67"/>
      <c r="R940" s="67"/>
      <c r="S940" s="140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</row>
    <row r="941" ht="12.0" hidden="1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139"/>
      <c r="L941" s="67"/>
      <c r="M941" s="67"/>
      <c r="N941" s="140"/>
      <c r="O941" s="67"/>
      <c r="P941" s="67"/>
      <c r="Q941" s="67"/>
      <c r="R941" s="67"/>
      <c r="S941" s="140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</row>
    <row r="942" ht="12.0" hidden="1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139"/>
      <c r="L942" s="67"/>
      <c r="M942" s="67"/>
      <c r="N942" s="140"/>
      <c r="O942" s="67"/>
      <c r="P942" s="67"/>
      <c r="Q942" s="67"/>
      <c r="R942" s="67"/>
      <c r="S942" s="140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</row>
    <row r="943" ht="12.0" hidden="1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139"/>
      <c r="L943" s="67"/>
      <c r="M943" s="67"/>
      <c r="N943" s="140"/>
      <c r="O943" s="67"/>
      <c r="P943" s="67"/>
      <c r="Q943" s="67"/>
      <c r="R943" s="67"/>
      <c r="S943" s="140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</row>
    <row r="944" ht="12.0" hidden="1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139"/>
      <c r="L944" s="67"/>
      <c r="M944" s="67"/>
      <c r="N944" s="140"/>
      <c r="O944" s="67"/>
      <c r="P944" s="67"/>
      <c r="Q944" s="67"/>
      <c r="R944" s="67"/>
      <c r="S944" s="140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</row>
    <row r="945" ht="12.0" hidden="1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139"/>
      <c r="L945" s="67"/>
      <c r="M945" s="67"/>
      <c r="N945" s="140"/>
      <c r="O945" s="67"/>
      <c r="P945" s="67"/>
      <c r="Q945" s="67"/>
      <c r="R945" s="67"/>
      <c r="S945" s="140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</row>
    <row r="946" ht="12.0" hidden="1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139"/>
      <c r="L946" s="67"/>
      <c r="M946" s="67"/>
      <c r="N946" s="140"/>
      <c r="O946" s="67"/>
      <c r="P946" s="67"/>
      <c r="Q946" s="67"/>
      <c r="R946" s="67"/>
      <c r="S946" s="140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</row>
    <row r="947" ht="12.0" hidden="1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139"/>
      <c r="L947" s="67"/>
      <c r="M947" s="67"/>
      <c r="N947" s="140"/>
      <c r="O947" s="67"/>
      <c r="P947" s="67"/>
      <c r="Q947" s="67"/>
      <c r="R947" s="67"/>
      <c r="S947" s="140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</row>
    <row r="948" ht="12.0" hidden="1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139"/>
      <c r="L948" s="67"/>
      <c r="M948" s="67"/>
      <c r="N948" s="140"/>
      <c r="O948" s="67"/>
      <c r="P948" s="67"/>
      <c r="Q948" s="67"/>
      <c r="R948" s="67"/>
      <c r="S948" s="140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</row>
    <row r="949" ht="12.0" hidden="1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139"/>
      <c r="L949" s="67"/>
      <c r="M949" s="67"/>
      <c r="N949" s="140"/>
      <c r="O949" s="67"/>
      <c r="P949" s="67"/>
      <c r="Q949" s="67"/>
      <c r="R949" s="67"/>
      <c r="S949" s="140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</row>
    <row r="950" ht="12.0" hidden="1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139"/>
      <c r="L950" s="67"/>
      <c r="M950" s="67"/>
      <c r="N950" s="140"/>
      <c r="O950" s="67"/>
      <c r="P950" s="67"/>
      <c r="Q950" s="67"/>
      <c r="R950" s="67"/>
      <c r="S950" s="140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</row>
    <row r="951" ht="12.0" hidden="1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139"/>
      <c r="L951" s="67"/>
      <c r="M951" s="67"/>
      <c r="N951" s="140"/>
      <c r="O951" s="67"/>
      <c r="P951" s="67"/>
      <c r="Q951" s="67"/>
      <c r="R951" s="67"/>
      <c r="S951" s="140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</row>
    <row r="952" ht="12.0" hidden="1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139"/>
      <c r="L952" s="67"/>
      <c r="M952" s="67"/>
      <c r="N952" s="140"/>
      <c r="O952" s="67"/>
      <c r="P952" s="67"/>
      <c r="Q952" s="67"/>
      <c r="R952" s="67"/>
      <c r="S952" s="140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</row>
    <row r="953" ht="12.0" hidden="1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139"/>
      <c r="L953" s="67"/>
      <c r="M953" s="67"/>
      <c r="N953" s="140"/>
      <c r="O953" s="67"/>
      <c r="P953" s="67"/>
      <c r="Q953" s="67"/>
      <c r="R953" s="67"/>
      <c r="S953" s="140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</row>
    <row r="954" ht="12.0" hidden="1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139"/>
      <c r="L954" s="67"/>
      <c r="M954" s="67"/>
      <c r="N954" s="140"/>
      <c r="O954" s="67"/>
      <c r="P954" s="67"/>
      <c r="Q954" s="67"/>
      <c r="R954" s="67"/>
      <c r="S954" s="140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</row>
    <row r="955" ht="12.0" hidden="1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139"/>
      <c r="L955" s="67"/>
      <c r="M955" s="67"/>
      <c r="N955" s="140"/>
      <c r="O955" s="67"/>
      <c r="P955" s="67"/>
      <c r="Q955" s="67"/>
      <c r="R955" s="67"/>
      <c r="S955" s="140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</row>
    <row r="956" ht="12.0" hidden="1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139"/>
      <c r="L956" s="67"/>
      <c r="M956" s="67"/>
      <c r="N956" s="140"/>
      <c r="O956" s="67"/>
      <c r="P956" s="67"/>
      <c r="Q956" s="67"/>
      <c r="R956" s="67"/>
      <c r="S956" s="140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</row>
    <row r="957" ht="12.0" hidden="1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139"/>
      <c r="L957" s="67"/>
      <c r="M957" s="67"/>
      <c r="N957" s="140"/>
      <c r="O957" s="67"/>
      <c r="P957" s="67"/>
      <c r="Q957" s="67"/>
      <c r="R957" s="67"/>
      <c r="S957" s="140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</row>
    <row r="958" ht="12.0" hidden="1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139"/>
      <c r="L958" s="67"/>
      <c r="M958" s="67"/>
      <c r="N958" s="140"/>
      <c r="O958" s="67"/>
      <c r="P958" s="67"/>
      <c r="Q958" s="67"/>
      <c r="R958" s="67"/>
      <c r="S958" s="140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</row>
    <row r="959" ht="12.0" hidden="1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139"/>
      <c r="L959" s="67"/>
      <c r="M959" s="67"/>
      <c r="N959" s="140"/>
      <c r="O959" s="67"/>
      <c r="P959" s="67"/>
      <c r="Q959" s="67"/>
      <c r="R959" s="67"/>
      <c r="S959" s="140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</row>
    <row r="960" ht="12.0" hidden="1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139"/>
      <c r="L960" s="67"/>
      <c r="M960" s="67"/>
      <c r="N960" s="140"/>
      <c r="O960" s="67"/>
      <c r="P960" s="67"/>
      <c r="Q960" s="67"/>
      <c r="R960" s="67"/>
      <c r="S960" s="140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</row>
    <row r="961" ht="12.0" hidden="1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139"/>
      <c r="L961" s="67"/>
      <c r="M961" s="67"/>
      <c r="N961" s="140"/>
      <c r="O961" s="67"/>
      <c r="P961" s="67"/>
      <c r="Q961" s="67"/>
      <c r="R961" s="67"/>
      <c r="S961" s="140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</row>
    <row r="962" ht="12.0" hidden="1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139"/>
      <c r="L962" s="67"/>
      <c r="M962" s="67"/>
      <c r="N962" s="140"/>
      <c r="O962" s="67"/>
      <c r="P962" s="67"/>
      <c r="Q962" s="67"/>
      <c r="R962" s="67"/>
      <c r="S962" s="140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</row>
    <row r="963" ht="12.0" hidden="1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139"/>
      <c r="L963" s="67"/>
      <c r="M963" s="67"/>
      <c r="N963" s="140"/>
      <c r="O963" s="67"/>
      <c r="P963" s="67"/>
      <c r="Q963" s="67"/>
      <c r="R963" s="67"/>
      <c r="S963" s="140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</row>
    <row r="964" ht="12.0" hidden="1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139"/>
      <c r="L964" s="67"/>
      <c r="M964" s="67"/>
      <c r="N964" s="140"/>
      <c r="O964" s="67"/>
      <c r="P964" s="67"/>
      <c r="Q964" s="67"/>
      <c r="R964" s="67"/>
      <c r="S964" s="140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</row>
    <row r="965" ht="12.0" hidden="1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139"/>
      <c r="L965" s="67"/>
      <c r="M965" s="67"/>
      <c r="N965" s="140"/>
      <c r="O965" s="67"/>
      <c r="P965" s="67"/>
      <c r="Q965" s="67"/>
      <c r="R965" s="67"/>
      <c r="S965" s="140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</row>
    <row r="966" ht="12.0" hidden="1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139"/>
      <c r="L966" s="67"/>
      <c r="M966" s="67"/>
      <c r="N966" s="140"/>
      <c r="O966" s="67"/>
      <c r="P966" s="67"/>
      <c r="Q966" s="67"/>
      <c r="R966" s="67"/>
      <c r="S966" s="140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</row>
    <row r="967" ht="12.0" hidden="1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139"/>
      <c r="L967" s="67"/>
      <c r="M967" s="67"/>
      <c r="N967" s="140"/>
      <c r="O967" s="67"/>
      <c r="P967" s="67"/>
      <c r="Q967" s="67"/>
      <c r="R967" s="67"/>
      <c r="S967" s="140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</row>
    <row r="968" ht="12.0" hidden="1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139"/>
      <c r="L968" s="67"/>
      <c r="M968" s="67"/>
      <c r="N968" s="140"/>
      <c r="O968" s="67"/>
      <c r="P968" s="67"/>
      <c r="Q968" s="67"/>
      <c r="R968" s="67"/>
      <c r="S968" s="140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</row>
    <row r="969" ht="12.0" hidden="1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139"/>
      <c r="L969" s="67"/>
      <c r="M969" s="67"/>
      <c r="N969" s="140"/>
      <c r="O969" s="67"/>
      <c r="P969" s="67"/>
      <c r="Q969" s="67"/>
      <c r="R969" s="67"/>
      <c r="S969" s="140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</row>
    <row r="970" ht="12.0" hidden="1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139"/>
      <c r="L970" s="67"/>
      <c r="M970" s="67"/>
      <c r="N970" s="140"/>
      <c r="O970" s="67"/>
      <c r="P970" s="67"/>
      <c r="Q970" s="67"/>
      <c r="R970" s="67"/>
      <c r="S970" s="140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</row>
    <row r="971" ht="12.0" hidden="1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139"/>
      <c r="L971" s="67"/>
      <c r="M971" s="67"/>
      <c r="N971" s="140"/>
      <c r="O971" s="67"/>
      <c r="P971" s="67"/>
      <c r="Q971" s="67"/>
      <c r="R971" s="67"/>
      <c r="S971" s="140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</row>
    <row r="972" ht="12.0" hidden="1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139"/>
      <c r="L972" s="67"/>
      <c r="M972" s="67"/>
      <c r="N972" s="140"/>
      <c r="O972" s="67"/>
      <c r="P972" s="67"/>
      <c r="Q972" s="67"/>
      <c r="R972" s="67"/>
      <c r="S972" s="140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</row>
    <row r="973" ht="12.0" hidden="1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139"/>
      <c r="L973" s="67"/>
      <c r="M973" s="67"/>
      <c r="N973" s="140"/>
      <c r="O973" s="67"/>
      <c r="P973" s="67"/>
      <c r="Q973" s="67"/>
      <c r="R973" s="67"/>
      <c r="S973" s="140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</row>
    <row r="974" ht="12.0" hidden="1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139"/>
      <c r="L974" s="67"/>
      <c r="M974" s="67"/>
      <c r="N974" s="140"/>
      <c r="O974" s="67"/>
      <c r="P974" s="67"/>
      <c r="Q974" s="67"/>
      <c r="R974" s="67"/>
      <c r="S974" s="140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</row>
    <row r="975" ht="12.0" hidden="1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139"/>
      <c r="L975" s="67"/>
      <c r="M975" s="67"/>
      <c r="N975" s="140"/>
      <c r="O975" s="67"/>
      <c r="P975" s="67"/>
      <c r="Q975" s="67"/>
      <c r="R975" s="67"/>
      <c r="S975" s="140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</row>
    <row r="976" ht="12.0" hidden="1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139"/>
      <c r="L976" s="67"/>
      <c r="M976" s="67"/>
      <c r="N976" s="140"/>
      <c r="O976" s="67"/>
      <c r="P976" s="67"/>
      <c r="Q976" s="67"/>
      <c r="R976" s="67"/>
      <c r="S976" s="140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</row>
    <row r="977" ht="12.0" hidden="1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139"/>
      <c r="L977" s="67"/>
      <c r="M977" s="67"/>
      <c r="N977" s="140"/>
      <c r="O977" s="67"/>
      <c r="P977" s="67"/>
      <c r="Q977" s="67"/>
      <c r="R977" s="67"/>
      <c r="S977" s="140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</row>
    <row r="978" ht="12.0" hidden="1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139"/>
      <c r="L978" s="67"/>
      <c r="M978" s="67"/>
      <c r="N978" s="140"/>
      <c r="O978" s="67"/>
      <c r="P978" s="67"/>
      <c r="Q978" s="67"/>
      <c r="R978" s="67"/>
      <c r="S978" s="140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</row>
    <row r="979" ht="12.0" hidden="1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139"/>
      <c r="L979" s="67"/>
      <c r="M979" s="67"/>
      <c r="N979" s="140"/>
      <c r="O979" s="67"/>
      <c r="P979" s="67"/>
      <c r="Q979" s="67"/>
      <c r="R979" s="67"/>
      <c r="S979" s="140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</row>
    <row r="980" ht="12.0" hidden="1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139"/>
      <c r="L980" s="67"/>
      <c r="M980" s="67"/>
      <c r="N980" s="140"/>
      <c r="O980" s="67"/>
      <c r="P980" s="67"/>
      <c r="Q980" s="67"/>
      <c r="R980" s="67"/>
      <c r="S980" s="140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</row>
    <row r="981" ht="12.0" hidden="1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139"/>
      <c r="L981" s="67"/>
      <c r="M981" s="67"/>
      <c r="N981" s="140"/>
      <c r="O981" s="67"/>
      <c r="P981" s="67"/>
      <c r="Q981" s="67"/>
      <c r="R981" s="67"/>
      <c r="S981" s="140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</row>
    <row r="982" ht="12.0" hidden="1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139"/>
      <c r="L982" s="67"/>
      <c r="M982" s="67"/>
      <c r="N982" s="140"/>
      <c r="O982" s="67"/>
      <c r="P982" s="67"/>
      <c r="Q982" s="67"/>
      <c r="R982" s="67"/>
      <c r="S982" s="140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</row>
    <row r="983" ht="12.0" hidden="1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139"/>
      <c r="L983" s="67"/>
      <c r="M983" s="67"/>
      <c r="N983" s="140"/>
      <c r="O983" s="67"/>
      <c r="P983" s="67"/>
      <c r="Q983" s="67"/>
      <c r="R983" s="67"/>
      <c r="S983" s="140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</row>
    <row r="984" ht="12.0" hidden="1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139"/>
      <c r="L984" s="67"/>
      <c r="M984" s="67"/>
      <c r="N984" s="140"/>
      <c r="O984" s="67"/>
      <c r="P984" s="67"/>
      <c r="Q984" s="67"/>
      <c r="R984" s="67"/>
      <c r="S984" s="140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</row>
    <row r="985" ht="12.0" hidden="1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139"/>
      <c r="L985" s="67"/>
      <c r="M985" s="67"/>
      <c r="N985" s="140"/>
      <c r="O985" s="67"/>
      <c r="P985" s="67"/>
      <c r="Q985" s="67"/>
      <c r="R985" s="67"/>
      <c r="S985" s="140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</row>
    <row r="986" ht="12.0" hidden="1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139"/>
      <c r="L986" s="67"/>
      <c r="M986" s="67"/>
      <c r="N986" s="140"/>
      <c r="O986" s="67"/>
      <c r="P986" s="67"/>
      <c r="Q986" s="67"/>
      <c r="R986" s="67"/>
      <c r="S986" s="140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</row>
    <row r="987" ht="12.0" hidden="1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139"/>
      <c r="L987" s="67"/>
      <c r="M987" s="67"/>
      <c r="N987" s="140"/>
      <c r="O987" s="67"/>
      <c r="P987" s="67"/>
      <c r="Q987" s="67"/>
      <c r="R987" s="67"/>
      <c r="S987" s="140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</row>
    <row r="988" ht="12.0" hidden="1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139"/>
      <c r="L988" s="67"/>
      <c r="M988" s="67"/>
      <c r="N988" s="140"/>
      <c r="O988" s="67"/>
      <c r="P988" s="67"/>
      <c r="Q988" s="67"/>
      <c r="R988" s="67"/>
      <c r="S988" s="140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</row>
    <row r="989" ht="12.0" hidden="1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139"/>
      <c r="L989" s="67"/>
      <c r="M989" s="67"/>
      <c r="N989" s="140"/>
      <c r="O989" s="67"/>
      <c r="P989" s="67"/>
      <c r="Q989" s="67"/>
      <c r="R989" s="67"/>
      <c r="S989" s="140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ht="12.0" hidden="1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139"/>
      <c r="L990" s="67"/>
      <c r="M990" s="67"/>
      <c r="N990" s="140"/>
      <c r="O990" s="67"/>
      <c r="P990" s="67"/>
      <c r="Q990" s="67"/>
      <c r="R990" s="67"/>
      <c r="S990" s="140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</row>
    <row r="991" ht="12.0" hidden="1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139"/>
      <c r="L991" s="67"/>
      <c r="M991" s="67"/>
      <c r="N991" s="140"/>
      <c r="O991" s="67"/>
      <c r="P991" s="67"/>
      <c r="Q991" s="67"/>
      <c r="R991" s="67"/>
      <c r="S991" s="140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</row>
    <row r="992" ht="12.0" hidden="1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139"/>
      <c r="L992" s="67"/>
      <c r="M992" s="67"/>
      <c r="N992" s="140"/>
      <c r="O992" s="67"/>
      <c r="P992" s="67"/>
      <c r="Q992" s="67"/>
      <c r="R992" s="67"/>
      <c r="S992" s="140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</row>
    <row r="993" ht="12.0" hidden="1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139"/>
      <c r="L993" s="67"/>
      <c r="M993" s="67"/>
      <c r="N993" s="140"/>
      <c r="O993" s="67"/>
      <c r="P993" s="67"/>
      <c r="Q993" s="67"/>
      <c r="R993" s="67"/>
      <c r="S993" s="140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</row>
    <row r="994" ht="12.0" hidden="1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139"/>
      <c r="L994" s="67"/>
      <c r="M994" s="67"/>
      <c r="N994" s="140"/>
      <c r="O994" s="67"/>
      <c r="P994" s="67"/>
      <c r="Q994" s="67"/>
      <c r="R994" s="67"/>
      <c r="S994" s="140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</row>
    <row r="995" ht="12.0" hidden="1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139"/>
      <c r="L995" s="67"/>
      <c r="M995" s="67"/>
      <c r="N995" s="140"/>
      <c r="O995" s="67"/>
      <c r="P995" s="67"/>
      <c r="Q995" s="67"/>
      <c r="R995" s="67"/>
      <c r="S995" s="140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</row>
    <row r="996" ht="12.0" hidden="1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139"/>
      <c r="L996" s="67"/>
      <c r="M996" s="67"/>
      <c r="N996" s="140"/>
      <c r="O996" s="67"/>
      <c r="P996" s="67"/>
      <c r="Q996" s="67"/>
      <c r="R996" s="67"/>
      <c r="S996" s="140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</row>
    <row r="997" ht="12.0" hidden="1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139"/>
      <c r="L997" s="67"/>
      <c r="M997" s="67"/>
      <c r="N997" s="140"/>
      <c r="O997" s="67"/>
      <c r="P997" s="67"/>
      <c r="Q997" s="67"/>
      <c r="R997" s="67"/>
      <c r="S997" s="140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</row>
    <row r="998" ht="12.0" hidden="1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139"/>
      <c r="L998" s="67"/>
      <c r="M998" s="67"/>
      <c r="N998" s="140"/>
      <c r="O998" s="67"/>
      <c r="P998" s="67"/>
      <c r="Q998" s="67"/>
      <c r="R998" s="67"/>
      <c r="S998" s="140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</row>
    <row r="999" ht="12.0" hidden="1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139"/>
      <c r="L999" s="67"/>
      <c r="M999" s="67"/>
      <c r="N999" s="140"/>
      <c r="O999" s="67"/>
      <c r="P999" s="67"/>
      <c r="Q999" s="67"/>
      <c r="R999" s="67"/>
      <c r="S999" s="140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</row>
    <row r="1000" ht="12.0" hidden="1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139"/>
      <c r="L1000" s="67"/>
      <c r="M1000" s="67"/>
      <c r="N1000" s="140"/>
      <c r="O1000" s="67"/>
      <c r="P1000" s="67"/>
      <c r="Q1000" s="67"/>
      <c r="R1000" s="67"/>
      <c r="S1000" s="140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</row>
    <row r="1001" ht="12.0" hidden="1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139"/>
      <c r="L1001" s="67"/>
      <c r="M1001" s="67"/>
      <c r="N1001" s="140"/>
      <c r="O1001" s="67"/>
      <c r="P1001" s="67"/>
      <c r="Q1001" s="67"/>
      <c r="R1001" s="67"/>
      <c r="S1001" s="140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</row>
    <row r="1002" ht="12.0" hidden="1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67"/>
      <c r="K1002" s="139"/>
      <c r="L1002" s="67"/>
      <c r="M1002" s="67"/>
      <c r="N1002" s="140"/>
      <c r="O1002" s="67"/>
      <c r="P1002" s="67"/>
      <c r="Q1002" s="67"/>
      <c r="R1002" s="67"/>
      <c r="S1002" s="140"/>
      <c r="T1002" s="67"/>
      <c r="U1002" s="67"/>
      <c r="V1002" s="67"/>
      <c r="W1002" s="67"/>
      <c r="X1002" s="67"/>
      <c r="Y1002" s="67"/>
      <c r="Z1002" s="67"/>
      <c r="AA1002" s="67"/>
      <c r="AB1002" s="67"/>
      <c r="AC1002" s="67"/>
      <c r="AD1002" s="67"/>
      <c r="AE1002" s="67"/>
      <c r="AF1002" s="67"/>
      <c r="AG1002" s="67"/>
      <c r="AH1002" s="67"/>
    </row>
    <row r="1003" ht="12.0" hidden="1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67"/>
      <c r="K1003" s="139"/>
      <c r="L1003" s="67"/>
      <c r="M1003" s="67"/>
      <c r="N1003" s="140"/>
      <c r="O1003" s="67"/>
      <c r="P1003" s="67"/>
      <c r="Q1003" s="67"/>
      <c r="R1003" s="67"/>
      <c r="S1003" s="140"/>
      <c r="T1003" s="67"/>
      <c r="U1003" s="67"/>
      <c r="V1003" s="67"/>
      <c r="W1003" s="67"/>
      <c r="X1003" s="67"/>
      <c r="Y1003" s="67"/>
      <c r="Z1003" s="67"/>
      <c r="AA1003" s="67"/>
      <c r="AB1003" s="67"/>
      <c r="AC1003" s="67"/>
      <c r="AD1003" s="67"/>
      <c r="AE1003" s="67"/>
      <c r="AF1003" s="67"/>
      <c r="AG1003" s="67"/>
      <c r="AH1003" s="67"/>
    </row>
    <row r="1004" ht="12.0" hidden="1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67"/>
      <c r="K1004" s="139"/>
      <c r="L1004" s="67"/>
      <c r="M1004" s="67"/>
      <c r="N1004" s="140"/>
      <c r="O1004" s="67"/>
      <c r="P1004" s="67"/>
      <c r="Q1004" s="67"/>
      <c r="R1004" s="67"/>
      <c r="S1004" s="140"/>
      <c r="T1004" s="67"/>
      <c r="U1004" s="67"/>
      <c r="V1004" s="67"/>
      <c r="W1004" s="67"/>
      <c r="X1004" s="67"/>
      <c r="Y1004" s="67"/>
      <c r="Z1004" s="67"/>
      <c r="AA1004" s="67"/>
      <c r="AB1004" s="67"/>
      <c r="AC1004" s="67"/>
      <c r="AD1004" s="67"/>
      <c r="AE1004" s="67"/>
      <c r="AF1004" s="67"/>
      <c r="AG1004" s="67"/>
      <c r="AH1004" s="67"/>
    </row>
    <row r="1005" ht="12.0" hidden="1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67"/>
      <c r="K1005" s="139"/>
      <c r="L1005" s="67"/>
      <c r="M1005" s="67"/>
      <c r="N1005" s="140"/>
      <c r="O1005" s="67"/>
      <c r="P1005" s="67"/>
      <c r="Q1005" s="67"/>
      <c r="R1005" s="67"/>
      <c r="S1005" s="140"/>
      <c r="T1005" s="67"/>
      <c r="U1005" s="67"/>
      <c r="V1005" s="67"/>
      <c r="W1005" s="67"/>
      <c r="X1005" s="67"/>
      <c r="Y1005" s="67"/>
      <c r="Z1005" s="67"/>
      <c r="AA1005" s="67"/>
      <c r="AB1005" s="67"/>
      <c r="AC1005" s="67"/>
      <c r="AD1005" s="67"/>
      <c r="AE1005" s="67"/>
      <c r="AF1005" s="67"/>
      <c r="AG1005" s="67"/>
      <c r="AH1005" s="67"/>
    </row>
    <row r="1006" ht="12.0" hidden="1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67"/>
      <c r="K1006" s="139"/>
      <c r="L1006" s="67"/>
      <c r="M1006" s="67"/>
      <c r="N1006" s="140"/>
      <c r="O1006" s="67"/>
      <c r="P1006" s="67"/>
      <c r="Q1006" s="67"/>
      <c r="R1006" s="67"/>
      <c r="S1006" s="140"/>
      <c r="T1006" s="67"/>
      <c r="U1006" s="67"/>
      <c r="V1006" s="67"/>
      <c r="W1006" s="67"/>
      <c r="X1006" s="67"/>
      <c r="Y1006" s="67"/>
      <c r="Z1006" s="67"/>
      <c r="AA1006" s="67"/>
      <c r="AB1006" s="67"/>
      <c r="AC1006" s="67"/>
      <c r="AD1006" s="67"/>
      <c r="AE1006" s="67"/>
      <c r="AF1006" s="67"/>
      <c r="AG1006" s="67"/>
      <c r="AH1006" s="67"/>
    </row>
    <row r="1007" ht="12.0" hidden="1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67"/>
      <c r="K1007" s="139"/>
      <c r="L1007" s="67"/>
      <c r="M1007" s="67"/>
      <c r="N1007" s="140"/>
      <c r="O1007" s="67"/>
      <c r="P1007" s="67"/>
      <c r="Q1007" s="67"/>
      <c r="R1007" s="67"/>
      <c r="S1007" s="140"/>
      <c r="T1007" s="67"/>
      <c r="U1007" s="67"/>
      <c r="V1007" s="67"/>
      <c r="W1007" s="67"/>
      <c r="X1007" s="67"/>
      <c r="Y1007" s="67"/>
      <c r="Z1007" s="67"/>
      <c r="AA1007" s="67"/>
      <c r="AB1007" s="67"/>
      <c r="AC1007" s="67"/>
      <c r="AD1007" s="67"/>
      <c r="AE1007" s="67"/>
      <c r="AF1007" s="67"/>
      <c r="AG1007" s="67"/>
      <c r="AH1007" s="67"/>
    </row>
    <row r="1008" ht="12.0" hidden="1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67"/>
      <c r="K1008" s="139"/>
      <c r="L1008" s="67"/>
      <c r="M1008" s="67"/>
      <c r="N1008" s="140"/>
      <c r="O1008" s="67"/>
      <c r="P1008" s="67"/>
      <c r="Q1008" s="67"/>
      <c r="R1008" s="67"/>
      <c r="S1008" s="140"/>
      <c r="T1008" s="67"/>
      <c r="U1008" s="67"/>
      <c r="V1008" s="67"/>
      <c r="W1008" s="67"/>
      <c r="X1008" s="67"/>
      <c r="Y1008" s="67"/>
      <c r="Z1008" s="67"/>
      <c r="AA1008" s="67"/>
      <c r="AB1008" s="67"/>
      <c r="AC1008" s="67"/>
      <c r="AD1008" s="67"/>
      <c r="AE1008" s="67"/>
      <c r="AF1008" s="67"/>
      <c r="AG1008" s="67"/>
      <c r="AH1008" s="67"/>
    </row>
    <row r="1009" ht="12.0" hidden="1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67"/>
      <c r="K1009" s="139"/>
      <c r="L1009" s="67"/>
      <c r="M1009" s="67"/>
      <c r="N1009" s="140"/>
      <c r="O1009" s="67"/>
      <c r="P1009" s="67"/>
      <c r="Q1009" s="67"/>
      <c r="R1009" s="67"/>
      <c r="S1009" s="140"/>
      <c r="T1009" s="67"/>
      <c r="U1009" s="67"/>
      <c r="V1009" s="67"/>
      <c r="W1009" s="67"/>
      <c r="X1009" s="67"/>
      <c r="Y1009" s="67"/>
      <c r="Z1009" s="67"/>
      <c r="AA1009" s="67"/>
      <c r="AB1009" s="67"/>
      <c r="AC1009" s="67"/>
      <c r="AD1009" s="67"/>
      <c r="AE1009" s="67"/>
      <c r="AF1009" s="67"/>
      <c r="AG1009" s="67"/>
      <c r="AH1009" s="67"/>
    </row>
    <row r="1010" ht="12.0" hidden="1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67"/>
      <c r="K1010" s="139"/>
      <c r="L1010" s="67"/>
      <c r="M1010" s="67"/>
      <c r="N1010" s="140"/>
      <c r="O1010" s="67"/>
      <c r="P1010" s="67"/>
      <c r="Q1010" s="67"/>
      <c r="R1010" s="67"/>
      <c r="S1010" s="140"/>
      <c r="T1010" s="67"/>
      <c r="U1010" s="67"/>
      <c r="V1010" s="67"/>
      <c r="W1010" s="67"/>
      <c r="X1010" s="67"/>
      <c r="Y1010" s="67"/>
      <c r="Z1010" s="67"/>
      <c r="AA1010" s="67"/>
      <c r="AB1010" s="67"/>
      <c r="AC1010" s="67"/>
      <c r="AD1010" s="67"/>
      <c r="AE1010" s="67"/>
      <c r="AF1010" s="67"/>
      <c r="AG1010" s="67"/>
      <c r="AH1010" s="67"/>
    </row>
    <row r="1011" ht="12.0" hidden="1" customHeight="1">
      <c r="A1011" s="67"/>
      <c r="B1011" s="67"/>
      <c r="C1011" s="67"/>
      <c r="D1011" s="67"/>
      <c r="E1011" s="67"/>
      <c r="F1011" s="67"/>
      <c r="G1011" s="67"/>
      <c r="H1011" s="67"/>
      <c r="I1011" s="67"/>
      <c r="J1011" s="67"/>
      <c r="K1011" s="139"/>
      <c r="L1011" s="67"/>
      <c r="M1011" s="67"/>
      <c r="N1011" s="140"/>
      <c r="O1011" s="67"/>
      <c r="P1011" s="67"/>
      <c r="Q1011" s="67"/>
      <c r="R1011" s="67"/>
      <c r="S1011" s="140"/>
      <c r="T1011" s="67"/>
      <c r="U1011" s="67"/>
      <c r="V1011" s="67"/>
      <c r="W1011" s="67"/>
      <c r="X1011" s="67"/>
      <c r="Y1011" s="67"/>
      <c r="Z1011" s="67"/>
      <c r="AA1011" s="67"/>
      <c r="AB1011" s="67"/>
      <c r="AC1011" s="67"/>
      <c r="AD1011" s="67"/>
      <c r="AE1011" s="67"/>
      <c r="AF1011" s="67"/>
      <c r="AG1011" s="67"/>
      <c r="AH1011" s="67"/>
    </row>
    <row r="1012" ht="12.0" hidden="1" customHeight="1">
      <c r="A1012" s="67"/>
      <c r="B1012" s="67"/>
      <c r="C1012" s="67"/>
      <c r="D1012" s="67"/>
      <c r="E1012" s="67"/>
      <c r="F1012" s="67"/>
      <c r="G1012" s="67"/>
      <c r="H1012" s="67"/>
      <c r="I1012" s="67"/>
      <c r="J1012" s="67"/>
      <c r="K1012" s="139"/>
      <c r="L1012" s="67"/>
      <c r="M1012" s="67"/>
      <c r="N1012" s="140"/>
      <c r="O1012" s="67"/>
      <c r="P1012" s="67"/>
      <c r="Q1012" s="67"/>
      <c r="R1012" s="67"/>
      <c r="S1012" s="140"/>
      <c r="T1012" s="67"/>
      <c r="U1012" s="67"/>
      <c r="V1012" s="67"/>
      <c r="W1012" s="67"/>
      <c r="X1012" s="67"/>
      <c r="Y1012" s="67"/>
      <c r="Z1012" s="67"/>
      <c r="AA1012" s="67"/>
      <c r="AB1012" s="67"/>
      <c r="AC1012" s="67"/>
      <c r="AD1012" s="67"/>
      <c r="AE1012" s="67"/>
      <c r="AF1012" s="67"/>
      <c r="AG1012" s="67"/>
      <c r="AH1012" s="67"/>
    </row>
    <row r="1013" ht="12.0" hidden="1" customHeight="1">
      <c r="A1013" s="67"/>
      <c r="B1013" s="67"/>
      <c r="C1013" s="67"/>
      <c r="D1013" s="67"/>
      <c r="E1013" s="67"/>
      <c r="F1013" s="67"/>
      <c r="G1013" s="67"/>
      <c r="H1013" s="67"/>
      <c r="I1013" s="67"/>
      <c r="J1013" s="67"/>
      <c r="K1013" s="139"/>
      <c r="L1013" s="67"/>
      <c r="M1013" s="67"/>
      <c r="N1013" s="140"/>
      <c r="O1013" s="67"/>
      <c r="P1013" s="67"/>
      <c r="Q1013" s="67"/>
      <c r="R1013" s="67"/>
      <c r="S1013" s="140"/>
      <c r="T1013" s="67"/>
      <c r="U1013" s="67"/>
      <c r="V1013" s="67"/>
      <c r="W1013" s="67"/>
      <c r="X1013" s="67"/>
      <c r="Y1013" s="67"/>
      <c r="Z1013" s="67"/>
      <c r="AA1013" s="67"/>
      <c r="AB1013" s="67"/>
      <c r="AC1013" s="67"/>
      <c r="AD1013" s="67"/>
      <c r="AE1013" s="67"/>
      <c r="AF1013" s="67"/>
      <c r="AG1013" s="67"/>
      <c r="AH1013" s="67"/>
    </row>
    <row r="1014" ht="12.0" hidden="1" customHeight="1">
      <c r="A1014" s="67"/>
      <c r="B1014" s="67"/>
      <c r="C1014" s="67"/>
      <c r="D1014" s="67"/>
      <c r="E1014" s="67"/>
      <c r="F1014" s="67"/>
      <c r="G1014" s="67"/>
      <c r="H1014" s="67"/>
      <c r="I1014" s="67"/>
      <c r="J1014" s="67"/>
      <c r="K1014" s="139"/>
      <c r="L1014" s="67"/>
      <c r="M1014" s="67"/>
      <c r="N1014" s="140"/>
      <c r="O1014" s="67"/>
      <c r="P1014" s="67"/>
      <c r="Q1014" s="67"/>
      <c r="R1014" s="67"/>
      <c r="S1014" s="140"/>
      <c r="T1014" s="67"/>
      <c r="U1014" s="67"/>
      <c r="V1014" s="67"/>
      <c r="W1014" s="67"/>
      <c r="X1014" s="67"/>
      <c r="Y1014" s="67"/>
      <c r="Z1014" s="67"/>
      <c r="AA1014" s="67"/>
      <c r="AB1014" s="67"/>
      <c r="AC1014" s="67"/>
      <c r="AD1014" s="67"/>
      <c r="AE1014" s="67"/>
      <c r="AF1014" s="67"/>
      <c r="AG1014" s="67"/>
      <c r="AH1014" s="67"/>
    </row>
    <row r="1015" ht="12.0" hidden="1" customHeight="1">
      <c r="A1015" s="67"/>
      <c r="B1015" s="67"/>
      <c r="C1015" s="67"/>
      <c r="D1015" s="67"/>
      <c r="E1015" s="67"/>
      <c r="F1015" s="67"/>
      <c r="G1015" s="67"/>
      <c r="H1015" s="67"/>
      <c r="I1015" s="67"/>
      <c r="J1015" s="67"/>
      <c r="K1015" s="139"/>
      <c r="L1015" s="67"/>
      <c r="M1015" s="67"/>
      <c r="N1015" s="140"/>
      <c r="O1015" s="67"/>
      <c r="P1015" s="67"/>
      <c r="Q1015" s="67"/>
      <c r="R1015" s="67"/>
      <c r="S1015" s="140"/>
      <c r="T1015" s="67"/>
      <c r="U1015" s="67"/>
      <c r="V1015" s="67"/>
      <c r="W1015" s="67"/>
      <c r="X1015" s="67"/>
      <c r="Y1015" s="67"/>
      <c r="Z1015" s="67"/>
      <c r="AA1015" s="67"/>
      <c r="AB1015" s="67"/>
      <c r="AC1015" s="67"/>
      <c r="AD1015" s="67"/>
      <c r="AE1015" s="67"/>
      <c r="AF1015" s="67"/>
      <c r="AG1015" s="67"/>
      <c r="AH1015" s="67"/>
    </row>
    <row r="1016" ht="12.0" hidden="1" customHeight="1">
      <c r="A1016" s="67"/>
      <c r="B1016" s="67"/>
      <c r="C1016" s="67"/>
      <c r="D1016" s="67"/>
      <c r="E1016" s="67"/>
      <c r="F1016" s="67"/>
      <c r="G1016" s="67"/>
      <c r="H1016" s="67"/>
      <c r="I1016" s="67"/>
      <c r="J1016" s="67"/>
      <c r="K1016" s="139"/>
      <c r="L1016" s="67"/>
      <c r="M1016" s="67"/>
      <c r="N1016" s="140"/>
      <c r="O1016" s="67"/>
      <c r="P1016" s="67"/>
      <c r="Q1016" s="67"/>
      <c r="R1016" s="67"/>
      <c r="S1016" s="140"/>
      <c r="T1016" s="67"/>
      <c r="U1016" s="67"/>
      <c r="V1016" s="67"/>
      <c r="W1016" s="67"/>
      <c r="X1016" s="67"/>
      <c r="Y1016" s="67"/>
      <c r="Z1016" s="67"/>
      <c r="AA1016" s="67"/>
      <c r="AB1016" s="67"/>
      <c r="AC1016" s="67"/>
      <c r="AD1016" s="67"/>
      <c r="AE1016" s="67"/>
      <c r="AF1016" s="67"/>
      <c r="AG1016" s="67"/>
      <c r="AH1016" s="67"/>
    </row>
    <row r="1017" ht="12.0" hidden="1" customHeight="1">
      <c r="A1017" s="67"/>
      <c r="B1017" s="67"/>
      <c r="C1017" s="67"/>
      <c r="D1017" s="67"/>
      <c r="E1017" s="67"/>
      <c r="F1017" s="67"/>
      <c r="G1017" s="67"/>
      <c r="H1017" s="67"/>
      <c r="I1017" s="67"/>
      <c r="J1017" s="67"/>
      <c r="K1017" s="139"/>
      <c r="L1017" s="67"/>
      <c r="M1017" s="67"/>
      <c r="N1017" s="140"/>
      <c r="O1017" s="67"/>
      <c r="P1017" s="67"/>
      <c r="Q1017" s="67"/>
      <c r="R1017" s="67"/>
      <c r="S1017" s="140"/>
      <c r="T1017" s="67"/>
      <c r="U1017" s="67"/>
      <c r="V1017" s="67"/>
      <c r="W1017" s="67"/>
      <c r="X1017" s="67"/>
      <c r="Y1017" s="67"/>
      <c r="Z1017" s="67"/>
      <c r="AA1017" s="67"/>
      <c r="AB1017" s="67"/>
      <c r="AC1017" s="67"/>
      <c r="AD1017" s="67"/>
      <c r="AE1017" s="67"/>
      <c r="AF1017" s="67"/>
      <c r="AG1017" s="67"/>
      <c r="AH1017" s="67"/>
    </row>
    <row r="1018" ht="12.0" hidden="1" customHeight="1">
      <c r="A1018" s="67"/>
      <c r="B1018" s="67"/>
      <c r="C1018" s="67"/>
      <c r="D1018" s="67"/>
      <c r="E1018" s="67"/>
      <c r="F1018" s="67"/>
      <c r="G1018" s="67"/>
      <c r="H1018" s="67"/>
      <c r="I1018" s="67"/>
      <c r="J1018" s="67"/>
      <c r="K1018" s="139"/>
      <c r="L1018" s="67"/>
      <c r="M1018" s="67"/>
      <c r="N1018" s="140"/>
      <c r="O1018" s="67"/>
      <c r="P1018" s="67"/>
      <c r="Q1018" s="67"/>
      <c r="R1018" s="67"/>
      <c r="S1018" s="140"/>
      <c r="T1018" s="67"/>
      <c r="U1018" s="67"/>
      <c r="V1018" s="67"/>
      <c r="W1018" s="67"/>
      <c r="X1018" s="67"/>
      <c r="Y1018" s="67"/>
      <c r="Z1018" s="67"/>
      <c r="AA1018" s="67"/>
      <c r="AB1018" s="67"/>
      <c r="AC1018" s="67"/>
      <c r="AD1018" s="67"/>
      <c r="AE1018" s="67"/>
      <c r="AF1018" s="67"/>
      <c r="AG1018" s="67"/>
      <c r="AH1018" s="67"/>
    </row>
    <row r="1019" ht="12.0" hidden="1" customHeight="1">
      <c r="A1019" s="67"/>
      <c r="B1019" s="67"/>
      <c r="C1019" s="67"/>
      <c r="D1019" s="67"/>
      <c r="E1019" s="67"/>
      <c r="F1019" s="67"/>
      <c r="G1019" s="67"/>
      <c r="H1019" s="67"/>
      <c r="I1019" s="67"/>
      <c r="J1019" s="67"/>
      <c r="K1019" s="139"/>
      <c r="L1019" s="67"/>
      <c r="M1019" s="67"/>
      <c r="N1019" s="140"/>
      <c r="O1019" s="67"/>
      <c r="P1019" s="67"/>
      <c r="Q1019" s="67"/>
      <c r="R1019" s="67"/>
      <c r="S1019" s="140"/>
      <c r="T1019" s="67"/>
      <c r="U1019" s="67"/>
      <c r="V1019" s="67"/>
      <c r="W1019" s="67"/>
      <c r="X1019" s="67"/>
      <c r="Y1019" s="67"/>
      <c r="Z1019" s="67"/>
      <c r="AA1019" s="67"/>
      <c r="AB1019" s="67"/>
      <c r="AC1019" s="67"/>
      <c r="AD1019" s="67"/>
      <c r="AE1019" s="67"/>
      <c r="AF1019" s="67"/>
      <c r="AG1019" s="67"/>
      <c r="AH1019" s="67"/>
    </row>
    <row r="1020" ht="12.0" hidden="1" customHeight="1">
      <c r="A1020" s="67"/>
      <c r="B1020" s="67"/>
      <c r="C1020" s="67"/>
      <c r="D1020" s="67"/>
      <c r="E1020" s="67"/>
      <c r="F1020" s="67"/>
      <c r="G1020" s="67"/>
      <c r="H1020" s="67"/>
      <c r="I1020" s="67"/>
      <c r="J1020" s="67"/>
      <c r="K1020" s="139"/>
      <c r="L1020" s="67"/>
      <c r="M1020" s="67"/>
      <c r="N1020" s="140"/>
      <c r="O1020" s="67"/>
      <c r="P1020" s="67"/>
      <c r="Q1020" s="67"/>
      <c r="R1020" s="67"/>
      <c r="S1020" s="140"/>
      <c r="T1020" s="67"/>
      <c r="U1020" s="67"/>
      <c r="V1020" s="67"/>
      <c r="W1020" s="67"/>
      <c r="X1020" s="67"/>
      <c r="Y1020" s="67"/>
      <c r="Z1020" s="67"/>
      <c r="AA1020" s="67"/>
      <c r="AB1020" s="67"/>
      <c r="AC1020" s="67"/>
      <c r="AD1020" s="67"/>
      <c r="AE1020" s="67"/>
      <c r="AF1020" s="67"/>
      <c r="AG1020" s="67"/>
      <c r="AH1020" s="67"/>
    </row>
    <row r="1021" ht="12.0" hidden="1" customHeight="1">
      <c r="A1021" s="67"/>
      <c r="B1021" s="67"/>
      <c r="C1021" s="67"/>
      <c r="D1021" s="67"/>
      <c r="E1021" s="67"/>
      <c r="F1021" s="67"/>
      <c r="G1021" s="67"/>
      <c r="H1021" s="67"/>
      <c r="I1021" s="67"/>
      <c r="J1021" s="67"/>
      <c r="K1021" s="139"/>
      <c r="L1021" s="67"/>
      <c r="M1021" s="67"/>
      <c r="N1021" s="140"/>
      <c r="O1021" s="67"/>
      <c r="P1021" s="67"/>
      <c r="Q1021" s="67"/>
      <c r="R1021" s="67"/>
      <c r="S1021" s="140"/>
      <c r="T1021" s="67"/>
      <c r="U1021" s="67"/>
      <c r="V1021" s="67"/>
      <c r="W1021" s="67"/>
      <c r="X1021" s="67"/>
      <c r="Y1021" s="67"/>
      <c r="Z1021" s="67"/>
      <c r="AA1021" s="67"/>
      <c r="AB1021" s="67"/>
      <c r="AC1021" s="67"/>
      <c r="AD1021" s="67"/>
      <c r="AE1021" s="67"/>
      <c r="AF1021" s="67"/>
      <c r="AG1021" s="67"/>
      <c r="AH1021" s="67"/>
    </row>
    <row r="1022" ht="12.0" hidden="1" customHeight="1">
      <c r="A1022" s="67"/>
      <c r="B1022" s="67"/>
      <c r="C1022" s="67"/>
      <c r="D1022" s="67"/>
      <c r="E1022" s="67"/>
      <c r="F1022" s="67"/>
      <c r="G1022" s="67"/>
      <c r="H1022" s="67"/>
      <c r="I1022" s="67"/>
      <c r="J1022" s="67"/>
      <c r="K1022" s="139"/>
      <c r="L1022" s="67"/>
      <c r="M1022" s="67"/>
      <c r="N1022" s="140"/>
      <c r="O1022" s="67"/>
      <c r="P1022" s="67"/>
      <c r="Q1022" s="67"/>
      <c r="R1022" s="67"/>
      <c r="S1022" s="140"/>
      <c r="T1022" s="67"/>
      <c r="U1022" s="67"/>
      <c r="V1022" s="67"/>
      <c r="W1022" s="67"/>
      <c r="X1022" s="67"/>
      <c r="Y1022" s="67"/>
      <c r="Z1022" s="67"/>
      <c r="AA1022" s="67"/>
      <c r="AB1022" s="67"/>
      <c r="AC1022" s="67"/>
      <c r="AD1022" s="67"/>
      <c r="AE1022" s="67"/>
      <c r="AF1022" s="67"/>
      <c r="AG1022" s="67"/>
      <c r="AH1022" s="67"/>
    </row>
    <row r="1023" ht="12.0" hidden="1" customHeight="1">
      <c r="A1023" s="67"/>
      <c r="B1023" s="67"/>
      <c r="C1023" s="67"/>
      <c r="D1023" s="67"/>
      <c r="E1023" s="67"/>
      <c r="F1023" s="67"/>
      <c r="G1023" s="67"/>
      <c r="H1023" s="67"/>
      <c r="I1023" s="67"/>
      <c r="J1023" s="67"/>
      <c r="K1023" s="139"/>
      <c r="L1023" s="67"/>
      <c r="M1023" s="67"/>
      <c r="N1023" s="140"/>
      <c r="O1023" s="67"/>
      <c r="P1023" s="67"/>
      <c r="Q1023" s="67"/>
      <c r="R1023" s="67"/>
      <c r="S1023" s="140"/>
      <c r="T1023" s="67"/>
      <c r="U1023" s="67"/>
      <c r="V1023" s="67"/>
      <c r="W1023" s="67"/>
      <c r="X1023" s="67"/>
      <c r="Y1023" s="67"/>
      <c r="Z1023" s="67"/>
      <c r="AA1023" s="67"/>
      <c r="AB1023" s="67"/>
      <c r="AC1023" s="67"/>
      <c r="AD1023" s="67"/>
      <c r="AE1023" s="67"/>
      <c r="AF1023" s="67"/>
      <c r="AG1023" s="67"/>
      <c r="AH1023" s="67"/>
    </row>
    <row r="1024" ht="12.0" hidden="1" customHeight="1">
      <c r="A1024" s="67"/>
      <c r="B1024" s="67"/>
      <c r="C1024" s="67"/>
      <c r="D1024" s="67"/>
      <c r="E1024" s="67"/>
      <c r="F1024" s="67"/>
      <c r="G1024" s="67"/>
      <c r="H1024" s="67"/>
      <c r="I1024" s="67"/>
      <c r="J1024" s="67"/>
      <c r="K1024" s="139"/>
      <c r="L1024" s="67"/>
      <c r="M1024" s="67"/>
      <c r="N1024" s="140"/>
      <c r="O1024" s="67"/>
      <c r="P1024" s="67"/>
      <c r="Q1024" s="67"/>
      <c r="R1024" s="67"/>
      <c r="S1024" s="140"/>
      <c r="T1024" s="67"/>
      <c r="U1024" s="67"/>
      <c r="V1024" s="67"/>
      <c r="W1024" s="67"/>
      <c r="X1024" s="67"/>
      <c r="Y1024" s="67"/>
      <c r="Z1024" s="67"/>
      <c r="AA1024" s="67"/>
      <c r="AB1024" s="67"/>
      <c r="AC1024" s="67"/>
      <c r="AD1024" s="67"/>
      <c r="AE1024" s="67"/>
      <c r="AF1024" s="67"/>
      <c r="AG1024" s="67"/>
      <c r="AH1024" s="67"/>
    </row>
    <row r="1025" ht="12.0" hidden="1" customHeight="1">
      <c r="A1025" s="67"/>
      <c r="B1025" s="67"/>
      <c r="C1025" s="67"/>
      <c r="D1025" s="67"/>
      <c r="E1025" s="67"/>
      <c r="F1025" s="67"/>
      <c r="G1025" s="67"/>
      <c r="H1025" s="67"/>
      <c r="I1025" s="67"/>
      <c r="J1025" s="67"/>
      <c r="K1025" s="139"/>
      <c r="L1025" s="67"/>
      <c r="M1025" s="67"/>
      <c r="N1025" s="140"/>
      <c r="O1025" s="67"/>
      <c r="P1025" s="67"/>
      <c r="Q1025" s="67"/>
      <c r="R1025" s="67"/>
      <c r="S1025" s="140"/>
      <c r="T1025" s="67"/>
      <c r="U1025" s="67"/>
      <c r="V1025" s="67"/>
      <c r="W1025" s="67"/>
      <c r="X1025" s="67"/>
      <c r="Y1025" s="67"/>
      <c r="Z1025" s="67"/>
      <c r="AA1025" s="67"/>
      <c r="AB1025" s="67"/>
      <c r="AC1025" s="67"/>
      <c r="AD1025" s="67"/>
      <c r="AE1025" s="67"/>
      <c r="AF1025" s="67"/>
      <c r="AG1025" s="67"/>
      <c r="AH1025" s="67"/>
    </row>
    <row r="1026" ht="12.0" hidden="1" customHeight="1">
      <c r="A1026" s="67"/>
      <c r="B1026" s="67"/>
      <c r="C1026" s="67"/>
      <c r="D1026" s="67"/>
      <c r="E1026" s="67"/>
      <c r="F1026" s="67"/>
      <c r="G1026" s="67"/>
      <c r="H1026" s="67"/>
      <c r="I1026" s="67"/>
      <c r="J1026" s="67"/>
      <c r="K1026" s="139"/>
      <c r="L1026" s="67"/>
      <c r="M1026" s="67"/>
      <c r="N1026" s="140"/>
      <c r="O1026" s="67"/>
      <c r="P1026" s="67"/>
      <c r="Q1026" s="67"/>
      <c r="R1026" s="67"/>
      <c r="S1026" s="140"/>
      <c r="T1026" s="67"/>
      <c r="U1026" s="67"/>
      <c r="V1026" s="67"/>
      <c r="W1026" s="67"/>
      <c r="X1026" s="67"/>
      <c r="Y1026" s="67"/>
      <c r="Z1026" s="67"/>
      <c r="AA1026" s="67"/>
      <c r="AB1026" s="67"/>
      <c r="AC1026" s="67"/>
      <c r="AD1026" s="67"/>
      <c r="AE1026" s="67"/>
      <c r="AF1026" s="67"/>
      <c r="AG1026" s="67"/>
      <c r="AH1026" s="67"/>
    </row>
    <row r="1027" ht="12.0" hidden="1" customHeight="1">
      <c r="A1027" s="67"/>
      <c r="B1027" s="67"/>
      <c r="C1027" s="67"/>
      <c r="D1027" s="67"/>
      <c r="E1027" s="67"/>
      <c r="F1027" s="67"/>
      <c r="G1027" s="67"/>
      <c r="H1027" s="67"/>
      <c r="I1027" s="67"/>
      <c r="J1027" s="67"/>
      <c r="K1027" s="139"/>
      <c r="L1027" s="67"/>
      <c r="M1027" s="67"/>
      <c r="N1027" s="140"/>
      <c r="O1027" s="67"/>
      <c r="P1027" s="67"/>
      <c r="Q1027" s="67"/>
      <c r="R1027" s="67"/>
      <c r="S1027" s="140"/>
      <c r="T1027" s="67"/>
      <c r="U1027" s="67"/>
      <c r="V1027" s="67"/>
      <c r="W1027" s="67"/>
      <c r="X1027" s="67"/>
      <c r="Y1027" s="67"/>
      <c r="Z1027" s="67"/>
      <c r="AA1027" s="67"/>
      <c r="AB1027" s="67"/>
      <c r="AC1027" s="67"/>
      <c r="AD1027" s="67"/>
      <c r="AE1027" s="67"/>
      <c r="AF1027" s="67"/>
      <c r="AG1027" s="67"/>
      <c r="AH1027" s="67"/>
    </row>
    <row r="1028" ht="12.0" hidden="1" customHeight="1">
      <c r="A1028" s="67"/>
      <c r="B1028" s="67"/>
      <c r="C1028" s="67"/>
      <c r="D1028" s="67"/>
      <c r="E1028" s="67"/>
      <c r="F1028" s="67"/>
      <c r="G1028" s="67"/>
      <c r="H1028" s="67"/>
      <c r="I1028" s="67"/>
      <c r="J1028" s="67"/>
      <c r="K1028" s="139"/>
      <c r="L1028" s="67"/>
      <c r="M1028" s="67"/>
      <c r="N1028" s="140"/>
      <c r="O1028" s="67"/>
      <c r="P1028" s="67"/>
      <c r="Q1028" s="67"/>
      <c r="R1028" s="67"/>
      <c r="S1028" s="140"/>
      <c r="T1028" s="67"/>
      <c r="U1028" s="67"/>
      <c r="V1028" s="67"/>
      <c r="W1028" s="67"/>
      <c r="X1028" s="67"/>
      <c r="Y1028" s="67"/>
      <c r="Z1028" s="67"/>
      <c r="AA1028" s="67"/>
      <c r="AB1028" s="67"/>
      <c r="AC1028" s="67"/>
      <c r="AD1028" s="67"/>
      <c r="AE1028" s="67"/>
      <c r="AF1028" s="67"/>
      <c r="AG1028" s="67"/>
      <c r="AH1028" s="67"/>
    </row>
    <row r="1029" ht="12.0" hidden="1" customHeight="1">
      <c r="A1029" s="67"/>
      <c r="B1029" s="67"/>
      <c r="C1029" s="67"/>
      <c r="D1029" s="67"/>
      <c r="E1029" s="67"/>
      <c r="F1029" s="67"/>
      <c r="G1029" s="67"/>
      <c r="H1029" s="67"/>
      <c r="I1029" s="67"/>
      <c r="J1029" s="67"/>
      <c r="K1029" s="139"/>
      <c r="L1029" s="67"/>
      <c r="M1029" s="67"/>
      <c r="N1029" s="140"/>
      <c r="O1029" s="67"/>
      <c r="P1029" s="67"/>
      <c r="Q1029" s="67"/>
      <c r="R1029" s="67"/>
      <c r="S1029" s="140"/>
      <c r="T1029" s="67"/>
      <c r="U1029" s="67"/>
      <c r="V1029" s="67"/>
      <c r="W1029" s="67"/>
      <c r="X1029" s="67"/>
      <c r="Y1029" s="67"/>
      <c r="Z1029" s="67"/>
      <c r="AA1029" s="67"/>
      <c r="AB1029" s="67"/>
      <c r="AC1029" s="67"/>
      <c r="AD1029" s="67"/>
      <c r="AE1029" s="67"/>
      <c r="AF1029" s="67"/>
      <c r="AG1029" s="67"/>
      <c r="AH1029" s="67"/>
    </row>
    <row r="1030" ht="12.0" hidden="1" customHeight="1">
      <c r="A1030" s="67"/>
      <c r="B1030" s="67"/>
      <c r="C1030" s="67"/>
      <c r="D1030" s="67"/>
      <c r="E1030" s="67"/>
      <c r="F1030" s="67"/>
      <c r="G1030" s="67"/>
      <c r="H1030" s="67"/>
      <c r="I1030" s="67"/>
      <c r="J1030" s="67"/>
      <c r="K1030" s="139"/>
      <c r="L1030" s="67"/>
      <c r="M1030" s="67"/>
      <c r="N1030" s="140"/>
      <c r="O1030" s="67"/>
      <c r="P1030" s="67"/>
      <c r="Q1030" s="67"/>
      <c r="R1030" s="67"/>
      <c r="S1030" s="140"/>
      <c r="T1030" s="67"/>
      <c r="U1030" s="67"/>
      <c r="V1030" s="67"/>
      <c r="W1030" s="67"/>
      <c r="X1030" s="67"/>
      <c r="Y1030" s="67"/>
      <c r="Z1030" s="67"/>
      <c r="AA1030" s="67"/>
      <c r="AB1030" s="67"/>
      <c r="AC1030" s="67"/>
      <c r="AD1030" s="67"/>
      <c r="AE1030" s="67"/>
      <c r="AF1030" s="67"/>
      <c r="AG1030" s="67"/>
      <c r="AH1030" s="67"/>
    </row>
    <row r="1031" ht="12.0" hidden="1" customHeight="1">
      <c r="A1031" s="67"/>
      <c r="B1031" s="67"/>
      <c r="C1031" s="67"/>
      <c r="D1031" s="67"/>
      <c r="E1031" s="67"/>
      <c r="F1031" s="67"/>
      <c r="G1031" s="67"/>
      <c r="H1031" s="67"/>
      <c r="I1031" s="67"/>
      <c r="J1031" s="67"/>
      <c r="K1031" s="139"/>
      <c r="L1031" s="67"/>
      <c r="M1031" s="67"/>
      <c r="N1031" s="140"/>
      <c r="O1031" s="67"/>
      <c r="P1031" s="67"/>
      <c r="Q1031" s="67"/>
      <c r="R1031" s="67"/>
      <c r="S1031" s="140"/>
      <c r="T1031" s="67"/>
      <c r="U1031" s="67"/>
      <c r="V1031" s="67"/>
      <c r="W1031" s="67"/>
      <c r="X1031" s="67"/>
      <c r="Y1031" s="67"/>
      <c r="Z1031" s="67"/>
      <c r="AA1031" s="67"/>
      <c r="AB1031" s="67"/>
      <c r="AC1031" s="67"/>
      <c r="AD1031" s="67"/>
      <c r="AE1031" s="67"/>
      <c r="AF1031" s="67"/>
      <c r="AG1031" s="67"/>
      <c r="AH1031" s="67"/>
    </row>
    <row r="1032" ht="12.0" hidden="1" customHeight="1">
      <c r="A1032" s="67"/>
      <c r="B1032" s="67"/>
      <c r="C1032" s="67"/>
      <c r="D1032" s="67"/>
      <c r="E1032" s="67"/>
      <c r="F1032" s="67"/>
      <c r="G1032" s="67"/>
      <c r="H1032" s="67"/>
      <c r="I1032" s="67"/>
      <c r="J1032" s="67"/>
      <c r="K1032" s="139"/>
      <c r="L1032" s="67"/>
      <c r="M1032" s="67"/>
      <c r="N1032" s="140"/>
      <c r="O1032" s="67"/>
      <c r="P1032" s="67"/>
      <c r="Q1032" s="67"/>
      <c r="R1032" s="67"/>
      <c r="S1032" s="140"/>
      <c r="T1032" s="67"/>
      <c r="U1032" s="67"/>
      <c r="V1032" s="67"/>
      <c r="W1032" s="67"/>
      <c r="X1032" s="67"/>
      <c r="Y1032" s="67"/>
      <c r="Z1032" s="67"/>
      <c r="AA1032" s="67"/>
      <c r="AB1032" s="67"/>
      <c r="AC1032" s="67"/>
      <c r="AD1032" s="67"/>
      <c r="AE1032" s="67"/>
      <c r="AF1032" s="67"/>
      <c r="AG1032" s="67"/>
      <c r="AH1032" s="67"/>
    </row>
    <row r="1033" ht="12.0" hidden="1" customHeight="1">
      <c r="A1033" s="67"/>
      <c r="B1033" s="67"/>
      <c r="C1033" s="67"/>
      <c r="D1033" s="67"/>
      <c r="E1033" s="67"/>
      <c r="F1033" s="67"/>
      <c r="G1033" s="67"/>
      <c r="H1033" s="67"/>
      <c r="I1033" s="67"/>
      <c r="J1033" s="67"/>
      <c r="K1033" s="139"/>
      <c r="L1033" s="67"/>
      <c r="M1033" s="67"/>
      <c r="N1033" s="140"/>
      <c r="O1033" s="67"/>
      <c r="P1033" s="67"/>
      <c r="Q1033" s="67"/>
      <c r="R1033" s="67"/>
      <c r="S1033" s="140"/>
      <c r="T1033" s="67"/>
      <c r="U1033" s="67"/>
      <c r="V1033" s="67"/>
      <c r="W1033" s="67"/>
      <c r="X1033" s="67"/>
      <c r="Y1033" s="67"/>
      <c r="Z1033" s="67"/>
      <c r="AA1033" s="67"/>
      <c r="AB1033" s="67"/>
      <c r="AC1033" s="67"/>
      <c r="AD1033" s="67"/>
      <c r="AE1033" s="67"/>
      <c r="AF1033" s="67"/>
      <c r="AG1033" s="67"/>
      <c r="AH1033" s="67"/>
    </row>
    <row r="1034" ht="12.0" hidden="1" customHeight="1">
      <c r="A1034" s="67"/>
      <c r="B1034" s="67"/>
      <c r="C1034" s="67"/>
      <c r="D1034" s="67"/>
      <c r="E1034" s="67"/>
      <c r="F1034" s="67"/>
      <c r="G1034" s="67"/>
      <c r="H1034" s="67"/>
      <c r="I1034" s="67"/>
      <c r="J1034" s="67"/>
      <c r="K1034" s="139"/>
      <c r="L1034" s="67"/>
      <c r="M1034" s="67"/>
      <c r="N1034" s="140"/>
      <c r="O1034" s="67"/>
      <c r="P1034" s="67"/>
      <c r="Q1034" s="67"/>
      <c r="R1034" s="67"/>
      <c r="S1034" s="140"/>
      <c r="T1034" s="67"/>
      <c r="U1034" s="67"/>
      <c r="V1034" s="67"/>
      <c r="W1034" s="67"/>
      <c r="X1034" s="67"/>
      <c r="Y1034" s="67"/>
      <c r="Z1034" s="67"/>
      <c r="AA1034" s="67"/>
      <c r="AB1034" s="67"/>
      <c r="AC1034" s="67"/>
      <c r="AD1034" s="67"/>
      <c r="AE1034" s="67"/>
      <c r="AF1034" s="67"/>
      <c r="AG1034" s="67"/>
      <c r="AH1034" s="67"/>
    </row>
    <row r="1035" ht="12.0" hidden="1" customHeight="1">
      <c r="A1035" s="67"/>
      <c r="B1035" s="67"/>
      <c r="C1035" s="67"/>
      <c r="D1035" s="67"/>
      <c r="E1035" s="67"/>
      <c r="F1035" s="67"/>
      <c r="G1035" s="67"/>
      <c r="H1035" s="67"/>
      <c r="I1035" s="67"/>
      <c r="J1035" s="67"/>
      <c r="K1035" s="139"/>
      <c r="L1035" s="67"/>
      <c r="M1035" s="67"/>
      <c r="N1035" s="140"/>
      <c r="O1035" s="67"/>
      <c r="P1035" s="67"/>
      <c r="Q1035" s="67"/>
      <c r="R1035" s="67"/>
      <c r="S1035" s="140"/>
      <c r="T1035" s="67"/>
      <c r="U1035" s="67"/>
      <c r="V1035" s="67"/>
      <c r="W1035" s="67"/>
      <c r="X1035" s="67"/>
      <c r="Y1035" s="67"/>
      <c r="Z1035" s="67"/>
      <c r="AA1035" s="67"/>
      <c r="AB1035" s="67"/>
      <c r="AC1035" s="67"/>
      <c r="AD1035" s="67"/>
      <c r="AE1035" s="67"/>
      <c r="AF1035" s="67"/>
      <c r="AG1035" s="67"/>
      <c r="AH1035" s="67"/>
    </row>
    <row r="1036" ht="12.0" hidden="1" customHeight="1">
      <c r="A1036" s="67"/>
      <c r="B1036" s="67"/>
      <c r="C1036" s="67"/>
      <c r="D1036" s="67"/>
      <c r="E1036" s="67"/>
      <c r="F1036" s="67"/>
      <c r="G1036" s="67"/>
      <c r="H1036" s="67"/>
      <c r="I1036" s="67"/>
      <c r="J1036" s="67"/>
      <c r="K1036" s="139"/>
      <c r="L1036" s="67"/>
      <c r="M1036" s="67"/>
      <c r="N1036" s="140"/>
      <c r="O1036" s="67"/>
      <c r="P1036" s="67"/>
      <c r="Q1036" s="67"/>
      <c r="R1036" s="67"/>
      <c r="S1036" s="140"/>
      <c r="T1036" s="67"/>
      <c r="U1036" s="67"/>
      <c r="V1036" s="67"/>
      <c r="W1036" s="67"/>
      <c r="X1036" s="67"/>
      <c r="Y1036" s="67"/>
      <c r="Z1036" s="67"/>
      <c r="AA1036" s="67"/>
      <c r="AB1036" s="67"/>
      <c r="AC1036" s="67"/>
      <c r="AD1036" s="67"/>
      <c r="AE1036" s="67"/>
      <c r="AF1036" s="67"/>
      <c r="AG1036" s="67"/>
      <c r="AH1036" s="67"/>
    </row>
    <row r="1037" ht="12.0" hidden="1" customHeight="1">
      <c r="A1037" s="67"/>
      <c r="B1037" s="67"/>
      <c r="C1037" s="67"/>
      <c r="D1037" s="67"/>
      <c r="E1037" s="67"/>
      <c r="F1037" s="67"/>
      <c r="G1037" s="67"/>
      <c r="H1037" s="67"/>
      <c r="I1037" s="67"/>
      <c r="J1037" s="67"/>
      <c r="K1037" s="139"/>
      <c r="L1037" s="67"/>
      <c r="M1037" s="67"/>
      <c r="N1037" s="140"/>
      <c r="O1037" s="67"/>
      <c r="P1037" s="67"/>
      <c r="Q1037" s="67"/>
      <c r="R1037" s="67"/>
      <c r="S1037" s="140"/>
      <c r="T1037" s="67"/>
      <c r="U1037" s="67"/>
      <c r="V1037" s="67"/>
      <c r="W1037" s="67"/>
      <c r="X1037" s="67"/>
      <c r="Y1037" s="67"/>
      <c r="Z1037" s="67"/>
      <c r="AA1037" s="67"/>
      <c r="AB1037" s="67"/>
      <c r="AC1037" s="67"/>
      <c r="AD1037" s="67"/>
      <c r="AE1037" s="67"/>
      <c r="AF1037" s="67"/>
      <c r="AG1037" s="67"/>
      <c r="AH1037" s="67"/>
    </row>
    <row r="1038" ht="12.0" hidden="1" customHeight="1">
      <c r="A1038" s="67"/>
      <c r="B1038" s="67"/>
      <c r="C1038" s="67"/>
      <c r="D1038" s="67"/>
      <c r="E1038" s="67"/>
      <c r="F1038" s="67"/>
      <c r="G1038" s="67"/>
      <c r="H1038" s="67"/>
      <c r="I1038" s="67"/>
      <c r="J1038" s="67"/>
      <c r="K1038" s="139"/>
      <c r="L1038" s="67"/>
      <c r="M1038" s="67"/>
      <c r="N1038" s="140"/>
      <c r="O1038" s="67"/>
      <c r="P1038" s="67"/>
      <c r="Q1038" s="67"/>
      <c r="R1038" s="67"/>
      <c r="S1038" s="140"/>
      <c r="T1038" s="67"/>
      <c r="U1038" s="67"/>
      <c r="V1038" s="67"/>
      <c r="W1038" s="67"/>
      <c r="X1038" s="67"/>
      <c r="Y1038" s="67"/>
      <c r="Z1038" s="67"/>
      <c r="AA1038" s="67"/>
      <c r="AB1038" s="67"/>
      <c r="AC1038" s="67"/>
      <c r="AD1038" s="67"/>
      <c r="AE1038" s="67"/>
      <c r="AF1038" s="67"/>
      <c r="AG1038" s="67"/>
      <c r="AH1038" s="67"/>
    </row>
    <row r="1039" ht="12.0" hidden="1" customHeight="1">
      <c r="A1039" s="67"/>
      <c r="B1039" s="67"/>
      <c r="C1039" s="67"/>
      <c r="D1039" s="67"/>
      <c r="E1039" s="67"/>
      <c r="F1039" s="67"/>
      <c r="G1039" s="67"/>
      <c r="H1039" s="67"/>
      <c r="I1039" s="67"/>
      <c r="J1039" s="67"/>
      <c r="K1039" s="139"/>
      <c r="L1039" s="67"/>
      <c r="M1039" s="67"/>
      <c r="N1039" s="140"/>
      <c r="O1039" s="67"/>
      <c r="P1039" s="67"/>
      <c r="Q1039" s="67"/>
      <c r="R1039" s="67"/>
      <c r="S1039" s="140"/>
      <c r="T1039" s="67"/>
      <c r="U1039" s="67"/>
      <c r="V1039" s="67"/>
      <c r="W1039" s="67"/>
      <c r="X1039" s="67"/>
      <c r="Y1039" s="67"/>
      <c r="Z1039" s="67"/>
      <c r="AA1039" s="67"/>
      <c r="AB1039" s="67"/>
      <c r="AC1039" s="67"/>
      <c r="AD1039" s="67"/>
      <c r="AE1039" s="67"/>
      <c r="AF1039" s="67"/>
      <c r="AG1039" s="67"/>
      <c r="AH1039" s="67"/>
    </row>
    <row r="1040" ht="12.0" hidden="1" customHeight="1">
      <c r="A1040" s="67"/>
      <c r="B1040" s="67"/>
      <c r="C1040" s="67"/>
      <c r="D1040" s="67"/>
      <c r="E1040" s="67"/>
      <c r="F1040" s="67"/>
      <c r="G1040" s="67"/>
      <c r="H1040" s="67"/>
      <c r="I1040" s="67"/>
      <c r="J1040" s="67"/>
      <c r="K1040" s="139"/>
      <c r="L1040" s="67"/>
      <c r="M1040" s="67"/>
      <c r="N1040" s="140"/>
      <c r="O1040" s="67"/>
      <c r="P1040" s="67"/>
      <c r="Q1040" s="67"/>
      <c r="R1040" s="67"/>
      <c r="S1040" s="140"/>
      <c r="T1040" s="67"/>
      <c r="U1040" s="67"/>
      <c r="V1040" s="67"/>
      <c r="W1040" s="67"/>
      <c r="X1040" s="67"/>
      <c r="Y1040" s="67"/>
      <c r="Z1040" s="67"/>
      <c r="AA1040" s="67"/>
      <c r="AB1040" s="67"/>
      <c r="AC1040" s="67"/>
      <c r="AD1040" s="67"/>
      <c r="AE1040" s="67"/>
      <c r="AF1040" s="67"/>
      <c r="AG1040" s="67"/>
      <c r="AH1040" s="67"/>
    </row>
    <row r="1041" ht="12.0" hidden="1" customHeight="1">
      <c r="A1041" s="67"/>
      <c r="B1041" s="67"/>
      <c r="C1041" s="67"/>
      <c r="D1041" s="67"/>
      <c r="E1041" s="67"/>
      <c r="F1041" s="67"/>
      <c r="G1041" s="67"/>
      <c r="H1041" s="67"/>
      <c r="I1041" s="67"/>
      <c r="J1041" s="67"/>
      <c r="K1041" s="139"/>
      <c r="L1041" s="67"/>
      <c r="M1041" s="67"/>
      <c r="N1041" s="140"/>
      <c r="O1041" s="67"/>
      <c r="P1041" s="67"/>
      <c r="Q1041" s="67"/>
      <c r="R1041" s="67"/>
      <c r="S1041" s="140"/>
      <c r="T1041" s="67"/>
      <c r="U1041" s="67"/>
      <c r="V1041" s="67"/>
      <c r="W1041" s="67"/>
      <c r="X1041" s="67"/>
      <c r="Y1041" s="67"/>
      <c r="Z1041" s="67"/>
      <c r="AA1041" s="67"/>
      <c r="AB1041" s="67"/>
      <c r="AC1041" s="67"/>
      <c r="AD1041" s="67"/>
      <c r="AE1041" s="67"/>
      <c r="AF1041" s="67"/>
      <c r="AG1041" s="67"/>
      <c r="AH1041" s="67"/>
    </row>
    <row r="1042" ht="12.0" hidden="1" customHeight="1">
      <c r="A1042" s="67"/>
      <c r="B1042" s="67"/>
      <c r="C1042" s="67"/>
      <c r="D1042" s="67"/>
      <c r="E1042" s="67"/>
      <c r="F1042" s="67"/>
      <c r="G1042" s="67"/>
      <c r="H1042" s="67"/>
      <c r="I1042" s="67"/>
      <c r="J1042" s="67"/>
      <c r="K1042" s="139"/>
      <c r="L1042" s="67"/>
      <c r="M1042" s="67"/>
      <c r="N1042" s="140"/>
      <c r="O1042" s="67"/>
      <c r="P1042" s="67"/>
      <c r="Q1042" s="67"/>
      <c r="R1042" s="67"/>
      <c r="S1042" s="140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ht="12.0" hidden="1" customHeight="1">
      <c r="A1043" s="67"/>
      <c r="B1043" s="67"/>
      <c r="C1043" s="67"/>
      <c r="D1043" s="67"/>
      <c r="E1043" s="67"/>
      <c r="F1043" s="67"/>
      <c r="G1043" s="67"/>
      <c r="H1043" s="67"/>
      <c r="I1043" s="67"/>
      <c r="J1043" s="67"/>
      <c r="K1043" s="139"/>
      <c r="L1043" s="67"/>
      <c r="M1043" s="67"/>
      <c r="N1043" s="140"/>
      <c r="O1043" s="67"/>
      <c r="P1043" s="67"/>
      <c r="Q1043" s="67"/>
      <c r="R1043" s="67"/>
      <c r="S1043" s="140"/>
      <c r="T1043" s="67"/>
      <c r="U1043" s="67"/>
      <c r="V1043" s="67"/>
      <c r="W1043" s="67"/>
      <c r="X1043" s="67"/>
      <c r="Y1043" s="67"/>
      <c r="Z1043" s="67"/>
      <c r="AA1043" s="67"/>
      <c r="AB1043" s="67"/>
      <c r="AC1043" s="67"/>
      <c r="AD1043" s="67"/>
      <c r="AE1043" s="67"/>
      <c r="AF1043" s="67"/>
      <c r="AG1043" s="67"/>
      <c r="AH1043" s="67"/>
    </row>
    <row r="1044" ht="12.0" hidden="1" customHeight="1">
      <c r="A1044" s="67"/>
      <c r="B1044" s="67"/>
      <c r="C1044" s="67"/>
      <c r="D1044" s="67"/>
      <c r="E1044" s="67"/>
      <c r="F1044" s="67"/>
      <c r="G1044" s="67"/>
      <c r="H1044" s="67"/>
      <c r="I1044" s="67"/>
      <c r="J1044" s="67"/>
      <c r="K1044" s="139"/>
      <c r="L1044" s="67"/>
      <c r="M1044" s="67"/>
      <c r="N1044" s="140"/>
      <c r="O1044" s="67"/>
      <c r="P1044" s="67"/>
      <c r="Q1044" s="67"/>
      <c r="R1044" s="67"/>
      <c r="S1044" s="140"/>
      <c r="T1044" s="67"/>
      <c r="U1044" s="67"/>
      <c r="V1044" s="67"/>
      <c r="W1044" s="67"/>
      <c r="X1044" s="67"/>
      <c r="Y1044" s="67"/>
      <c r="Z1044" s="67"/>
      <c r="AA1044" s="67"/>
      <c r="AB1044" s="67"/>
      <c r="AC1044" s="67"/>
      <c r="AD1044" s="67"/>
      <c r="AE1044" s="67"/>
      <c r="AF1044" s="67"/>
      <c r="AG1044" s="67"/>
      <c r="AH1044" s="67"/>
    </row>
    <row r="1045" ht="12.0" hidden="1" customHeight="1">
      <c r="A1045" s="67"/>
      <c r="B1045" s="67"/>
      <c r="C1045" s="67"/>
      <c r="D1045" s="67"/>
      <c r="E1045" s="67"/>
      <c r="F1045" s="67"/>
      <c r="G1045" s="67"/>
      <c r="H1045" s="67"/>
      <c r="I1045" s="67"/>
      <c r="J1045" s="67"/>
      <c r="K1045" s="139"/>
      <c r="L1045" s="67"/>
      <c r="M1045" s="67"/>
      <c r="N1045" s="140"/>
      <c r="O1045" s="67"/>
      <c r="P1045" s="67"/>
      <c r="Q1045" s="67"/>
      <c r="R1045" s="67"/>
      <c r="S1045" s="140"/>
      <c r="T1045" s="67"/>
      <c r="U1045" s="67"/>
      <c r="V1045" s="67"/>
      <c r="W1045" s="67"/>
      <c r="X1045" s="67"/>
      <c r="Y1045" s="67"/>
      <c r="Z1045" s="67"/>
      <c r="AA1045" s="67"/>
      <c r="AB1045" s="67"/>
      <c r="AC1045" s="67"/>
      <c r="AD1045" s="67"/>
      <c r="AE1045" s="67"/>
      <c r="AF1045" s="67"/>
      <c r="AG1045" s="67"/>
      <c r="AH1045" s="67"/>
    </row>
    <row r="1046" ht="12.0" hidden="1" customHeight="1">
      <c r="A1046" s="67"/>
      <c r="B1046" s="67"/>
      <c r="C1046" s="67"/>
      <c r="D1046" s="67"/>
      <c r="E1046" s="67"/>
      <c r="F1046" s="67"/>
      <c r="G1046" s="67"/>
      <c r="H1046" s="67"/>
      <c r="I1046" s="67"/>
      <c r="J1046" s="67"/>
      <c r="K1046" s="139"/>
      <c r="L1046" s="67"/>
      <c r="M1046" s="67"/>
      <c r="N1046" s="140"/>
      <c r="O1046" s="67"/>
      <c r="P1046" s="67"/>
      <c r="Q1046" s="67"/>
      <c r="R1046" s="67"/>
      <c r="S1046" s="140"/>
      <c r="T1046" s="67"/>
      <c r="U1046" s="67"/>
      <c r="V1046" s="67"/>
      <c r="W1046" s="67"/>
      <c r="X1046" s="67"/>
      <c r="Y1046" s="67"/>
      <c r="Z1046" s="67"/>
      <c r="AA1046" s="67"/>
      <c r="AB1046" s="67"/>
      <c r="AC1046" s="67"/>
      <c r="AD1046" s="67"/>
      <c r="AE1046" s="67"/>
      <c r="AF1046" s="67"/>
      <c r="AG1046" s="67"/>
      <c r="AH1046" s="67"/>
    </row>
    <row r="1047" ht="12.0" hidden="1" customHeight="1">
      <c r="A1047" s="67"/>
      <c r="B1047" s="67"/>
      <c r="C1047" s="67"/>
      <c r="D1047" s="67"/>
      <c r="E1047" s="67"/>
      <c r="F1047" s="67"/>
      <c r="G1047" s="67"/>
      <c r="H1047" s="67"/>
      <c r="I1047" s="67"/>
      <c r="J1047" s="67"/>
      <c r="K1047" s="139"/>
      <c r="L1047" s="67"/>
      <c r="M1047" s="67"/>
      <c r="N1047" s="140"/>
      <c r="O1047" s="67"/>
      <c r="P1047" s="67"/>
      <c r="Q1047" s="67"/>
      <c r="R1047" s="67"/>
      <c r="S1047" s="140"/>
      <c r="T1047" s="67"/>
      <c r="U1047" s="67"/>
      <c r="V1047" s="67"/>
      <c r="W1047" s="67"/>
      <c r="X1047" s="67"/>
      <c r="Y1047" s="67"/>
      <c r="Z1047" s="67"/>
      <c r="AA1047" s="67"/>
      <c r="AB1047" s="67"/>
      <c r="AC1047" s="67"/>
      <c r="AD1047" s="67"/>
      <c r="AE1047" s="67"/>
      <c r="AF1047" s="67"/>
      <c r="AG1047" s="67"/>
      <c r="AH1047" s="67"/>
    </row>
    <row r="1048" ht="12.0" hidden="1" customHeight="1">
      <c r="A1048" s="67"/>
      <c r="B1048" s="67"/>
      <c r="C1048" s="67"/>
      <c r="D1048" s="67"/>
      <c r="E1048" s="67"/>
      <c r="F1048" s="67"/>
      <c r="G1048" s="67"/>
      <c r="H1048" s="67"/>
      <c r="I1048" s="67"/>
      <c r="J1048" s="67"/>
      <c r="K1048" s="139"/>
      <c r="L1048" s="67"/>
      <c r="M1048" s="67"/>
      <c r="N1048" s="140"/>
      <c r="O1048" s="67"/>
      <c r="P1048" s="67"/>
      <c r="Q1048" s="67"/>
      <c r="R1048" s="67"/>
      <c r="S1048" s="140"/>
      <c r="T1048" s="67"/>
      <c r="U1048" s="67"/>
      <c r="V1048" s="67"/>
      <c r="W1048" s="67"/>
      <c r="X1048" s="67"/>
      <c r="Y1048" s="67"/>
      <c r="Z1048" s="67"/>
      <c r="AA1048" s="67"/>
      <c r="AB1048" s="67"/>
      <c r="AC1048" s="67"/>
      <c r="AD1048" s="67"/>
      <c r="AE1048" s="67"/>
      <c r="AF1048" s="67"/>
      <c r="AG1048" s="67"/>
      <c r="AH1048" s="67"/>
    </row>
    <row r="1049" ht="12.0" hidden="1" customHeight="1">
      <c r="A1049" s="67"/>
      <c r="B1049" s="67"/>
      <c r="C1049" s="67"/>
      <c r="D1049" s="67"/>
      <c r="E1049" s="67"/>
      <c r="F1049" s="67"/>
      <c r="G1049" s="67"/>
      <c r="H1049" s="67"/>
      <c r="I1049" s="67"/>
      <c r="J1049" s="67"/>
      <c r="K1049" s="139"/>
      <c r="L1049" s="67"/>
      <c r="M1049" s="67"/>
      <c r="N1049" s="140"/>
      <c r="O1049" s="67"/>
      <c r="P1049" s="67"/>
      <c r="Q1049" s="67"/>
      <c r="R1049" s="67"/>
      <c r="S1049" s="140"/>
      <c r="T1049" s="67"/>
      <c r="U1049" s="67"/>
      <c r="V1049" s="67"/>
      <c r="W1049" s="67"/>
      <c r="X1049" s="67"/>
      <c r="Y1049" s="67"/>
      <c r="Z1049" s="67"/>
      <c r="AA1049" s="67"/>
      <c r="AB1049" s="67"/>
      <c r="AC1049" s="67"/>
      <c r="AD1049" s="67"/>
      <c r="AE1049" s="67"/>
      <c r="AF1049" s="67"/>
      <c r="AG1049" s="67"/>
      <c r="AH1049" s="67"/>
    </row>
    <row r="1050" ht="12.0" hidden="1" customHeight="1">
      <c r="A1050" s="67"/>
      <c r="B1050" s="67"/>
      <c r="C1050" s="67"/>
      <c r="D1050" s="67"/>
      <c r="E1050" s="67"/>
      <c r="F1050" s="67"/>
      <c r="G1050" s="67"/>
      <c r="H1050" s="67"/>
      <c r="I1050" s="67"/>
      <c r="J1050" s="67"/>
      <c r="K1050" s="139"/>
      <c r="L1050" s="67"/>
      <c r="M1050" s="67"/>
      <c r="N1050" s="140"/>
      <c r="O1050" s="67"/>
      <c r="P1050" s="67"/>
      <c r="Q1050" s="67"/>
      <c r="R1050" s="67"/>
      <c r="S1050" s="140"/>
      <c r="T1050" s="67"/>
      <c r="U1050" s="67"/>
      <c r="V1050" s="67"/>
      <c r="W1050" s="67"/>
      <c r="X1050" s="67"/>
      <c r="Y1050" s="67"/>
      <c r="Z1050" s="67"/>
      <c r="AA1050" s="67"/>
      <c r="AB1050" s="67"/>
      <c r="AC1050" s="67"/>
      <c r="AD1050" s="67"/>
      <c r="AE1050" s="67"/>
      <c r="AF1050" s="67"/>
      <c r="AG1050" s="67"/>
      <c r="AH1050" s="67"/>
    </row>
    <row r="1051" ht="12.0" hidden="1" customHeight="1">
      <c r="A1051" s="67"/>
      <c r="B1051" s="67"/>
      <c r="C1051" s="67"/>
      <c r="D1051" s="67"/>
      <c r="E1051" s="67"/>
      <c r="F1051" s="67"/>
      <c r="G1051" s="67"/>
      <c r="H1051" s="67"/>
      <c r="I1051" s="67"/>
      <c r="J1051" s="67"/>
      <c r="K1051" s="139"/>
      <c r="L1051" s="67"/>
      <c r="M1051" s="67"/>
      <c r="N1051" s="140"/>
      <c r="O1051" s="67"/>
      <c r="P1051" s="67"/>
      <c r="Q1051" s="67"/>
      <c r="R1051" s="67"/>
      <c r="S1051" s="140"/>
      <c r="T1051" s="67"/>
      <c r="U1051" s="67"/>
      <c r="V1051" s="67"/>
      <c r="W1051" s="67"/>
      <c r="X1051" s="67"/>
      <c r="Y1051" s="67"/>
      <c r="Z1051" s="67"/>
      <c r="AA1051" s="67"/>
      <c r="AB1051" s="67"/>
      <c r="AC1051" s="67"/>
      <c r="AD1051" s="67"/>
      <c r="AE1051" s="67"/>
      <c r="AF1051" s="67"/>
      <c r="AG1051" s="67"/>
      <c r="AH1051" s="67"/>
    </row>
    <row r="1052" ht="12.0" hidden="1" customHeight="1">
      <c r="A1052" s="67"/>
      <c r="B1052" s="67"/>
      <c r="C1052" s="67"/>
      <c r="D1052" s="67"/>
      <c r="E1052" s="67"/>
      <c r="F1052" s="67"/>
      <c r="G1052" s="67"/>
      <c r="H1052" s="67"/>
      <c r="I1052" s="67"/>
      <c r="J1052" s="67"/>
      <c r="K1052" s="139"/>
      <c r="L1052" s="67"/>
      <c r="M1052" s="67"/>
      <c r="N1052" s="140"/>
      <c r="O1052" s="67"/>
      <c r="P1052" s="67"/>
      <c r="Q1052" s="67"/>
      <c r="R1052" s="67"/>
      <c r="S1052" s="140"/>
      <c r="T1052" s="67"/>
      <c r="U1052" s="67"/>
      <c r="V1052" s="67"/>
      <c r="W1052" s="67"/>
      <c r="X1052" s="67"/>
      <c r="Y1052" s="67"/>
      <c r="Z1052" s="67"/>
      <c r="AA1052" s="67"/>
      <c r="AB1052" s="67"/>
      <c r="AC1052" s="67"/>
      <c r="AD1052" s="67"/>
      <c r="AE1052" s="67"/>
      <c r="AF1052" s="67"/>
      <c r="AG1052" s="67"/>
      <c r="AH1052" s="67"/>
    </row>
    <row r="1053" ht="12.0" hidden="1" customHeight="1">
      <c r="A1053" s="67"/>
      <c r="B1053" s="67"/>
      <c r="C1053" s="67"/>
      <c r="D1053" s="67"/>
      <c r="E1053" s="67"/>
      <c r="F1053" s="67"/>
      <c r="G1053" s="67"/>
      <c r="H1053" s="67"/>
      <c r="I1053" s="67"/>
      <c r="J1053" s="67"/>
      <c r="K1053" s="139"/>
      <c r="L1053" s="67"/>
      <c r="M1053" s="67"/>
      <c r="N1053" s="140"/>
      <c r="O1053" s="67"/>
      <c r="P1053" s="67"/>
      <c r="Q1053" s="67"/>
      <c r="R1053" s="67"/>
      <c r="S1053" s="140"/>
      <c r="T1053" s="67"/>
      <c r="U1053" s="67"/>
      <c r="V1053" s="67"/>
      <c r="W1053" s="67"/>
      <c r="X1053" s="67"/>
      <c r="Y1053" s="67"/>
      <c r="Z1053" s="67"/>
      <c r="AA1053" s="67"/>
      <c r="AB1053" s="67"/>
      <c r="AC1053" s="67"/>
      <c r="AD1053" s="67"/>
      <c r="AE1053" s="67"/>
      <c r="AF1053" s="67"/>
      <c r="AG1053" s="67"/>
      <c r="AH1053" s="67"/>
    </row>
    <row r="1054" ht="12.0" hidden="1" customHeight="1">
      <c r="A1054" s="67"/>
      <c r="B1054" s="67"/>
      <c r="C1054" s="67"/>
      <c r="D1054" s="67"/>
      <c r="E1054" s="67"/>
      <c r="F1054" s="67"/>
      <c r="G1054" s="67"/>
      <c r="H1054" s="67"/>
      <c r="I1054" s="67"/>
      <c r="J1054" s="67"/>
      <c r="K1054" s="139"/>
      <c r="L1054" s="67"/>
      <c r="M1054" s="67"/>
      <c r="N1054" s="140"/>
      <c r="O1054" s="67"/>
      <c r="P1054" s="67"/>
      <c r="Q1054" s="67"/>
      <c r="R1054" s="67"/>
      <c r="S1054" s="140"/>
      <c r="T1054" s="67"/>
      <c r="U1054" s="67"/>
      <c r="V1054" s="67"/>
      <c r="W1054" s="67"/>
      <c r="X1054" s="67"/>
      <c r="Y1054" s="67"/>
      <c r="Z1054" s="67"/>
      <c r="AA1054" s="67"/>
      <c r="AB1054" s="67"/>
      <c r="AC1054" s="67"/>
      <c r="AD1054" s="67"/>
      <c r="AE1054" s="67"/>
      <c r="AF1054" s="67"/>
      <c r="AG1054" s="67"/>
      <c r="AH1054" s="67"/>
    </row>
    <row r="1055" ht="12.0" hidden="1" customHeight="1">
      <c r="A1055" s="67"/>
      <c r="B1055" s="67"/>
      <c r="C1055" s="67"/>
      <c r="D1055" s="67"/>
      <c r="E1055" s="67"/>
      <c r="F1055" s="67"/>
      <c r="G1055" s="67"/>
      <c r="H1055" s="67"/>
      <c r="I1055" s="67"/>
      <c r="J1055" s="67"/>
      <c r="K1055" s="139"/>
      <c r="L1055" s="67"/>
      <c r="M1055" s="67"/>
      <c r="N1055" s="140"/>
      <c r="O1055" s="67"/>
      <c r="P1055" s="67"/>
      <c r="Q1055" s="67"/>
      <c r="R1055" s="67"/>
      <c r="S1055" s="140"/>
      <c r="T1055" s="67"/>
      <c r="U1055" s="67"/>
      <c r="V1055" s="67"/>
      <c r="W1055" s="67"/>
      <c r="X1055" s="67"/>
      <c r="Y1055" s="67"/>
      <c r="Z1055" s="67"/>
      <c r="AA1055" s="67"/>
      <c r="AB1055" s="67"/>
      <c r="AC1055" s="67"/>
      <c r="AD1055" s="67"/>
      <c r="AE1055" s="67"/>
      <c r="AF1055" s="67"/>
      <c r="AG1055" s="67"/>
      <c r="AH1055" s="67"/>
    </row>
    <row r="1056" ht="12.0" hidden="1" customHeight="1">
      <c r="A1056" s="67"/>
      <c r="B1056" s="67"/>
      <c r="C1056" s="67"/>
      <c r="D1056" s="67"/>
      <c r="E1056" s="67"/>
      <c r="F1056" s="67"/>
      <c r="G1056" s="67"/>
      <c r="H1056" s="67"/>
      <c r="I1056" s="67"/>
      <c r="J1056" s="67"/>
      <c r="K1056" s="139"/>
      <c r="L1056" s="67"/>
      <c r="M1056" s="67"/>
      <c r="N1056" s="140"/>
      <c r="O1056" s="67"/>
      <c r="P1056" s="67"/>
      <c r="Q1056" s="67"/>
      <c r="R1056" s="67"/>
      <c r="S1056" s="140"/>
      <c r="T1056" s="67"/>
      <c r="U1056" s="67"/>
      <c r="V1056" s="67"/>
      <c r="W1056" s="67"/>
      <c r="X1056" s="67"/>
      <c r="Y1056" s="67"/>
      <c r="Z1056" s="67"/>
      <c r="AA1056" s="67"/>
      <c r="AB1056" s="67"/>
      <c r="AC1056" s="67"/>
      <c r="AD1056" s="67"/>
      <c r="AE1056" s="67"/>
      <c r="AF1056" s="67"/>
      <c r="AG1056" s="67"/>
      <c r="AH1056" s="67"/>
    </row>
    <row r="1057" ht="12.0" hidden="1" customHeight="1">
      <c r="A1057" s="67"/>
      <c r="B1057" s="67"/>
      <c r="C1057" s="67"/>
      <c r="D1057" s="67"/>
      <c r="E1057" s="67"/>
      <c r="F1057" s="67"/>
      <c r="G1057" s="67"/>
      <c r="H1057" s="67"/>
      <c r="I1057" s="67"/>
      <c r="J1057" s="67"/>
      <c r="K1057" s="139"/>
      <c r="L1057" s="67"/>
      <c r="M1057" s="67"/>
      <c r="N1057" s="140"/>
      <c r="O1057" s="67"/>
      <c r="P1057" s="67"/>
      <c r="Q1057" s="67"/>
      <c r="R1057" s="67"/>
      <c r="S1057" s="140"/>
      <c r="T1057" s="67"/>
      <c r="U1057" s="67"/>
      <c r="V1057" s="67"/>
      <c r="W1057" s="67"/>
      <c r="X1057" s="67"/>
      <c r="Y1057" s="67"/>
      <c r="Z1057" s="67"/>
      <c r="AA1057" s="67"/>
      <c r="AB1057" s="67"/>
      <c r="AC1057" s="67"/>
      <c r="AD1057" s="67"/>
      <c r="AE1057" s="67"/>
      <c r="AF1057" s="67"/>
      <c r="AG1057" s="67"/>
      <c r="AH1057" s="67"/>
    </row>
    <row r="1058" ht="12.0" hidden="1" customHeight="1">
      <c r="A1058" s="67"/>
      <c r="B1058" s="67"/>
      <c r="C1058" s="67"/>
      <c r="D1058" s="67"/>
      <c r="E1058" s="67"/>
      <c r="F1058" s="67"/>
      <c r="G1058" s="67"/>
      <c r="H1058" s="67"/>
      <c r="I1058" s="67"/>
      <c r="J1058" s="67"/>
      <c r="K1058" s="139"/>
      <c r="L1058" s="67"/>
      <c r="M1058" s="67"/>
      <c r="N1058" s="140"/>
      <c r="O1058" s="67"/>
      <c r="P1058" s="67"/>
      <c r="Q1058" s="67"/>
      <c r="R1058" s="67"/>
      <c r="S1058" s="140"/>
      <c r="T1058" s="67"/>
      <c r="U1058" s="67"/>
      <c r="V1058" s="67"/>
      <c r="W1058" s="67"/>
      <c r="X1058" s="67"/>
      <c r="Y1058" s="67"/>
      <c r="Z1058" s="67"/>
      <c r="AA1058" s="67"/>
      <c r="AB1058" s="67"/>
      <c r="AC1058" s="67"/>
      <c r="AD1058" s="67"/>
      <c r="AE1058" s="67"/>
      <c r="AF1058" s="67"/>
      <c r="AG1058" s="67"/>
      <c r="AH1058" s="67"/>
    </row>
    <row r="1059" ht="12.0" hidden="1" customHeight="1">
      <c r="A1059" s="67"/>
      <c r="B1059" s="67"/>
      <c r="C1059" s="67"/>
      <c r="D1059" s="67"/>
      <c r="E1059" s="67"/>
      <c r="F1059" s="67"/>
      <c r="G1059" s="67"/>
      <c r="H1059" s="67"/>
      <c r="I1059" s="67"/>
      <c r="J1059" s="67"/>
      <c r="K1059" s="139"/>
      <c r="L1059" s="67"/>
      <c r="M1059" s="67"/>
      <c r="N1059" s="140"/>
      <c r="O1059" s="67"/>
      <c r="P1059" s="67"/>
      <c r="Q1059" s="67"/>
      <c r="R1059" s="67"/>
      <c r="S1059" s="140"/>
      <c r="T1059" s="67"/>
      <c r="U1059" s="67"/>
      <c r="V1059" s="67"/>
      <c r="W1059" s="67"/>
      <c r="X1059" s="67"/>
      <c r="Y1059" s="67"/>
      <c r="Z1059" s="67"/>
      <c r="AA1059" s="67"/>
      <c r="AB1059" s="67"/>
      <c r="AC1059" s="67"/>
      <c r="AD1059" s="67"/>
      <c r="AE1059" s="67"/>
      <c r="AF1059" s="67"/>
      <c r="AG1059" s="67"/>
      <c r="AH1059" s="67"/>
    </row>
    <row r="1060" ht="12.0" hidden="1" customHeight="1">
      <c r="A1060" s="67"/>
      <c r="B1060" s="67"/>
      <c r="C1060" s="67"/>
      <c r="D1060" s="67"/>
      <c r="E1060" s="67"/>
      <c r="F1060" s="67"/>
      <c r="G1060" s="67"/>
      <c r="H1060" s="67"/>
      <c r="I1060" s="67"/>
      <c r="J1060" s="67"/>
      <c r="K1060" s="139"/>
      <c r="L1060" s="67"/>
      <c r="M1060" s="67"/>
      <c r="N1060" s="140"/>
      <c r="O1060" s="67"/>
      <c r="P1060" s="67"/>
      <c r="Q1060" s="67"/>
      <c r="R1060" s="67"/>
      <c r="S1060" s="140"/>
      <c r="T1060" s="67"/>
      <c r="U1060" s="67"/>
      <c r="V1060" s="67"/>
      <c r="W1060" s="67"/>
      <c r="X1060" s="67"/>
      <c r="Y1060" s="67"/>
      <c r="Z1060" s="67"/>
      <c r="AA1060" s="67"/>
      <c r="AB1060" s="67"/>
      <c r="AC1060" s="67"/>
      <c r="AD1060" s="67"/>
      <c r="AE1060" s="67"/>
      <c r="AF1060" s="67"/>
      <c r="AG1060" s="67"/>
      <c r="AH1060" s="67"/>
    </row>
    <row r="1061" ht="12.0" hidden="1" customHeight="1">
      <c r="A1061" s="67"/>
      <c r="B1061" s="67"/>
      <c r="C1061" s="67"/>
      <c r="D1061" s="67"/>
      <c r="E1061" s="67"/>
      <c r="F1061" s="67"/>
      <c r="G1061" s="67"/>
      <c r="H1061" s="67"/>
      <c r="I1061" s="67"/>
      <c r="J1061" s="67"/>
      <c r="K1061" s="139"/>
      <c r="L1061" s="67"/>
      <c r="M1061" s="67"/>
      <c r="N1061" s="140"/>
      <c r="O1061" s="67"/>
      <c r="P1061" s="67"/>
      <c r="Q1061" s="67"/>
      <c r="R1061" s="67"/>
      <c r="S1061" s="140"/>
      <c r="T1061" s="67"/>
      <c r="U1061" s="67"/>
      <c r="V1061" s="67"/>
      <c r="W1061" s="67"/>
      <c r="X1061" s="67"/>
      <c r="Y1061" s="67"/>
      <c r="Z1061" s="67"/>
      <c r="AA1061" s="67"/>
      <c r="AB1061" s="67"/>
      <c r="AC1061" s="67"/>
      <c r="AD1061" s="67"/>
      <c r="AE1061" s="67"/>
      <c r="AF1061" s="67"/>
      <c r="AG1061" s="67"/>
      <c r="AH1061" s="67"/>
    </row>
    <row r="1062" ht="12.0" hidden="1" customHeight="1">
      <c r="A1062" s="67"/>
      <c r="B1062" s="67"/>
      <c r="C1062" s="67"/>
      <c r="D1062" s="67"/>
      <c r="E1062" s="67"/>
      <c r="F1062" s="67"/>
      <c r="G1062" s="67"/>
      <c r="H1062" s="67"/>
      <c r="I1062" s="67"/>
      <c r="J1062" s="67"/>
      <c r="K1062" s="139"/>
      <c r="L1062" s="67"/>
      <c r="M1062" s="67"/>
      <c r="N1062" s="140"/>
      <c r="O1062" s="67"/>
      <c r="P1062" s="67"/>
      <c r="Q1062" s="67"/>
      <c r="R1062" s="67"/>
      <c r="S1062" s="140"/>
      <c r="T1062" s="67"/>
      <c r="U1062" s="67"/>
      <c r="V1062" s="67"/>
      <c r="W1062" s="67"/>
      <c r="X1062" s="67"/>
      <c r="Y1062" s="67"/>
      <c r="Z1062" s="67"/>
      <c r="AA1062" s="67"/>
      <c r="AB1062" s="67"/>
      <c r="AC1062" s="67"/>
      <c r="AD1062" s="67"/>
      <c r="AE1062" s="67"/>
      <c r="AF1062" s="67"/>
      <c r="AG1062" s="67"/>
      <c r="AH1062" s="67"/>
    </row>
    <row r="1063" ht="12.0" hidden="1" customHeight="1">
      <c r="A1063" s="67"/>
      <c r="B1063" s="67"/>
      <c r="C1063" s="67"/>
      <c r="D1063" s="67"/>
      <c r="E1063" s="67"/>
      <c r="F1063" s="67"/>
      <c r="G1063" s="67"/>
      <c r="H1063" s="67"/>
      <c r="I1063" s="67"/>
      <c r="J1063" s="67"/>
      <c r="K1063" s="139"/>
      <c r="L1063" s="67"/>
      <c r="M1063" s="67"/>
      <c r="N1063" s="140"/>
      <c r="O1063" s="67"/>
      <c r="P1063" s="67"/>
      <c r="Q1063" s="67"/>
      <c r="R1063" s="67"/>
      <c r="S1063" s="140"/>
      <c r="T1063" s="67"/>
      <c r="U1063" s="67"/>
      <c r="V1063" s="67"/>
      <c r="W1063" s="67"/>
      <c r="X1063" s="67"/>
      <c r="Y1063" s="67"/>
      <c r="Z1063" s="67"/>
      <c r="AA1063" s="67"/>
      <c r="AB1063" s="67"/>
      <c r="AC1063" s="67"/>
      <c r="AD1063" s="67"/>
      <c r="AE1063" s="67"/>
      <c r="AF1063" s="67"/>
      <c r="AG1063" s="67"/>
      <c r="AH1063" s="67"/>
    </row>
    <row r="1064" ht="12.0" hidden="1" customHeight="1">
      <c r="A1064" s="67"/>
      <c r="B1064" s="67"/>
      <c r="C1064" s="67"/>
      <c r="D1064" s="67"/>
      <c r="E1064" s="67"/>
      <c r="F1064" s="67"/>
      <c r="G1064" s="67"/>
      <c r="H1064" s="67"/>
      <c r="I1064" s="67"/>
      <c r="J1064" s="67"/>
      <c r="K1064" s="139"/>
      <c r="L1064" s="67"/>
      <c r="M1064" s="67"/>
      <c r="N1064" s="140"/>
      <c r="O1064" s="67"/>
      <c r="P1064" s="67"/>
      <c r="Q1064" s="67"/>
      <c r="R1064" s="67"/>
      <c r="S1064" s="140"/>
      <c r="T1064" s="67"/>
      <c r="U1064" s="67"/>
      <c r="V1064" s="67"/>
      <c r="W1064" s="67"/>
      <c r="X1064" s="67"/>
      <c r="Y1064" s="67"/>
      <c r="Z1064" s="67"/>
      <c r="AA1064" s="67"/>
      <c r="AB1064" s="67"/>
      <c r="AC1064" s="67"/>
      <c r="AD1064" s="67"/>
      <c r="AE1064" s="67"/>
      <c r="AF1064" s="67"/>
      <c r="AG1064" s="67"/>
      <c r="AH1064" s="67"/>
    </row>
    <row r="1065" ht="12.0" hidden="1" customHeight="1">
      <c r="A1065" s="67"/>
      <c r="B1065" s="67"/>
      <c r="C1065" s="67"/>
      <c r="D1065" s="67"/>
      <c r="E1065" s="67"/>
      <c r="F1065" s="67"/>
      <c r="G1065" s="67"/>
      <c r="H1065" s="67"/>
      <c r="I1065" s="67"/>
      <c r="J1065" s="67"/>
      <c r="K1065" s="139"/>
      <c r="L1065" s="67"/>
      <c r="M1065" s="67"/>
      <c r="N1065" s="140"/>
      <c r="O1065" s="67"/>
      <c r="P1065" s="67"/>
      <c r="Q1065" s="67"/>
      <c r="R1065" s="67"/>
      <c r="S1065" s="140"/>
      <c r="T1065" s="67"/>
      <c r="U1065" s="67"/>
      <c r="V1065" s="67"/>
      <c r="W1065" s="67"/>
      <c r="X1065" s="67"/>
      <c r="Y1065" s="67"/>
      <c r="Z1065" s="67"/>
      <c r="AA1065" s="67"/>
      <c r="AB1065" s="67"/>
      <c r="AC1065" s="67"/>
      <c r="AD1065" s="67"/>
      <c r="AE1065" s="67"/>
      <c r="AF1065" s="67"/>
      <c r="AG1065" s="67"/>
      <c r="AH1065" s="67"/>
    </row>
    <row r="1066" ht="12.0" hidden="1" customHeight="1">
      <c r="A1066" s="67"/>
      <c r="B1066" s="67"/>
      <c r="C1066" s="67"/>
      <c r="D1066" s="67"/>
      <c r="E1066" s="67"/>
      <c r="F1066" s="67"/>
      <c r="G1066" s="67"/>
      <c r="H1066" s="67"/>
      <c r="I1066" s="67"/>
      <c r="J1066" s="67"/>
      <c r="K1066" s="139"/>
      <c r="L1066" s="67"/>
      <c r="M1066" s="67"/>
      <c r="N1066" s="140"/>
      <c r="O1066" s="67"/>
      <c r="P1066" s="67"/>
      <c r="Q1066" s="67"/>
      <c r="R1066" s="67"/>
      <c r="S1066" s="140"/>
      <c r="T1066" s="67"/>
      <c r="U1066" s="67"/>
      <c r="V1066" s="67"/>
      <c r="W1066" s="67"/>
      <c r="X1066" s="67"/>
      <c r="Y1066" s="67"/>
      <c r="Z1066" s="67"/>
      <c r="AA1066" s="67"/>
      <c r="AB1066" s="67"/>
      <c r="AC1066" s="67"/>
      <c r="AD1066" s="67"/>
      <c r="AE1066" s="67"/>
      <c r="AF1066" s="67"/>
      <c r="AG1066" s="67"/>
      <c r="AH1066" s="67"/>
    </row>
    <row r="1067" ht="12.0" hidden="1" customHeight="1">
      <c r="A1067" s="67"/>
      <c r="B1067" s="67"/>
      <c r="C1067" s="67"/>
      <c r="D1067" s="67"/>
      <c r="E1067" s="67"/>
      <c r="F1067" s="67"/>
      <c r="G1067" s="67"/>
      <c r="H1067" s="67"/>
      <c r="I1067" s="67"/>
      <c r="J1067" s="67"/>
      <c r="K1067" s="139"/>
      <c r="L1067" s="67"/>
      <c r="M1067" s="67"/>
      <c r="N1067" s="140"/>
      <c r="O1067" s="67"/>
      <c r="P1067" s="67"/>
      <c r="Q1067" s="67"/>
      <c r="R1067" s="67"/>
      <c r="S1067" s="140"/>
      <c r="T1067" s="67"/>
      <c r="U1067" s="67"/>
      <c r="V1067" s="67"/>
      <c r="W1067" s="67"/>
      <c r="X1067" s="67"/>
      <c r="Y1067" s="67"/>
      <c r="Z1067" s="67"/>
      <c r="AA1067" s="67"/>
      <c r="AB1067" s="67"/>
      <c r="AC1067" s="67"/>
      <c r="AD1067" s="67"/>
      <c r="AE1067" s="67"/>
      <c r="AF1067" s="67"/>
      <c r="AG1067" s="67"/>
      <c r="AH1067" s="67"/>
    </row>
    <row r="1068" ht="12.0" hidden="1" customHeight="1">
      <c r="A1068" s="67"/>
      <c r="B1068" s="67"/>
      <c r="C1068" s="67"/>
      <c r="D1068" s="67"/>
      <c r="E1068" s="67"/>
      <c r="F1068" s="67"/>
      <c r="G1068" s="67"/>
      <c r="H1068" s="67"/>
      <c r="I1068" s="67"/>
      <c r="J1068" s="67"/>
      <c r="K1068" s="139"/>
      <c r="L1068" s="67"/>
      <c r="M1068" s="67"/>
      <c r="N1068" s="140"/>
      <c r="O1068" s="67"/>
      <c r="P1068" s="67"/>
      <c r="Q1068" s="67"/>
      <c r="R1068" s="67"/>
      <c r="S1068" s="140"/>
      <c r="T1068" s="67"/>
      <c r="U1068" s="67"/>
      <c r="V1068" s="67"/>
      <c r="W1068" s="67"/>
      <c r="X1068" s="67"/>
      <c r="Y1068" s="67"/>
      <c r="Z1068" s="67"/>
      <c r="AA1068" s="67"/>
      <c r="AB1068" s="67"/>
      <c r="AC1068" s="67"/>
      <c r="AD1068" s="67"/>
      <c r="AE1068" s="67"/>
      <c r="AF1068" s="67"/>
      <c r="AG1068" s="67"/>
      <c r="AH1068" s="67"/>
    </row>
    <row r="1069" ht="12.0" hidden="1" customHeight="1">
      <c r="A1069" s="67"/>
      <c r="B1069" s="67"/>
      <c r="C1069" s="67"/>
      <c r="D1069" s="67"/>
      <c r="E1069" s="67"/>
      <c r="F1069" s="67"/>
      <c r="G1069" s="67"/>
      <c r="H1069" s="67"/>
      <c r="I1069" s="67"/>
      <c r="J1069" s="67"/>
      <c r="K1069" s="139"/>
      <c r="L1069" s="67"/>
      <c r="M1069" s="67"/>
      <c r="N1069" s="140"/>
      <c r="O1069" s="67"/>
      <c r="P1069" s="67"/>
      <c r="Q1069" s="67"/>
      <c r="R1069" s="67"/>
      <c r="S1069" s="140"/>
      <c r="T1069" s="67"/>
      <c r="U1069" s="67"/>
      <c r="V1069" s="67"/>
      <c r="W1069" s="67"/>
      <c r="X1069" s="67"/>
      <c r="Y1069" s="67"/>
      <c r="Z1069" s="67"/>
      <c r="AA1069" s="67"/>
      <c r="AB1069" s="67"/>
      <c r="AC1069" s="67"/>
      <c r="AD1069" s="67"/>
      <c r="AE1069" s="67"/>
      <c r="AF1069" s="67"/>
      <c r="AG1069" s="67"/>
      <c r="AH1069" s="67"/>
    </row>
    <row r="1070" ht="12.0" hidden="1" customHeight="1">
      <c r="A1070" s="67"/>
      <c r="B1070" s="67"/>
      <c r="C1070" s="67"/>
      <c r="D1070" s="67"/>
      <c r="E1070" s="67"/>
      <c r="F1070" s="67"/>
      <c r="G1070" s="67"/>
      <c r="H1070" s="67"/>
      <c r="I1070" s="67"/>
      <c r="J1070" s="67"/>
      <c r="K1070" s="139"/>
      <c r="L1070" s="67"/>
      <c r="M1070" s="67"/>
      <c r="N1070" s="140"/>
      <c r="O1070" s="67"/>
      <c r="P1070" s="67"/>
      <c r="Q1070" s="67"/>
      <c r="R1070" s="67"/>
      <c r="S1070" s="140"/>
      <c r="T1070" s="67"/>
      <c r="U1070" s="67"/>
      <c r="V1070" s="67"/>
      <c r="W1070" s="67"/>
      <c r="X1070" s="67"/>
      <c r="Y1070" s="67"/>
      <c r="Z1070" s="67"/>
      <c r="AA1070" s="67"/>
      <c r="AB1070" s="67"/>
      <c r="AC1070" s="67"/>
      <c r="AD1070" s="67"/>
      <c r="AE1070" s="67"/>
      <c r="AF1070" s="67"/>
      <c r="AG1070" s="67"/>
      <c r="AH1070" s="67"/>
    </row>
    <row r="1071" ht="12.0" hidden="1" customHeight="1">
      <c r="A1071" s="67"/>
      <c r="B1071" s="67"/>
      <c r="C1071" s="67"/>
      <c r="D1071" s="67"/>
      <c r="E1071" s="67"/>
      <c r="F1071" s="67"/>
      <c r="G1071" s="67"/>
      <c r="H1071" s="67"/>
      <c r="I1071" s="67"/>
      <c r="J1071" s="67"/>
      <c r="K1071" s="139"/>
      <c r="L1071" s="67"/>
      <c r="M1071" s="67"/>
      <c r="N1071" s="140"/>
      <c r="O1071" s="67"/>
      <c r="P1071" s="67"/>
      <c r="Q1071" s="67"/>
      <c r="R1071" s="67"/>
      <c r="S1071" s="140"/>
      <c r="T1071" s="67"/>
      <c r="U1071" s="67"/>
      <c r="V1071" s="67"/>
      <c r="W1071" s="67"/>
      <c r="X1071" s="67"/>
      <c r="Y1071" s="67"/>
      <c r="Z1071" s="67"/>
      <c r="AA1071" s="67"/>
      <c r="AB1071" s="67"/>
      <c r="AC1071" s="67"/>
      <c r="AD1071" s="67"/>
      <c r="AE1071" s="67"/>
      <c r="AF1071" s="67"/>
      <c r="AG1071" s="67"/>
      <c r="AH1071" s="67"/>
    </row>
    <row r="1072" ht="12.0" hidden="1" customHeight="1">
      <c r="A1072" s="67"/>
      <c r="B1072" s="67"/>
      <c r="C1072" s="67"/>
      <c r="D1072" s="67"/>
      <c r="E1072" s="67"/>
      <c r="F1072" s="67"/>
      <c r="G1072" s="67"/>
      <c r="H1072" s="67"/>
      <c r="I1072" s="67"/>
      <c r="J1072" s="67"/>
      <c r="K1072" s="139"/>
      <c r="L1072" s="67"/>
      <c r="M1072" s="67"/>
      <c r="N1072" s="140"/>
      <c r="O1072" s="67"/>
      <c r="P1072" s="67"/>
      <c r="Q1072" s="67"/>
      <c r="R1072" s="67"/>
      <c r="S1072" s="140"/>
      <c r="T1072" s="67"/>
      <c r="U1072" s="67"/>
      <c r="V1072" s="67"/>
      <c r="W1072" s="67"/>
      <c r="X1072" s="67"/>
      <c r="Y1072" s="67"/>
      <c r="Z1072" s="67"/>
      <c r="AA1072" s="67"/>
      <c r="AB1072" s="67"/>
      <c r="AC1072" s="67"/>
      <c r="AD1072" s="67"/>
      <c r="AE1072" s="67"/>
      <c r="AF1072" s="67"/>
      <c r="AG1072" s="67"/>
      <c r="AH1072" s="67"/>
    </row>
    <row r="1073" ht="12.0" hidden="1" customHeight="1">
      <c r="A1073" s="67"/>
      <c r="B1073" s="67"/>
      <c r="C1073" s="67"/>
      <c r="D1073" s="67"/>
      <c r="E1073" s="67"/>
      <c r="F1073" s="67"/>
      <c r="G1073" s="67"/>
      <c r="H1073" s="67"/>
      <c r="I1073" s="67"/>
      <c r="J1073" s="67"/>
      <c r="K1073" s="139"/>
      <c r="L1073" s="67"/>
      <c r="M1073" s="67"/>
      <c r="N1073" s="140"/>
      <c r="O1073" s="67"/>
      <c r="P1073" s="67"/>
      <c r="Q1073" s="67"/>
      <c r="R1073" s="67"/>
      <c r="S1073" s="140"/>
      <c r="T1073" s="67"/>
      <c r="U1073" s="67"/>
      <c r="V1073" s="67"/>
      <c r="W1073" s="67"/>
      <c r="X1073" s="67"/>
      <c r="Y1073" s="67"/>
      <c r="Z1073" s="67"/>
      <c r="AA1073" s="67"/>
      <c r="AB1073" s="67"/>
      <c r="AC1073" s="67"/>
      <c r="AD1073" s="67"/>
      <c r="AE1073" s="67"/>
      <c r="AF1073" s="67"/>
      <c r="AG1073" s="67"/>
      <c r="AH1073" s="67"/>
    </row>
    <row r="1074" ht="12.0" hidden="1" customHeight="1">
      <c r="A1074" s="67"/>
      <c r="B1074" s="67"/>
      <c r="C1074" s="67"/>
      <c r="D1074" s="67"/>
      <c r="E1074" s="67"/>
      <c r="F1074" s="67"/>
      <c r="G1074" s="67"/>
      <c r="H1074" s="67"/>
      <c r="I1074" s="67"/>
      <c r="J1074" s="67"/>
      <c r="K1074" s="139"/>
      <c r="L1074" s="67"/>
      <c r="M1074" s="67"/>
      <c r="N1074" s="140"/>
      <c r="O1074" s="67"/>
      <c r="P1074" s="67"/>
      <c r="Q1074" s="67"/>
      <c r="R1074" s="67"/>
      <c r="S1074" s="140"/>
      <c r="T1074" s="67"/>
      <c r="U1074" s="67"/>
      <c r="V1074" s="67"/>
      <c r="W1074" s="67"/>
      <c r="X1074" s="67"/>
      <c r="Y1074" s="67"/>
      <c r="Z1074" s="67"/>
      <c r="AA1074" s="67"/>
      <c r="AB1074" s="67"/>
      <c r="AC1074" s="67"/>
      <c r="AD1074" s="67"/>
      <c r="AE1074" s="67"/>
      <c r="AF1074" s="67"/>
      <c r="AG1074" s="67"/>
      <c r="AH1074" s="67"/>
    </row>
    <row r="1075" ht="12.0" hidden="1" customHeight="1">
      <c r="A1075" s="67"/>
      <c r="B1075" s="67"/>
      <c r="C1075" s="67"/>
      <c r="D1075" s="67"/>
      <c r="E1075" s="67"/>
      <c r="F1075" s="67"/>
      <c r="G1075" s="67"/>
      <c r="H1075" s="67"/>
      <c r="I1075" s="67"/>
      <c r="J1075" s="67"/>
      <c r="K1075" s="139"/>
      <c r="L1075" s="67"/>
      <c r="M1075" s="67"/>
      <c r="N1075" s="140"/>
      <c r="O1075" s="67"/>
      <c r="P1075" s="67"/>
      <c r="Q1075" s="67"/>
      <c r="R1075" s="67"/>
      <c r="S1075" s="140"/>
      <c r="T1075" s="67"/>
      <c r="U1075" s="67"/>
      <c r="V1075" s="67"/>
      <c r="W1075" s="67"/>
      <c r="X1075" s="67"/>
      <c r="Y1075" s="67"/>
      <c r="Z1075" s="67"/>
      <c r="AA1075" s="67"/>
      <c r="AB1075" s="67"/>
      <c r="AC1075" s="67"/>
      <c r="AD1075" s="67"/>
      <c r="AE1075" s="67"/>
      <c r="AF1075" s="67"/>
      <c r="AG1075" s="67"/>
      <c r="AH1075" s="67"/>
    </row>
    <row r="1076" ht="12.0" hidden="1" customHeight="1">
      <c r="A1076" s="67"/>
      <c r="B1076" s="67"/>
      <c r="C1076" s="67"/>
      <c r="D1076" s="67"/>
      <c r="E1076" s="67"/>
      <c r="F1076" s="67"/>
      <c r="G1076" s="67"/>
      <c r="H1076" s="67"/>
      <c r="I1076" s="67"/>
      <c r="J1076" s="67"/>
      <c r="K1076" s="139"/>
      <c r="L1076" s="67"/>
      <c r="M1076" s="67"/>
      <c r="N1076" s="140"/>
      <c r="O1076" s="67"/>
      <c r="P1076" s="67"/>
      <c r="Q1076" s="67"/>
      <c r="R1076" s="67"/>
      <c r="S1076" s="140"/>
      <c r="T1076" s="67"/>
      <c r="U1076" s="67"/>
      <c r="V1076" s="67"/>
      <c r="W1076" s="67"/>
      <c r="X1076" s="67"/>
      <c r="Y1076" s="67"/>
      <c r="Z1076" s="67"/>
      <c r="AA1076" s="67"/>
      <c r="AB1076" s="67"/>
      <c r="AC1076" s="67"/>
      <c r="AD1076" s="67"/>
      <c r="AE1076" s="67"/>
      <c r="AF1076" s="67"/>
      <c r="AG1076" s="67"/>
      <c r="AH1076" s="67"/>
    </row>
    <row r="1077" ht="12.0" hidden="1" customHeight="1">
      <c r="A1077" s="67"/>
      <c r="B1077" s="67"/>
      <c r="C1077" s="67"/>
      <c r="D1077" s="67"/>
      <c r="E1077" s="67"/>
      <c r="F1077" s="67"/>
      <c r="G1077" s="67"/>
      <c r="H1077" s="67"/>
      <c r="I1077" s="67"/>
      <c r="J1077" s="67"/>
      <c r="K1077" s="139"/>
      <c r="L1077" s="67"/>
      <c r="M1077" s="67"/>
      <c r="N1077" s="140"/>
      <c r="O1077" s="67"/>
      <c r="P1077" s="67"/>
      <c r="Q1077" s="67"/>
      <c r="R1077" s="67"/>
      <c r="S1077" s="140"/>
      <c r="T1077" s="67"/>
      <c r="U1077" s="67"/>
      <c r="V1077" s="67"/>
      <c r="W1077" s="67"/>
      <c r="X1077" s="67"/>
      <c r="Y1077" s="67"/>
      <c r="Z1077" s="67"/>
      <c r="AA1077" s="67"/>
      <c r="AB1077" s="67"/>
      <c r="AC1077" s="67"/>
      <c r="AD1077" s="67"/>
      <c r="AE1077" s="67"/>
      <c r="AF1077" s="67"/>
      <c r="AG1077" s="67"/>
      <c r="AH1077" s="67"/>
    </row>
    <row r="1078" ht="12.0" hidden="1" customHeight="1">
      <c r="A1078" s="67"/>
      <c r="B1078" s="67"/>
      <c r="C1078" s="67"/>
      <c r="D1078" s="67"/>
      <c r="E1078" s="67"/>
      <c r="F1078" s="67"/>
      <c r="G1078" s="67"/>
      <c r="H1078" s="67"/>
      <c r="I1078" s="67"/>
      <c r="J1078" s="67"/>
      <c r="K1078" s="139"/>
      <c r="L1078" s="67"/>
      <c r="M1078" s="67"/>
      <c r="N1078" s="140"/>
      <c r="O1078" s="67"/>
      <c r="P1078" s="67"/>
      <c r="Q1078" s="67"/>
      <c r="R1078" s="67"/>
      <c r="S1078" s="140"/>
      <c r="T1078" s="67"/>
      <c r="U1078" s="67"/>
      <c r="V1078" s="67"/>
      <c r="W1078" s="67"/>
      <c r="X1078" s="67"/>
      <c r="Y1078" s="67"/>
      <c r="Z1078" s="67"/>
      <c r="AA1078" s="67"/>
      <c r="AB1078" s="67"/>
      <c r="AC1078" s="67"/>
      <c r="AD1078" s="67"/>
      <c r="AE1078" s="67"/>
      <c r="AF1078" s="67"/>
      <c r="AG1078" s="67"/>
      <c r="AH1078" s="67"/>
    </row>
    <row r="1079" ht="12.0" hidden="1" customHeight="1">
      <c r="A1079" s="67"/>
      <c r="B1079" s="67"/>
      <c r="C1079" s="67"/>
      <c r="D1079" s="67"/>
      <c r="E1079" s="67"/>
      <c r="F1079" s="67"/>
      <c r="G1079" s="67"/>
      <c r="H1079" s="67"/>
      <c r="I1079" s="67"/>
      <c r="J1079" s="67"/>
      <c r="K1079" s="139"/>
      <c r="L1079" s="67"/>
      <c r="M1079" s="67"/>
      <c r="N1079" s="140"/>
      <c r="O1079" s="67"/>
      <c r="P1079" s="67"/>
      <c r="Q1079" s="67"/>
      <c r="R1079" s="67"/>
      <c r="S1079" s="140"/>
      <c r="T1079" s="67"/>
      <c r="U1079" s="67"/>
      <c r="V1079" s="67"/>
      <c r="W1079" s="67"/>
      <c r="X1079" s="67"/>
      <c r="Y1079" s="67"/>
      <c r="Z1079" s="67"/>
      <c r="AA1079" s="67"/>
      <c r="AB1079" s="67"/>
      <c r="AC1079" s="67"/>
      <c r="AD1079" s="67"/>
      <c r="AE1079" s="67"/>
      <c r="AF1079" s="67"/>
      <c r="AG1079" s="67"/>
      <c r="AH1079" s="67"/>
    </row>
    <row r="1080" ht="12.0" hidden="1" customHeight="1">
      <c r="A1080" s="67"/>
      <c r="B1080" s="67"/>
      <c r="C1080" s="67"/>
      <c r="D1080" s="67"/>
      <c r="E1080" s="67"/>
      <c r="F1080" s="67"/>
      <c r="G1080" s="67"/>
      <c r="H1080" s="67"/>
      <c r="I1080" s="67"/>
      <c r="J1080" s="67"/>
      <c r="K1080" s="139"/>
      <c r="L1080" s="67"/>
      <c r="M1080" s="67"/>
      <c r="N1080" s="140"/>
      <c r="O1080" s="67"/>
      <c r="P1080" s="67"/>
      <c r="Q1080" s="67"/>
      <c r="R1080" s="67"/>
      <c r="S1080" s="140"/>
      <c r="T1080" s="67"/>
      <c r="U1080" s="67"/>
      <c r="V1080" s="67"/>
      <c r="W1080" s="67"/>
      <c r="X1080" s="67"/>
      <c r="Y1080" s="67"/>
      <c r="Z1080" s="67"/>
      <c r="AA1080" s="67"/>
      <c r="AB1080" s="67"/>
      <c r="AC1080" s="67"/>
      <c r="AD1080" s="67"/>
      <c r="AE1080" s="67"/>
      <c r="AF1080" s="67"/>
      <c r="AG1080" s="67"/>
      <c r="AH1080" s="67"/>
    </row>
    <row r="1081" ht="12.0" hidden="1" customHeight="1">
      <c r="A1081" s="67"/>
      <c r="B1081" s="67"/>
      <c r="C1081" s="67"/>
      <c r="D1081" s="67"/>
      <c r="E1081" s="67"/>
      <c r="F1081" s="67"/>
      <c r="G1081" s="67"/>
      <c r="H1081" s="67"/>
      <c r="I1081" s="67"/>
      <c r="J1081" s="67"/>
      <c r="K1081" s="139"/>
      <c r="L1081" s="67"/>
      <c r="M1081" s="67"/>
      <c r="N1081" s="140"/>
      <c r="O1081" s="67"/>
      <c r="P1081" s="67"/>
      <c r="Q1081" s="67"/>
      <c r="R1081" s="67"/>
      <c r="S1081" s="140"/>
      <c r="T1081" s="67"/>
      <c r="U1081" s="67"/>
      <c r="V1081" s="67"/>
      <c r="W1081" s="67"/>
      <c r="X1081" s="67"/>
      <c r="Y1081" s="67"/>
      <c r="Z1081" s="67"/>
      <c r="AA1081" s="67"/>
      <c r="AB1081" s="67"/>
      <c r="AC1081" s="67"/>
      <c r="AD1081" s="67"/>
      <c r="AE1081" s="67"/>
      <c r="AF1081" s="67"/>
      <c r="AG1081" s="67"/>
      <c r="AH1081" s="67"/>
    </row>
    <row r="1082" ht="12.0" hidden="1" customHeight="1">
      <c r="A1082" s="67"/>
      <c r="B1082" s="67"/>
      <c r="C1082" s="67"/>
      <c r="D1082" s="67"/>
      <c r="E1082" s="67"/>
      <c r="F1082" s="67"/>
      <c r="G1082" s="67"/>
      <c r="H1082" s="67"/>
      <c r="I1082" s="67"/>
      <c r="J1082" s="67"/>
      <c r="K1082" s="139"/>
      <c r="L1082" s="67"/>
      <c r="M1082" s="67"/>
      <c r="N1082" s="140"/>
      <c r="O1082" s="67"/>
      <c r="P1082" s="67"/>
      <c r="Q1082" s="67"/>
      <c r="R1082" s="67"/>
      <c r="S1082" s="140"/>
      <c r="T1082" s="67"/>
      <c r="U1082" s="67"/>
      <c r="V1082" s="67"/>
      <c r="W1082" s="67"/>
      <c r="X1082" s="67"/>
      <c r="Y1082" s="67"/>
      <c r="Z1082" s="67"/>
      <c r="AA1082" s="67"/>
      <c r="AB1082" s="67"/>
      <c r="AC1082" s="67"/>
      <c r="AD1082" s="67"/>
      <c r="AE1082" s="67"/>
      <c r="AF1082" s="67"/>
      <c r="AG1082" s="67"/>
      <c r="AH1082" s="67"/>
    </row>
    <row r="1083" ht="12.0" hidden="1" customHeight="1">
      <c r="A1083" s="67"/>
      <c r="B1083" s="67"/>
      <c r="C1083" s="67"/>
      <c r="D1083" s="67"/>
      <c r="E1083" s="67"/>
      <c r="F1083" s="67"/>
      <c r="G1083" s="67"/>
      <c r="H1083" s="67"/>
      <c r="I1083" s="67"/>
      <c r="J1083" s="67"/>
      <c r="K1083" s="139"/>
      <c r="L1083" s="67"/>
      <c r="M1083" s="67"/>
      <c r="N1083" s="140"/>
      <c r="O1083" s="67"/>
      <c r="P1083" s="67"/>
      <c r="Q1083" s="67"/>
      <c r="R1083" s="67"/>
      <c r="S1083" s="140"/>
      <c r="T1083" s="67"/>
      <c r="U1083" s="67"/>
      <c r="V1083" s="67"/>
      <c r="W1083" s="67"/>
      <c r="X1083" s="67"/>
      <c r="Y1083" s="67"/>
      <c r="Z1083" s="67"/>
      <c r="AA1083" s="67"/>
      <c r="AB1083" s="67"/>
      <c r="AC1083" s="67"/>
      <c r="AD1083" s="67"/>
      <c r="AE1083" s="67"/>
      <c r="AF1083" s="67"/>
      <c r="AG1083" s="67"/>
      <c r="AH1083" s="67"/>
    </row>
    <row r="1084" ht="12.0" hidden="1" customHeight="1">
      <c r="A1084" s="67"/>
      <c r="B1084" s="67"/>
      <c r="C1084" s="67"/>
      <c r="D1084" s="67"/>
      <c r="E1084" s="67"/>
      <c r="F1084" s="67"/>
      <c r="G1084" s="67"/>
      <c r="H1084" s="67"/>
      <c r="I1084" s="67"/>
      <c r="J1084" s="67"/>
      <c r="K1084" s="139"/>
      <c r="L1084" s="67"/>
      <c r="M1084" s="67"/>
      <c r="N1084" s="140"/>
      <c r="O1084" s="67"/>
      <c r="P1084" s="67"/>
      <c r="Q1084" s="67"/>
      <c r="R1084" s="67"/>
      <c r="S1084" s="140"/>
      <c r="T1084" s="67"/>
      <c r="U1084" s="67"/>
      <c r="V1084" s="67"/>
      <c r="W1084" s="67"/>
      <c r="X1084" s="67"/>
      <c r="Y1084" s="67"/>
      <c r="Z1084" s="67"/>
      <c r="AA1084" s="67"/>
      <c r="AB1084" s="67"/>
      <c r="AC1084" s="67"/>
      <c r="AD1084" s="67"/>
      <c r="AE1084" s="67"/>
      <c r="AF1084" s="67"/>
      <c r="AG1084" s="67"/>
      <c r="AH1084" s="67"/>
    </row>
    <row r="1085" ht="12.0" hidden="1" customHeight="1">
      <c r="A1085" s="67"/>
      <c r="B1085" s="67"/>
      <c r="C1085" s="67"/>
      <c r="D1085" s="67"/>
      <c r="E1085" s="67"/>
      <c r="F1085" s="67"/>
      <c r="G1085" s="67"/>
      <c r="H1085" s="67"/>
      <c r="I1085" s="67"/>
      <c r="J1085" s="67"/>
      <c r="K1085" s="139"/>
      <c r="L1085" s="67"/>
      <c r="M1085" s="67"/>
      <c r="N1085" s="140"/>
      <c r="O1085" s="67"/>
      <c r="P1085" s="67"/>
      <c r="Q1085" s="67"/>
      <c r="R1085" s="67"/>
      <c r="S1085" s="140"/>
      <c r="T1085" s="67"/>
      <c r="U1085" s="67"/>
      <c r="V1085" s="67"/>
      <c r="W1085" s="67"/>
      <c r="X1085" s="67"/>
      <c r="Y1085" s="67"/>
      <c r="Z1085" s="67"/>
      <c r="AA1085" s="67"/>
      <c r="AB1085" s="67"/>
      <c r="AC1085" s="67"/>
      <c r="AD1085" s="67"/>
      <c r="AE1085" s="67"/>
      <c r="AF1085" s="67"/>
      <c r="AG1085" s="67"/>
      <c r="AH1085" s="67"/>
    </row>
    <row r="1086" ht="12.0" hidden="1" customHeight="1">
      <c r="A1086" s="67"/>
      <c r="B1086" s="67"/>
      <c r="C1086" s="67"/>
      <c r="D1086" s="67"/>
      <c r="E1086" s="67"/>
      <c r="F1086" s="67"/>
      <c r="G1086" s="67"/>
      <c r="H1086" s="67"/>
      <c r="I1086" s="67"/>
      <c r="J1086" s="67"/>
      <c r="K1086" s="139"/>
      <c r="L1086" s="67"/>
      <c r="M1086" s="67"/>
      <c r="N1086" s="140"/>
      <c r="O1086" s="67"/>
      <c r="P1086" s="67"/>
      <c r="Q1086" s="67"/>
      <c r="R1086" s="67"/>
      <c r="S1086" s="140"/>
      <c r="T1086" s="67"/>
      <c r="U1086" s="67"/>
      <c r="V1086" s="67"/>
      <c r="W1086" s="67"/>
      <c r="X1086" s="67"/>
      <c r="Y1086" s="67"/>
      <c r="Z1086" s="67"/>
      <c r="AA1086" s="67"/>
      <c r="AB1086" s="67"/>
      <c r="AC1086" s="67"/>
      <c r="AD1086" s="67"/>
      <c r="AE1086" s="67"/>
      <c r="AF1086" s="67"/>
      <c r="AG1086" s="67"/>
      <c r="AH1086" s="67"/>
    </row>
    <row r="1087" ht="12.0" hidden="1" customHeight="1">
      <c r="A1087" s="67"/>
      <c r="B1087" s="67"/>
      <c r="C1087" s="67"/>
      <c r="D1087" s="67"/>
      <c r="E1087" s="67"/>
      <c r="F1087" s="67"/>
      <c r="G1087" s="67"/>
      <c r="H1087" s="67"/>
      <c r="I1087" s="67"/>
      <c r="J1087" s="67"/>
      <c r="K1087" s="139"/>
      <c r="L1087" s="67"/>
      <c r="M1087" s="67"/>
      <c r="N1087" s="140"/>
      <c r="O1087" s="67"/>
      <c r="P1087" s="67"/>
      <c r="Q1087" s="67"/>
      <c r="R1087" s="67"/>
      <c r="S1087" s="140"/>
      <c r="T1087" s="67"/>
      <c r="U1087" s="67"/>
      <c r="V1087" s="67"/>
      <c r="W1087" s="67"/>
      <c r="X1087" s="67"/>
      <c r="Y1087" s="67"/>
      <c r="Z1087" s="67"/>
      <c r="AA1087" s="67"/>
      <c r="AB1087" s="67"/>
      <c r="AC1087" s="67"/>
      <c r="AD1087" s="67"/>
      <c r="AE1087" s="67"/>
      <c r="AF1087" s="67"/>
      <c r="AG1087" s="67"/>
      <c r="AH1087" s="67"/>
    </row>
    <row r="1088" ht="12.0" hidden="1" customHeight="1">
      <c r="A1088" s="67"/>
      <c r="B1088" s="67"/>
      <c r="C1088" s="67"/>
      <c r="D1088" s="67"/>
      <c r="E1088" s="67"/>
      <c r="F1088" s="67"/>
      <c r="G1088" s="67"/>
      <c r="H1088" s="67"/>
      <c r="I1088" s="67"/>
      <c r="J1088" s="67"/>
      <c r="K1088" s="139"/>
      <c r="L1088" s="67"/>
      <c r="M1088" s="67"/>
      <c r="N1088" s="140"/>
      <c r="O1088" s="67"/>
      <c r="P1088" s="67"/>
      <c r="Q1088" s="67"/>
      <c r="R1088" s="67"/>
      <c r="S1088" s="140"/>
      <c r="T1088" s="67"/>
      <c r="U1088" s="67"/>
      <c r="V1088" s="67"/>
      <c r="W1088" s="67"/>
      <c r="X1088" s="67"/>
      <c r="Y1088" s="67"/>
      <c r="Z1088" s="67"/>
      <c r="AA1088" s="67"/>
      <c r="AB1088" s="67"/>
      <c r="AC1088" s="67"/>
      <c r="AD1088" s="67"/>
      <c r="AE1088" s="67"/>
      <c r="AF1088" s="67"/>
      <c r="AG1088" s="67"/>
      <c r="AH1088" s="67"/>
    </row>
    <row r="1089" ht="12.0" hidden="1" customHeight="1">
      <c r="A1089" s="67"/>
      <c r="B1089" s="67"/>
      <c r="C1089" s="67"/>
      <c r="D1089" s="67"/>
      <c r="E1089" s="67"/>
      <c r="F1089" s="67"/>
      <c r="G1089" s="67"/>
      <c r="H1089" s="67"/>
      <c r="I1089" s="67"/>
      <c r="J1089" s="67"/>
      <c r="K1089" s="139"/>
      <c r="L1089" s="67"/>
      <c r="M1089" s="67"/>
      <c r="N1089" s="140"/>
      <c r="O1089" s="67"/>
      <c r="P1089" s="67"/>
      <c r="Q1089" s="67"/>
      <c r="R1089" s="67"/>
      <c r="S1089" s="140"/>
      <c r="T1089" s="67"/>
      <c r="U1089" s="67"/>
      <c r="V1089" s="67"/>
      <c r="W1089" s="67"/>
      <c r="X1089" s="67"/>
      <c r="Y1089" s="67"/>
      <c r="Z1089" s="67"/>
      <c r="AA1089" s="67"/>
      <c r="AB1089" s="67"/>
      <c r="AC1089" s="67"/>
      <c r="AD1089" s="67"/>
      <c r="AE1089" s="67"/>
      <c r="AF1089" s="67"/>
      <c r="AG1089" s="67"/>
      <c r="AH1089" s="67"/>
    </row>
    <row r="1090" ht="12.0" hidden="1" customHeight="1">
      <c r="A1090" s="67"/>
      <c r="B1090" s="67"/>
      <c r="C1090" s="67"/>
      <c r="D1090" s="67"/>
      <c r="E1090" s="67"/>
      <c r="F1090" s="67"/>
      <c r="G1090" s="67"/>
      <c r="H1090" s="67"/>
      <c r="I1090" s="67"/>
      <c r="J1090" s="67"/>
      <c r="K1090" s="139"/>
      <c r="L1090" s="67"/>
      <c r="M1090" s="67"/>
      <c r="N1090" s="140"/>
      <c r="O1090" s="67"/>
      <c r="P1090" s="67"/>
      <c r="Q1090" s="67"/>
      <c r="R1090" s="67"/>
      <c r="S1090" s="140"/>
      <c r="T1090" s="67"/>
      <c r="U1090" s="67"/>
      <c r="V1090" s="67"/>
      <c r="W1090" s="67"/>
      <c r="X1090" s="67"/>
      <c r="Y1090" s="67"/>
      <c r="Z1090" s="67"/>
      <c r="AA1090" s="67"/>
      <c r="AB1090" s="67"/>
      <c r="AC1090" s="67"/>
      <c r="AD1090" s="67"/>
      <c r="AE1090" s="67"/>
      <c r="AF1090" s="67"/>
      <c r="AG1090" s="67"/>
      <c r="AH1090" s="67"/>
    </row>
    <row r="1091" ht="12.0" hidden="1" customHeight="1">
      <c r="A1091" s="67"/>
      <c r="B1091" s="67"/>
      <c r="C1091" s="67"/>
      <c r="D1091" s="67"/>
      <c r="E1091" s="67"/>
      <c r="F1091" s="67"/>
      <c r="G1091" s="67"/>
      <c r="H1091" s="67"/>
      <c r="I1091" s="67"/>
      <c r="J1091" s="67"/>
      <c r="K1091" s="139"/>
      <c r="L1091" s="67"/>
      <c r="M1091" s="67"/>
      <c r="N1091" s="140"/>
      <c r="O1091" s="67"/>
      <c r="P1091" s="67"/>
      <c r="Q1091" s="67"/>
      <c r="R1091" s="67"/>
      <c r="S1091" s="140"/>
      <c r="T1091" s="67"/>
      <c r="U1091" s="67"/>
      <c r="V1091" s="67"/>
      <c r="W1091" s="67"/>
      <c r="X1091" s="67"/>
      <c r="Y1091" s="67"/>
      <c r="Z1091" s="67"/>
      <c r="AA1091" s="67"/>
      <c r="AB1091" s="67"/>
      <c r="AC1091" s="67"/>
      <c r="AD1091" s="67"/>
      <c r="AE1091" s="67"/>
      <c r="AF1091" s="67"/>
      <c r="AG1091" s="67"/>
      <c r="AH1091" s="67"/>
    </row>
    <row r="1092" ht="12.0" hidden="1" customHeight="1">
      <c r="A1092" s="67"/>
      <c r="B1092" s="67"/>
      <c r="C1092" s="67"/>
      <c r="D1092" s="67"/>
      <c r="E1092" s="67"/>
      <c r="F1092" s="67"/>
      <c r="G1092" s="67"/>
      <c r="H1092" s="67"/>
      <c r="I1092" s="67"/>
      <c r="J1092" s="67"/>
      <c r="K1092" s="139"/>
      <c r="L1092" s="67"/>
      <c r="M1092" s="67"/>
      <c r="N1092" s="140"/>
      <c r="O1092" s="67"/>
      <c r="P1092" s="67"/>
      <c r="Q1092" s="67"/>
      <c r="R1092" s="67"/>
      <c r="S1092" s="140"/>
      <c r="T1092" s="67"/>
      <c r="U1092" s="67"/>
      <c r="V1092" s="67"/>
      <c r="W1092" s="67"/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</row>
    <row r="1093" ht="12.0" hidden="1" customHeight="1">
      <c r="A1093" s="67"/>
      <c r="B1093" s="67"/>
      <c r="C1093" s="67"/>
      <c r="D1093" s="67"/>
      <c r="E1093" s="67"/>
      <c r="F1093" s="67"/>
      <c r="G1093" s="67"/>
      <c r="H1093" s="67"/>
      <c r="I1093" s="67"/>
      <c r="J1093" s="67"/>
      <c r="K1093" s="139"/>
      <c r="L1093" s="67"/>
      <c r="M1093" s="67"/>
      <c r="N1093" s="140"/>
      <c r="O1093" s="67"/>
      <c r="P1093" s="67"/>
      <c r="Q1093" s="67"/>
      <c r="R1093" s="67"/>
      <c r="S1093" s="140"/>
      <c r="T1093" s="67"/>
      <c r="U1093" s="67"/>
      <c r="V1093" s="67"/>
      <c r="W1093" s="67"/>
      <c r="X1093" s="67"/>
      <c r="Y1093" s="67"/>
      <c r="Z1093" s="67"/>
      <c r="AA1093" s="67"/>
      <c r="AB1093" s="67"/>
      <c r="AC1093" s="67"/>
      <c r="AD1093" s="67"/>
      <c r="AE1093" s="67"/>
      <c r="AF1093" s="67"/>
      <c r="AG1093" s="67"/>
      <c r="AH1093" s="67"/>
    </row>
    <row r="1094" ht="12.0" hidden="1" customHeight="1">
      <c r="A1094" s="67"/>
      <c r="B1094" s="67"/>
      <c r="C1094" s="67"/>
      <c r="D1094" s="67"/>
      <c r="E1094" s="67"/>
      <c r="F1094" s="67"/>
      <c r="G1094" s="67"/>
      <c r="H1094" s="67"/>
      <c r="I1094" s="67"/>
      <c r="J1094" s="67"/>
      <c r="K1094" s="139"/>
      <c r="L1094" s="67"/>
      <c r="M1094" s="67"/>
      <c r="N1094" s="140"/>
      <c r="O1094" s="67"/>
      <c r="P1094" s="67"/>
      <c r="Q1094" s="67"/>
      <c r="R1094" s="67"/>
      <c r="S1094" s="140"/>
      <c r="T1094" s="67"/>
      <c r="U1094" s="67"/>
      <c r="V1094" s="67"/>
      <c r="W1094" s="67"/>
      <c r="X1094" s="67"/>
      <c r="Y1094" s="67"/>
      <c r="Z1094" s="67"/>
      <c r="AA1094" s="67"/>
      <c r="AB1094" s="67"/>
      <c r="AC1094" s="67"/>
      <c r="AD1094" s="67"/>
      <c r="AE1094" s="67"/>
      <c r="AF1094" s="67"/>
      <c r="AG1094" s="67"/>
      <c r="AH1094" s="67"/>
    </row>
    <row r="1095" ht="12.0" hidden="1" customHeight="1">
      <c r="A1095" s="67"/>
      <c r="B1095" s="67"/>
      <c r="C1095" s="67"/>
      <c r="D1095" s="67"/>
      <c r="E1095" s="67"/>
      <c r="F1095" s="67"/>
      <c r="G1095" s="67"/>
      <c r="H1095" s="67"/>
      <c r="I1095" s="67"/>
      <c r="J1095" s="67"/>
      <c r="K1095" s="139"/>
      <c r="L1095" s="67"/>
      <c r="M1095" s="67"/>
      <c r="N1095" s="140"/>
      <c r="O1095" s="67"/>
      <c r="P1095" s="67"/>
      <c r="Q1095" s="67"/>
      <c r="R1095" s="67"/>
      <c r="S1095" s="140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ht="12.0" hidden="1" customHeight="1">
      <c r="A1096" s="67"/>
      <c r="B1096" s="67"/>
      <c r="C1096" s="67"/>
      <c r="D1096" s="67"/>
      <c r="E1096" s="67"/>
      <c r="F1096" s="67"/>
      <c r="G1096" s="67"/>
      <c r="H1096" s="67"/>
      <c r="I1096" s="67"/>
      <c r="J1096" s="67"/>
      <c r="K1096" s="139"/>
      <c r="L1096" s="67"/>
      <c r="M1096" s="67"/>
      <c r="N1096" s="140"/>
      <c r="O1096" s="67"/>
      <c r="P1096" s="67"/>
      <c r="Q1096" s="67"/>
      <c r="R1096" s="67"/>
      <c r="S1096" s="140"/>
      <c r="T1096" s="67"/>
      <c r="U1096" s="67"/>
      <c r="V1096" s="67"/>
      <c r="W1096" s="67"/>
      <c r="X1096" s="67"/>
      <c r="Y1096" s="67"/>
      <c r="Z1096" s="67"/>
      <c r="AA1096" s="67"/>
      <c r="AB1096" s="67"/>
      <c r="AC1096" s="67"/>
      <c r="AD1096" s="67"/>
      <c r="AE1096" s="67"/>
      <c r="AF1096" s="67"/>
      <c r="AG1096" s="67"/>
      <c r="AH1096" s="67"/>
    </row>
    <row r="1097" ht="12.0" hidden="1" customHeight="1">
      <c r="A1097" s="67"/>
      <c r="B1097" s="67"/>
      <c r="C1097" s="67"/>
      <c r="D1097" s="67"/>
      <c r="E1097" s="67"/>
      <c r="F1097" s="67"/>
      <c r="G1097" s="67"/>
      <c r="H1097" s="67"/>
      <c r="I1097" s="67"/>
      <c r="J1097" s="67"/>
      <c r="K1097" s="139"/>
      <c r="L1097" s="67"/>
      <c r="M1097" s="67"/>
      <c r="N1097" s="140"/>
      <c r="O1097" s="67"/>
      <c r="P1097" s="67"/>
      <c r="Q1097" s="67"/>
      <c r="R1097" s="67"/>
      <c r="S1097" s="140"/>
      <c r="T1097" s="67"/>
      <c r="U1097" s="67"/>
      <c r="V1097" s="67"/>
      <c r="W1097" s="67"/>
      <c r="X1097" s="67"/>
      <c r="Y1097" s="67"/>
      <c r="Z1097" s="67"/>
      <c r="AA1097" s="67"/>
      <c r="AB1097" s="67"/>
      <c r="AC1097" s="67"/>
      <c r="AD1097" s="67"/>
      <c r="AE1097" s="67"/>
      <c r="AF1097" s="67"/>
      <c r="AG1097" s="67"/>
      <c r="AH1097" s="67"/>
    </row>
    <row r="1098" ht="12.0" hidden="1" customHeight="1">
      <c r="A1098" s="67"/>
      <c r="B1098" s="67"/>
      <c r="C1098" s="67"/>
      <c r="D1098" s="67"/>
      <c r="E1098" s="67"/>
      <c r="F1098" s="67"/>
      <c r="G1098" s="67"/>
      <c r="H1098" s="67"/>
      <c r="I1098" s="67"/>
      <c r="J1098" s="67"/>
      <c r="K1098" s="139"/>
      <c r="L1098" s="67"/>
      <c r="M1098" s="67"/>
      <c r="N1098" s="140"/>
      <c r="O1098" s="67"/>
      <c r="P1098" s="67"/>
      <c r="Q1098" s="67"/>
      <c r="R1098" s="67"/>
      <c r="S1098" s="140"/>
      <c r="T1098" s="67"/>
      <c r="U1098" s="67"/>
      <c r="V1098" s="67"/>
      <c r="W1098" s="67"/>
      <c r="X1098" s="67"/>
      <c r="Y1098" s="67"/>
      <c r="Z1098" s="67"/>
      <c r="AA1098" s="67"/>
      <c r="AB1098" s="67"/>
      <c r="AC1098" s="67"/>
      <c r="AD1098" s="67"/>
      <c r="AE1098" s="67"/>
      <c r="AF1098" s="67"/>
      <c r="AG1098" s="67"/>
      <c r="AH1098" s="67"/>
    </row>
    <row r="1099" ht="12.0" hidden="1" customHeight="1">
      <c r="A1099" s="67"/>
      <c r="B1099" s="67"/>
      <c r="C1099" s="67"/>
      <c r="D1099" s="67"/>
      <c r="E1099" s="67"/>
      <c r="F1099" s="67"/>
      <c r="G1099" s="67"/>
      <c r="H1099" s="67"/>
      <c r="I1099" s="67"/>
      <c r="J1099" s="67"/>
      <c r="K1099" s="139"/>
      <c r="L1099" s="67"/>
      <c r="M1099" s="67"/>
      <c r="N1099" s="140"/>
      <c r="O1099" s="67"/>
      <c r="P1099" s="67"/>
      <c r="Q1099" s="67"/>
      <c r="R1099" s="67"/>
      <c r="S1099" s="140"/>
      <c r="T1099" s="67"/>
      <c r="U1099" s="67"/>
      <c r="V1099" s="67"/>
      <c r="W1099" s="67"/>
      <c r="X1099" s="67"/>
      <c r="Y1099" s="67"/>
      <c r="Z1099" s="67"/>
      <c r="AA1099" s="67"/>
      <c r="AB1099" s="67"/>
      <c r="AC1099" s="67"/>
      <c r="AD1099" s="67"/>
      <c r="AE1099" s="67"/>
      <c r="AF1099" s="67"/>
      <c r="AG1099" s="67"/>
      <c r="AH1099" s="67"/>
    </row>
    <row r="1100" ht="12.0" hidden="1" customHeight="1">
      <c r="A1100" s="67"/>
      <c r="B1100" s="67"/>
      <c r="C1100" s="67"/>
      <c r="D1100" s="67"/>
      <c r="E1100" s="67"/>
      <c r="F1100" s="67"/>
      <c r="G1100" s="67"/>
      <c r="H1100" s="67"/>
      <c r="I1100" s="67"/>
      <c r="J1100" s="67"/>
      <c r="K1100" s="139"/>
      <c r="L1100" s="67"/>
      <c r="M1100" s="67"/>
      <c r="N1100" s="140"/>
      <c r="O1100" s="67"/>
      <c r="P1100" s="67"/>
      <c r="Q1100" s="67"/>
      <c r="R1100" s="67"/>
      <c r="S1100" s="140"/>
      <c r="T1100" s="67"/>
      <c r="U1100" s="67"/>
      <c r="V1100" s="67"/>
      <c r="W1100" s="67"/>
      <c r="X1100" s="67"/>
      <c r="Y1100" s="67"/>
      <c r="Z1100" s="67"/>
      <c r="AA1100" s="67"/>
      <c r="AB1100" s="67"/>
      <c r="AC1100" s="67"/>
      <c r="AD1100" s="67"/>
      <c r="AE1100" s="67"/>
      <c r="AF1100" s="67"/>
      <c r="AG1100" s="67"/>
      <c r="AH1100" s="67"/>
    </row>
    <row r="1101" ht="12.0" hidden="1" customHeight="1">
      <c r="A1101" s="67"/>
      <c r="B1101" s="67"/>
      <c r="C1101" s="67"/>
      <c r="D1101" s="67"/>
      <c r="E1101" s="67"/>
      <c r="F1101" s="67"/>
      <c r="G1101" s="67"/>
      <c r="H1101" s="67"/>
      <c r="I1101" s="67"/>
      <c r="J1101" s="67"/>
      <c r="K1101" s="139"/>
      <c r="L1101" s="67"/>
      <c r="M1101" s="67"/>
      <c r="N1101" s="140"/>
      <c r="O1101" s="67"/>
      <c r="P1101" s="67"/>
      <c r="Q1101" s="67"/>
      <c r="R1101" s="67"/>
      <c r="S1101" s="140"/>
      <c r="T1101" s="67"/>
      <c r="U1101" s="67"/>
      <c r="V1101" s="67"/>
      <c r="W1101" s="67"/>
      <c r="X1101" s="67"/>
      <c r="Y1101" s="67"/>
      <c r="Z1101" s="67"/>
      <c r="AA1101" s="67"/>
      <c r="AB1101" s="67"/>
      <c r="AC1101" s="67"/>
      <c r="AD1101" s="67"/>
      <c r="AE1101" s="67"/>
      <c r="AF1101" s="67"/>
      <c r="AG1101" s="67"/>
      <c r="AH1101" s="67"/>
    </row>
    <row r="1102" ht="12.0" hidden="1" customHeight="1">
      <c r="A1102" s="67"/>
      <c r="B1102" s="67"/>
      <c r="C1102" s="67"/>
      <c r="D1102" s="67"/>
      <c r="E1102" s="67"/>
      <c r="F1102" s="67"/>
      <c r="G1102" s="67"/>
      <c r="H1102" s="67"/>
      <c r="I1102" s="67"/>
      <c r="J1102" s="67"/>
      <c r="K1102" s="139"/>
      <c r="L1102" s="67"/>
      <c r="M1102" s="67"/>
      <c r="N1102" s="140"/>
      <c r="O1102" s="67"/>
      <c r="P1102" s="67"/>
      <c r="Q1102" s="67"/>
      <c r="R1102" s="67"/>
      <c r="S1102" s="140"/>
      <c r="T1102" s="67"/>
      <c r="U1102" s="67"/>
      <c r="V1102" s="67"/>
      <c r="W1102" s="67"/>
      <c r="X1102" s="67"/>
      <c r="Y1102" s="67"/>
      <c r="Z1102" s="67"/>
      <c r="AA1102" s="67"/>
      <c r="AB1102" s="67"/>
      <c r="AC1102" s="67"/>
      <c r="AD1102" s="67"/>
      <c r="AE1102" s="67"/>
      <c r="AF1102" s="67"/>
      <c r="AG1102" s="67"/>
      <c r="AH1102" s="67"/>
    </row>
    <row r="1103" ht="12.0" hidden="1" customHeight="1">
      <c r="A1103" s="67"/>
      <c r="B1103" s="67"/>
      <c r="C1103" s="67"/>
      <c r="D1103" s="67"/>
      <c r="E1103" s="67"/>
      <c r="F1103" s="67"/>
      <c r="G1103" s="67"/>
      <c r="H1103" s="67"/>
      <c r="I1103" s="67"/>
      <c r="J1103" s="67"/>
      <c r="K1103" s="139"/>
      <c r="L1103" s="67"/>
      <c r="M1103" s="67"/>
      <c r="N1103" s="140"/>
      <c r="O1103" s="67"/>
      <c r="P1103" s="67"/>
      <c r="Q1103" s="67"/>
      <c r="R1103" s="67"/>
      <c r="S1103" s="140"/>
      <c r="T1103" s="67"/>
      <c r="U1103" s="67"/>
      <c r="V1103" s="67"/>
      <c r="W1103" s="67"/>
      <c r="X1103" s="67"/>
      <c r="Y1103" s="67"/>
      <c r="Z1103" s="67"/>
      <c r="AA1103" s="67"/>
      <c r="AB1103" s="67"/>
      <c r="AC1103" s="67"/>
      <c r="AD1103" s="67"/>
      <c r="AE1103" s="67"/>
      <c r="AF1103" s="67"/>
      <c r="AG1103" s="67"/>
      <c r="AH1103" s="67"/>
    </row>
    <row r="1104" ht="12.0" hidden="1" customHeight="1">
      <c r="A1104" s="67"/>
      <c r="B1104" s="67"/>
      <c r="C1104" s="67"/>
      <c r="D1104" s="67"/>
      <c r="E1104" s="67"/>
      <c r="F1104" s="67"/>
      <c r="G1104" s="67"/>
      <c r="H1104" s="67"/>
      <c r="I1104" s="67"/>
      <c r="J1104" s="67"/>
      <c r="K1104" s="139"/>
      <c r="L1104" s="67"/>
      <c r="M1104" s="67"/>
      <c r="N1104" s="140"/>
      <c r="O1104" s="67"/>
      <c r="P1104" s="67"/>
      <c r="Q1104" s="67"/>
      <c r="R1104" s="67"/>
      <c r="S1104" s="140"/>
      <c r="T1104" s="67"/>
      <c r="U1104" s="67"/>
      <c r="V1104" s="67"/>
      <c r="W1104" s="67"/>
      <c r="X1104" s="67"/>
      <c r="Y1104" s="67"/>
      <c r="Z1104" s="67"/>
      <c r="AA1104" s="67"/>
      <c r="AB1104" s="67"/>
      <c r="AC1104" s="67"/>
      <c r="AD1104" s="67"/>
      <c r="AE1104" s="67"/>
      <c r="AF1104" s="67"/>
      <c r="AG1104" s="67"/>
      <c r="AH1104" s="67"/>
    </row>
    <row r="1105" ht="12.0" hidden="1" customHeight="1">
      <c r="A1105" s="67"/>
      <c r="B1105" s="67"/>
      <c r="C1105" s="67"/>
      <c r="D1105" s="67"/>
      <c r="E1105" s="67"/>
      <c r="F1105" s="67"/>
      <c r="G1105" s="67"/>
      <c r="H1105" s="67"/>
      <c r="I1105" s="67"/>
      <c r="J1105" s="67"/>
      <c r="K1105" s="139"/>
      <c r="L1105" s="67"/>
      <c r="M1105" s="67"/>
      <c r="N1105" s="140"/>
      <c r="O1105" s="67"/>
      <c r="P1105" s="67"/>
      <c r="Q1105" s="67"/>
      <c r="R1105" s="67"/>
      <c r="S1105" s="140"/>
      <c r="T1105" s="67"/>
      <c r="U1105" s="67"/>
      <c r="V1105" s="67"/>
      <c r="W1105" s="67"/>
      <c r="X1105" s="67"/>
      <c r="Y1105" s="67"/>
      <c r="Z1105" s="67"/>
      <c r="AA1105" s="67"/>
      <c r="AB1105" s="67"/>
      <c r="AC1105" s="67"/>
      <c r="AD1105" s="67"/>
      <c r="AE1105" s="67"/>
      <c r="AF1105" s="67"/>
      <c r="AG1105" s="67"/>
      <c r="AH1105" s="67"/>
    </row>
    <row r="1106" ht="12.0" hidden="1" customHeight="1">
      <c r="A1106" s="67"/>
      <c r="B1106" s="67"/>
      <c r="C1106" s="67"/>
      <c r="D1106" s="67"/>
      <c r="E1106" s="67"/>
      <c r="F1106" s="67"/>
      <c r="G1106" s="67"/>
      <c r="H1106" s="67"/>
      <c r="I1106" s="67"/>
      <c r="J1106" s="67"/>
      <c r="K1106" s="139"/>
      <c r="L1106" s="67"/>
      <c r="M1106" s="67"/>
      <c r="N1106" s="140"/>
      <c r="O1106" s="67"/>
      <c r="P1106" s="67"/>
      <c r="Q1106" s="67"/>
      <c r="R1106" s="67"/>
      <c r="S1106" s="140"/>
      <c r="T1106" s="67"/>
      <c r="U1106" s="67"/>
      <c r="V1106" s="67"/>
      <c r="W1106" s="67"/>
      <c r="X1106" s="67"/>
      <c r="Y1106" s="67"/>
      <c r="Z1106" s="67"/>
      <c r="AA1106" s="67"/>
      <c r="AB1106" s="67"/>
      <c r="AC1106" s="67"/>
      <c r="AD1106" s="67"/>
      <c r="AE1106" s="67"/>
      <c r="AF1106" s="67"/>
      <c r="AG1106" s="67"/>
      <c r="AH1106" s="67"/>
    </row>
    <row r="1107" ht="12.0" hidden="1" customHeight="1">
      <c r="A1107" s="67"/>
      <c r="B1107" s="67"/>
      <c r="C1107" s="67"/>
      <c r="D1107" s="67"/>
      <c r="E1107" s="67"/>
      <c r="F1107" s="67"/>
      <c r="G1107" s="67"/>
      <c r="H1107" s="67"/>
      <c r="I1107" s="67"/>
      <c r="J1107" s="67"/>
      <c r="K1107" s="139"/>
      <c r="L1107" s="67"/>
      <c r="M1107" s="67"/>
      <c r="N1107" s="140"/>
      <c r="O1107" s="67"/>
      <c r="P1107" s="67"/>
      <c r="Q1107" s="67"/>
      <c r="R1107" s="67"/>
      <c r="S1107" s="140"/>
      <c r="T1107" s="67"/>
      <c r="U1107" s="67"/>
      <c r="V1107" s="67"/>
      <c r="W1107" s="67"/>
      <c r="X1107" s="67"/>
      <c r="Y1107" s="67"/>
      <c r="Z1107" s="67"/>
      <c r="AA1107" s="67"/>
      <c r="AB1107" s="67"/>
      <c r="AC1107" s="67"/>
      <c r="AD1107" s="67"/>
      <c r="AE1107" s="67"/>
      <c r="AF1107" s="67"/>
      <c r="AG1107" s="67"/>
      <c r="AH1107" s="67"/>
    </row>
    <row r="1108" ht="12.0" hidden="1" customHeight="1">
      <c r="A1108" s="67"/>
      <c r="B1108" s="67"/>
      <c r="C1108" s="67"/>
      <c r="D1108" s="67"/>
      <c r="E1108" s="67"/>
      <c r="F1108" s="67"/>
      <c r="G1108" s="67"/>
      <c r="H1108" s="67"/>
      <c r="I1108" s="67"/>
      <c r="J1108" s="67"/>
      <c r="K1108" s="139"/>
      <c r="L1108" s="67"/>
      <c r="M1108" s="67"/>
      <c r="N1108" s="140"/>
      <c r="O1108" s="67"/>
      <c r="P1108" s="67"/>
      <c r="Q1108" s="67"/>
      <c r="R1108" s="67"/>
      <c r="S1108" s="140"/>
      <c r="T1108" s="67"/>
      <c r="U1108" s="67"/>
      <c r="V1108" s="67"/>
      <c r="W1108" s="67"/>
      <c r="X1108" s="67"/>
      <c r="Y1108" s="67"/>
      <c r="Z1108" s="67"/>
      <c r="AA1108" s="67"/>
      <c r="AB1108" s="67"/>
      <c r="AC1108" s="67"/>
      <c r="AD1108" s="67"/>
      <c r="AE1108" s="67"/>
      <c r="AF1108" s="67"/>
      <c r="AG1108" s="67"/>
      <c r="AH1108" s="67"/>
    </row>
    <row r="1109" ht="12.0" hidden="1" customHeight="1">
      <c r="A1109" s="67"/>
      <c r="B1109" s="67"/>
      <c r="C1109" s="67"/>
      <c r="D1109" s="67"/>
      <c r="E1109" s="67"/>
      <c r="F1109" s="67"/>
      <c r="G1109" s="67"/>
      <c r="H1109" s="67"/>
      <c r="I1109" s="67"/>
      <c r="J1109" s="67"/>
      <c r="K1109" s="139"/>
      <c r="L1109" s="67"/>
      <c r="M1109" s="67"/>
      <c r="N1109" s="140"/>
      <c r="O1109" s="67"/>
      <c r="P1109" s="67"/>
      <c r="Q1109" s="67"/>
      <c r="R1109" s="67"/>
      <c r="S1109" s="140"/>
      <c r="T1109" s="67"/>
      <c r="U1109" s="67"/>
      <c r="V1109" s="67"/>
      <c r="W1109" s="67"/>
      <c r="X1109" s="67"/>
      <c r="Y1109" s="67"/>
      <c r="Z1109" s="67"/>
      <c r="AA1109" s="67"/>
      <c r="AB1109" s="67"/>
      <c r="AC1109" s="67"/>
      <c r="AD1109" s="67"/>
      <c r="AE1109" s="67"/>
      <c r="AF1109" s="67"/>
      <c r="AG1109" s="67"/>
      <c r="AH1109" s="67"/>
    </row>
    <row r="1110" ht="12.0" hidden="1" customHeight="1">
      <c r="A1110" s="67"/>
      <c r="B1110" s="67"/>
      <c r="C1110" s="67"/>
      <c r="D1110" s="67"/>
      <c r="E1110" s="67"/>
      <c r="F1110" s="67"/>
      <c r="G1110" s="67"/>
      <c r="H1110" s="67"/>
      <c r="I1110" s="67"/>
      <c r="J1110" s="67"/>
      <c r="K1110" s="139"/>
      <c r="L1110" s="67"/>
      <c r="M1110" s="67"/>
      <c r="N1110" s="140"/>
      <c r="O1110" s="67"/>
      <c r="P1110" s="67"/>
      <c r="Q1110" s="67"/>
      <c r="R1110" s="67"/>
      <c r="S1110" s="140"/>
      <c r="T1110" s="67"/>
      <c r="U1110" s="67"/>
      <c r="V1110" s="67"/>
      <c r="W1110" s="67"/>
      <c r="X1110" s="67"/>
      <c r="Y1110" s="67"/>
      <c r="Z1110" s="67"/>
      <c r="AA1110" s="67"/>
      <c r="AB1110" s="67"/>
      <c r="AC1110" s="67"/>
      <c r="AD1110" s="67"/>
      <c r="AE1110" s="67"/>
      <c r="AF1110" s="67"/>
      <c r="AG1110" s="67"/>
      <c r="AH1110" s="67"/>
    </row>
    <row r="1111" ht="12.0" hidden="1" customHeight="1">
      <c r="A1111" s="67"/>
      <c r="B1111" s="67"/>
      <c r="C1111" s="67"/>
      <c r="D1111" s="67"/>
      <c r="E1111" s="67"/>
      <c r="F1111" s="67"/>
      <c r="G1111" s="67"/>
      <c r="H1111" s="67"/>
      <c r="I1111" s="67"/>
      <c r="J1111" s="67"/>
      <c r="K1111" s="139"/>
      <c r="L1111" s="67"/>
      <c r="M1111" s="67"/>
      <c r="N1111" s="140"/>
      <c r="O1111" s="67"/>
      <c r="P1111" s="67"/>
      <c r="Q1111" s="67"/>
      <c r="R1111" s="67"/>
      <c r="S1111" s="140"/>
      <c r="T1111" s="67"/>
      <c r="U1111" s="67"/>
      <c r="V1111" s="67"/>
      <c r="W1111" s="67"/>
      <c r="X1111" s="67"/>
      <c r="Y1111" s="67"/>
      <c r="Z1111" s="67"/>
      <c r="AA1111" s="67"/>
      <c r="AB1111" s="67"/>
      <c r="AC1111" s="67"/>
      <c r="AD1111" s="67"/>
      <c r="AE1111" s="67"/>
      <c r="AF1111" s="67"/>
      <c r="AG1111" s="67"/>
      <c r="AH1111" s="67"/>
    </row>
    <row r="1112" ht="12.0" hidden="1" customHeight="1">
      <c r="A1112" s="67"/>
      <c r="B1112" s="67"/>
      <c r="C1112" s="67"/>
      <c r="D1112" s="67"/>
      <c r="E1112" s="67"/>
      <c r="F1112" s="67"/>
      <c r="G1112" s="67"/>
      <c r="H1112" s="67"/>
      <c r="I1112" s="67"/>
      <c r="J1112" s="67"/>
      <c r="K1112" s="139"/>
      <c r="L1112" s="67"/>
      <c r="M1112" s="67"/>
      <c r="N1112" s="140"/>
      <c r="O1112" s="67"/>
      <c r="P1112" s="67"/>
      <c r="Q1112" s="67"/>
      <c r="R1112" s="67"/>
      <c r="S1112" s="140"/>
      <c r="T1112" s="67"/>
      <c r="U1112" s="67"/>
      <c r="V1112" s="67"/>
      <c r="W1112" s="67"/>
      <c r="X1112" s="67"/>
      <c r="Y1112" s="67"/>
      <c r="Z1112" s="67"/>
      <c r="AA1112" s="67"/>
      <c r="AB1112" s="67"/>
      <c r="AC1112" s="67"/>
      <c r="AD1112" s="67"/>
      <c r="AE1112" s="67"/>
      <c r="AF1112" s="67"/>
      <c r="AG1112" s="67"/>
      <c r="AH1112" s="67"/>
    </row>
    <row r="1113" ht="12.0" hidden="1" customHeight="1">
      <c r="A1113" s="67"/>
      <c r="B1113" s="67"/>
      <c r="C1113" s="67"/>
      <c r="D1113" s="67"/>
      <c r="E1113" s="67"/>
      <c r="F1113" s="67"/>
      <c r="G1113" s="67"/>
      <c r="H1113" s="67"/>
      <c r="I1113" s="67"/>
      <c r="J1113" s="67"/>
      <c r="K1113" s="139"/>
      <c r="L1113" s="67"/>
      <c r="M1113" s="67"/>
      <c r="N1113" s="140"/>
      <c r="O1113" s="67"/>
      <c r="P1113" s="67"/>
      <c r="Q1113" s="67"/>
      <c r="R1113" s="67"/>
      <c r="S1113" s="140"/>
      <c r="T1113" s="67"/>
      <c r="U1113" s="67"/>
      <c r="V1113" s="67"/>
      <c r="W1113" s="67"/>
      <c r="X1113" s="67"/>
      <c r="Y1113" s="67"/>
      <c r="Z1113" s="67"/>
      <c r="AA1113" s="67"/>
      <c r="AB1113" s="67"/>
      <c r="AC1113" s="67"/>
      <c r="AD1113" s="67"/>
      <c r="AE1113" s="67"/>
      <c r="AF1113" s="67"/>
      <c r="AG1113" s="67"/>
      <c r="AH1113" s="67"/>
    </row>
    <row r="1114" ht="12.0" hidden="1" customHeight="1">
      <c r="A1114" s="67"/>
      <c r="B1114" s="67"/>
      <c r="C1114" s="67"/>
      <c r="D1114" s="67"/>
      <c r="E1114" s="67"/>
      <c r="F1114" s="67"/>
      <c r="G1114" s="67"/>
      <c r="H1114" s="67"/>
      <c r="I1114" s="67"/>
      <c r="J1114" s="67"/>
      <c r="K1114" s="139"/>
      <c r="L1114" s="67"/>
      <c r="M1114" s="67"/>
      <c r="N1114" s="140"/>
      <c r="O1114" s="67"/>
      <c r="P1114" s="67"/>
      <c r="Q1114" s="67"/>
      <c r="R1114" s="67"/>
      <c r="S1114" s="140"/>
      <c r="T1114" s="67"/>
      <c r="U1114" s="67"/>
      <c r="V1114" s="67"/>
      <c r="W1114" s="67"/>
      <c r="X1114" s="67"/>
      <c r="Y1114" s="67"/>
      <c r="Z1114" s="67"/>
      <c r="AA1114" s="67"/>
      <c r="AB1114" s="67"/>
      <c r="AC1114" s="67"/>
      <c r="AD1114" s="67"/>
      <c r="AE1114" s="67"/>
      <c r="AF1114" s="67"/>
      <c r="AG1114" s="67"/>
      <c r="AH1114" s="67"/>
    </row>
    <row r="1115" ht="12.0" hidden="1" customHeight="1">
      <c r="A1115" s="67"/>
      <c r="B1115" s="67"/>
      <c r="C1115" s="67"/>
      <c r="D1115" s="67"/>
      <c r="E1115" s="67"/>
      <c r="F1115" s="67"/>
      <c r="G1115" s="67"/>
      <c r="H1115" s="67"/>
      <c r="I1115" s="67"/>
      <c r="J1115" s="67"/>
      <c r="K1115" s="139"/>
      <c r="L1115" s="67"/>
      <c r="M1115" s="67"/>
      <c r="N1115" s="140"/>
      <c r="O1115" s="67"/>
      <c r="P1115" s="67"/>
      <c r="Q1115" s="67"/>
      <c r="R1115" s="67"/>
      <c r="S1115" s="140"/>
      <c r="T1115" s="67"/>
      <c r="U1115" s="67"/>
      <c r="V1115" s="67"/>
      <c r="W1115" s="67"/>
      <c r="X1115" s="67"/>
      <c r="Y1115" s="67"/>
      <c r="Z1115" s="67"/>
      <c r="AA1115" s="67"/>
      <c r="AB1115" s="67"/>
      <c r="AC1115" s="67"/>
      <c r="AD1115" s="67"/>
      <c r="AE1115" s="67"/>
      <c r="AF1115" s="67"/>
      <c r="AG1115" s="67"/>
      <c r="AH1115" s="67"/>
    </row>
    <row r="1116" ht="12.0" hidden="1" customHeight="1">
      <c r="A1116" s="67"/>
      <c r="B1116" s="67"/>
      <c r="C1116" s="67"/>
      <c r="D1116" s="67"/>
      <c r="E1116" s="67"/>
      <c r="F1116" s="67"/>
      <c r="G1116" s="67"/>
      <c r="H1116" s="67"/>
      <c r="I1116" s="67"/>
      <c r="J1116" s="67"/>
      <c r="K1116" s="139"/>
      <c r="L1116" s="67"/>
      <c r="M1116" s="67"/>
      <c r="N1116" s="140"/>
      <c r="O1116" s="67"/>
      <c r="P1116" s="67"/>
      <c r="Q1116" s="67"/>
      <c r="R1116" s="67"/>
      <c r="S1116" s="140"/>
      <c r="T1116" s="67"/>
      <c r="U1116" s="67"/>
      <c r="V1116" s="67"/>
      <c r="W1116" s="67"/>
      <c r="X1116" s="67"/>
      <c r="Y1116" s="67"/>
      <c r="Z1116" s="67"/>
      <c r="AA1116" s="67"/>
      <c r="AB1116" s="67"/>
      <c r="AC1116" s="67"/>
      <c r="AD1116" s="67"/>
      <c r="AE1116" s="67"/>
      <c r="AF1116" s="67"/>
      <c r="AG1116" s="67"/>
      <c r="AH1116" s="67"/>
    </row>
    <row r="1117" ht="12.0" hidden="1" customHeight="1">
      <c r="A1117" s="67"/>
      <c r="B1117" s="67"/>
      <c r="C1117" s="67"/>
      <c r="D1117" s="67"/>
      <c r="E1117" s="67"/>
      <c r="F1117" s="67"/>
      <c r="G1117" s="67"/>
      <c r="H1117" s="67"/>
      <c r="I1117" s="67"/>
      <c r="J1117" s="67"/>
      <c r="K1117" s="139"/>
      <c r="L1117" s="67"/>
      <c r="M1117" s="67"/>
      <c r="N1117" s="140"/>
      <c r="O1117" s="67"/>
      <c r="P1117" s="67"/>
      <c r="Q1117" s="67"/>
      <c r="R1117" s="67"/>
      <c r="S1117" s="140"/>
      <c r="T1117" s="67"/>
      <c r="U1117" s="67"/>
      <c r="V1117" s="67"/>
      <c r="W1117" s="67"/>
      <c r="X1117" s="67"/>
      <c r="Y1117" s="67"/>
      <c r="Z1117" s="67"/>
      <c r="AA1117" s="67"/>
      <c r="AB1117" s="67"/>
      <c r="AC1117" s="67"/>
      <c r="AD1117" s="67"/>
      <c r="AE1117" s="67"/>
      <c r="AF1117" s="67"/>
      <c r="AG1117" s="67"/>
      <c r="AH1117" s="67"/>
    </row>
    <row r="1118" ht="12.0" hidden="1" customHeight="1">
      <c r="A1118" s="67"/>
      <c r="B1118" s="67"/>
      <c r="C1118" s="67"/>
      <c r="D1118" s="67"/>
      <c r="E1118" s="67"/>
      <c r="F1118" s="67"/>
      <c r="G1118" s="67"/>
      <c r="H1118" s="67"/>
      <c r="I1118" s="67"/>
      <c r="J1118" s="67"/>
      <c r="K1118" s="139"/>
      <c r="L1118" s="67"/>
      <c r="M1118" s="67"/>
      <c r="N1118" s="140"/>
      <c r="O1118" s="67"/>
      <c r="P1118" s="67"/>
      <c r="Q1118" s="67"/>
      <c r="R1118" s="67"/>
      <c r="S1118" s="140"/>
      <c r="T1118" s="67"/>
      <c r="U1118" s="67"/>
      <c r="V1118" s="67"/>
      <c r="W1118" s="67"/>
      <c r="X1118" s="67"/>
      <c r="Y1118" s="67"/>
      <c r="Z1118" s="67"/>
      <c r="AA1118" s="67"/>
      <c r="AB1118" s="67"/>
      <c r="AC1118" s="67"/>
      <c r="AD1118" s="67"/>
      <c r="AE1118" s="67"/>
      <c r="AF1118" s="67"/>
      <c r="AG1118" s="67"/>
      <c r="AH1118" s="67"/>
    </row>
    <row r="1119" ht="12.0" hidden="1" customHeight="1">
      <c r="A1119" s="67"/>
      <c r="B1119" s="67"/>
      <c r="C1119" s="67"/>
      <c r="D1119" s="67"/>
      <c r="E1119" s="67"/>
      <c r="F1119" s="67"/>
      <c r="G1119" s="67"/>
      <c r="H1119" s="67"/>
      <c r="I1119" s="67"/>
      <c r="J1119" s="67"/>
      <c r="K1119" s="139"/>
      <c r="L1119" s="67"/>
      <c r="M1119" s="67"/>
      <c r="N1119" s="140"/>
      <c r="O1119" s="67"/>
      <c r="P1119" s="67"/>
      <c r="Q1119" s="67"/>
      <c r="R1119" s="67"/>
      <c r="S1119" s="140"/>
      <c r="T1119" s="67"/>
      <c r="U1119" s="67"/>
      <c r="V1119" s="67"/>
      <c r="W1119" s="67"/>
      <c r="X1119" s="67"/>
      <c r="Y1119" s="67"/>
      <c r="Z1119" s="67"/>
      <c r="AA1119" s="67"/>
      <c r="AB1119" s="67"/>
      <c r="AC1119" s="67"/>
      <c r="AD1119" s="67"/>
      <c r="AE1119" s="67"/>
      <c r="AF1119" s="67"/>
      <c r="AG1119" s="67"/>
      <c r="AH1119" s="67"/>
    </row>
    <row r="1120" ht="12.0" hidden="1" customHeight="1">
      <c r="A1120" s="67"/>
      <c r="B1120" s="67"/>
      <c r="C1120" s="67"/>
      <c r="D1120" s="67"/>
      <c r="E1120" s="67"/>
      <c r="F1120" s="67"/>
      <c r="G1120" s="67"/>
      <c r="H1120" s="67"/>
      <c r="I1120" s="67"/>
      <c r="J1120" s="67"/>
      <c r="K1120" s="139"/>
      <c r="L1120" s="67"/>
      <c r="M1120" s="67"/>
      <c r="N1120" s="140"/>
      <c r="O1120" s="67"/>
      <c r="P1120" s="67"/>
      <c r="Q1120" s="67"/>
      <c r="R1120" s="67"/>
      <c r="S1120" s="140"/>
      <c r="T1120" s="67"/>
      <c r="U1120" s="67"/>
      <c r="V1120" s="67"/>
      <c r="W1120" s="67"/>
      <c r="X1120" s="67"/>
      <c r="Y1120" s="67"/>
      <c r="Z1120" s="67"/>
      <c r="AA1120" s="67"/>
      <c r="AB1120" s="67"/>
      <c r="AC1120" s="67"/>
      <c r="AD1120" s="67"/>
      <c r="AE1120" s="67"/>
      <c r="AF1120" s="67"/>
      <c r="AG1120" s="67"/>
      <c r="AH1120" s="67"/>
    </row>
    <row r="1121" ht="12.0" hidden="1" customHeight="1">
      <c r="A1121" s="67"/>
      <c r="B1121" s="67"/>
      <c r="C1121" s="67"/>
      <c r="D1121" s="67"/>
      <c r="E1121" s="67"/>
      <c r="F1121" s="67"/>
      <c r="G1121" s="67"/>
      <c r="H1121" s="67"/>
      <c r="I1121" s="67"/>
      <c r="J1121" s="67"/>
      <c r="K1121" s="139"/>
      <c r="L1121" s="67"/>
      <c r="M1121" s="67"/>
      <c r="N1121" s="140"/>
      <c r="O1121" s="67"/>
      <c r="P1121" s="67"/>
      <c r="Q1121" s="67"/>
      <c r="R1121" s="67"/>
      <c r="S1121" s="140"/>
      <c r="T1121" s="67"/>
      <c r="U1121" s="67"/>
      <c r="V1121" s="67"/>
      <c r="W1121" s="67"/>
      <c r="X1121" s="67"/>
      <c r="Y1121" s="67"/>
      <c r="Z1121" s="67"/>
      <c r="AA1121" s="67"/>
      <c r="AB1121" s="67"/>
      <c r="AC1121" s="67"/>
      <c r="AD1121" s="67"/>
      <c r="AE1121" s="67"/>
      <c r="AF1121" s="67"/>
      <c r="AG1121" s="67"/>
      <c r="AH1121" s="67"/>
    </row>
    <row r="1122" ht="12.0" hidden="1" customHeight="1">
      <c r="A1122" s="67"/>
      <c r="B1122" s="67"/>
      <c r="C1122" s="67"/>
      <c r="D1122" s="67"/>
      <c r="E1122" s="67"/>
      <c r="F1122" s="67"/>
      <c r="G1122" s="67"/>
      <c r="H1122" s="67"/>
      <c r="I1122" s="67"/>
      <c r="J1122" s="67"/>
      <c r="K1122" s="139"/>
      <c r="L1122" s="67"/>
      <c r="M1122" s="67"/>
      <c r="N1122" s="140"/>
      <c r="O1122" s="67"/>
      <c r="P1122" s="67"/>
      <c r="Q1122" s="67"/>
      <c r="R1122" s="67"/>
      <c r="S1122" s="140"/>
      <c r="T1122" s="67"/>
      <c r="U1122" s="67"/>
      <c r="V1122" s="67"/>
      <c r="W1122" s="67"/>
      <c r="X1122" s="67"/>
      <c r="Y1122" s="67"/>
      <c r="Z1122" s="67"/>
      <c r="AA1122" s="67"/>
      <c r="AB1122" s="67"/>
      <c r="AC1122" s="67"/>
      <c r="AD1122" s="67"/>
      <c r="AE1122" s="67"/>
      <c r="AF1122" s="67"/>
      <c r="AG1122" s="67"/>
      <c r="AH1122" s="67"/>
    </row>
    <row r="1123" ht="12.0" hidden="1" customHeight="1">
      <c r="A1123" s="67"/>
      <c r="B1123" s="67"/>
      <c r="C1123" s="67"/>
      <c r="D1123" s="67"/>
      <c r="E1123" s="67"/>
      <c r="F1123" s="67"/>
      <c r="G1123" s="67"/>
      <c r="H1123" s="67"/>
      <c r="I1123" s="67"/>
      <c r="J1123" s="67"/>
      <c r="K1123" s="139"/>
      <c r="L1123" s="67"/>
      <c r="M1123" s="67"/>
      <c r="N1123" s="140"/>
      <c r="O1123" s="67"/>
      <c r="P1123" s="67"/>
      <c r="Q1123" s="67"/>
      <c r="R1123" s="67"/>
      <c r="S1123" s="140"/>
      <c r="T1123" s="67"/>
      <c r="U1123" s="67"/>
      <c r="V1123" s="67"/>
      <c r="W1123" s="67"/>
      <c r="X1123" s="67"/>
      <c r="Y1123" s="67"/>
      <c r="Z1123" s="67"/>
      <c r="AA1123" s="67"/>
      <c r="AB1123" s="67"/>
      <c r="AC1123" s="67"/>
      <c r="AD1123" s="67"/>
      <c r="AE1123" s="67"/>
      <c r="AF1123" s="67"/>
      <c r="AG1123" s="67"/>
      <c r="AH1123" s="67"/>
    </row>
    <row r="1124" ht="12.0" hidden="1" customHeight="1">
      <c r="A1124" s="67"/>
      <c r="B1124" s="67"/>
      <c r="C1124" s="67"/>
      <c r="D1124" s="67"/>
      <c r="E1124" s="67"/>
      <c r="F1124" s="67"/>
      <c r="G1124" s="67"/>
      <c r="H1124" s="67"/>
      <c r="I1124" s="67"/>
      <c r="J1124" s="67"/>
      <c r="K1124" s="139"/>
      <c r="L1124" s="67"/>
      <c r="M1124" s="67"/>
      <c r="N1124" s="140"/>
      <c r="O1124" s="67"/>
      <c r="P1124" s="67"/>
      <c r="Q1124" s="67"/>
      <c r="R1124" s="67"/>
      <c r="S1124" s="140"/>
      <c r="T1124" s="67"/>
      <c r="U1124" s="67"/>
      <c r="V1124" s="67"/>
      <c r="W1124" s="67"/>
      <c r="X1124" s="67"/>
      <c r="Y1124" s="67"/>
      <c r="Z1124" s="67"/>
      <c r="AA1124" s="67"/>
      <c r="AB1124" s="67"/>
      <c r="AC1124" s="67"/>
      <c r="AD1124" s="67"/>
      <c r="AE1124" s="67"/>
      <c r="AF1124" s="67"/>
      <c r="AG1124" s="67"/>
      <c r="AH1124" s="67"/>
    </row>
    <row r="1125" ht="12.0" hidden="1" customHeight="1">
      <c r="A1125" s="67"/>
      <c r="B1125" s="67"/>
      <c r="C1125" s="67"/>
      <c r="D1125" s="67"/>
      <c r="E1125" s="67"/>
      <c r="F1125" s="67"/>
      <c r="G1125" s="67"/>
      <c r="H1125" s="67"/>
      <c r="I1125" s="67"/>
      <c r="J1125" s="67"/>
      <c r="K1125" s="139"/>
      <c r="L1125" s="67"/>
      <c r="M1125" s="67"/>
      <c r="N1125" s="140"/>
      <c r="O1125" s="67"/>
      <c r="P1125" s="67"/>
      <c r="Q1125" s="67"/>
      <c r="R1125" s="67"/>
      <c r="S1125" s="140"/>
      <c r="T1125" s="67"/>
      <c r="U1125" s="67"/>
      <c r="V1125" s="67"/>
      <c r="W1125" s="67"/>
      <c r="X1125" s="67"/>
      <c r="Y1125" s="67"/>
      <c r="Z1125" s="67"/>
      <c r="AA1125" s="67"/>
      <c r="AB1125" s="67"/>
      <c r="AC1125" s="67"/>
      <c r="AD1125" s="67"/>
      <c r="AE1125" s="67"/>
      <c r="AF1125" s="67"/>
      <c r="AG1125" s="67"/>
      <c r="AH1125" s="67"/>
    </row>
    <row r="1126" ht="12.0" hidden="1" customHeight="1">
      <c r="A1126" s="67"/>
      <c r="B1126" s="67"/>
      <c r="C1126" s="67"/>
      <c r="D1126" s="67"/>
      <c r="E1126" s="67"/>
      <c r="F1126" s="67"/>
      <c r="G1126" s="67"/>
      <c r="H1126" s="67"/>
      <c r="I1126" s="67"/>
      <c r="J1126" s="67"/>
      <c r="K1126" s="139"/>
      <c r="L1126" s="67"/>
      <c r="M1126" s="67"/>
      <c r="N1126" s="140"/>
      <c r="O1126" s="67"/>
      <c r="P1126" s="67"/>
      <c r="Q1126" s="67"/>
      <c r="R1126" s="67"/>
      <c r="S1126" s="140"/>
      <c r="T1126" s="67"/>
      <c r="U1126" s="67"/>
      <c r="V1126" s="67"/>
      <c r="W1126" s="67"/>
      <c r="X1126" s="67"/>
      <c r="Y1126" s="67"/>
      <c r="Z1126" s="67"/>
      <c r="AA1126" s="67"/>
      <c r="AB1126" s="67"/>
      <c r="AC1126" s="67"/>
      <c r="AD1126" s="67"/>
      <c r="AE1126" s="67"/>
      <c r="AF1126" s="67"/>
      <c r="AG1126" s="67"/>
      <c r="AH1126" s="67"/>
    </row>
    <row r="1127" ht="12.0" hidden="1" customHeight="1">
      <c r="A1127" s="67"/>
      <c r="B1127" s="67"/>
      <c r="C1127" s="67"/>
      <c r="D1127" s="67"/>
      <c r="E1127" s="67"/>
      <c r="F1127" s="67"/>
      <c r="G1127" s="67"/>
      <c r="H1127" s="67"/>
      <c r="I1127" s="67"/>
      <c r="J1127" s="67"/>
      <c r="K1127" s="139"/>
      <c r="L1127" s="67"/>
      <c r="M1127" s="67"/>
      <c r="N1127" s="140"/>
      <c r="O1127" s="67"/>
      <c r="P1127" s="67"/>
      <c r="Q1127" s="67"/>
      <c r="R1127" s="67"/>
      <c r="S1127" s="140"/>
      <c r="T1127" s="67"/>
      <c r="U1127" s="67"/>
      <c r="V1127" s="67"/>
      <c r="W1127" s="67"/>
      <c r="X1127" s="67"/>
      <c r="Y1127" s="67"/>
      <c r="Z1127" s="67"/>
      <c r="AA1127" s="67"/>
      <c r="AB1127" s="67"/>
      <c r="AC1127" s="67"/>
      <c r="AD1127" s="67"/>
      <c r="AE1127" s="67"/>
      <c r="AF1127" s="67"/>
      <c r="AG1127" s="67"/>
      <c r="AH1127" s="67"/>
    </row>
    <row r="1128" ht="12.0" hidden="1" customHeight="1">
      <c r="A1128" s="67"/>
      <c r="B1128" s="67"/>
      <c r="C1128" s="67"/>
      <c r="D1128" s="67"/>
      <c r="E1128" s="67"/>
      <c r="F1128" s="67"/>
      <c r="G1128" s="67"/>
      <c r="H1128" s="67"/>
      <c r="I1128" s="67"/>
      <c r="J1128" s="67"/>
      <c r="K1128" s="139"/>
      <c r="L1128" s="67"/>
      <c r="M1128" s="67"/>
      <c r="N1128" s="140"/>
      <c r="O1128" s="67"/>
      <c r="P1128" s="67"/>
      <c r="Q1128" s="67"/>
      <c r="R1128" s="67"/>
      <c r="S1128" s="140"/>
      <c r="T1128" s="67"/>
      <c r="U1128" s="67"/>
      <c r="V1128" s="67"/>
      <c r="W1128" s="67"/>
      <c r="X1128" s="67"/>
      <c r="Y1128" s="67"/>
      <c r="Z1128" s="67"/>
      <c r="AA1128" s="67"/>
      <c r="AB1128" s="67"/>
      <c r="AC1128" s="67"/>
      <c r="AD1128" s="67"/>
      <c r="AE1128" s="67"/>
      <c r="AF1128" s="67"/>
      <c r="AG1128" s="67"/>
      <c r="AH1128" s="67"/>
    </row>
    <row r="1129" ht="12.0" hidden="1" customHeight="1">
      <c r="A1129" s="67"/>
      <c r="B1129" s="67"/>
      <c r="C1129" s="67"/>
      <c r="D1129" s="67"/>
      <c r="E1129" s="67"/>
      <c r="F1129" s="67"/>
      <c r="G1129" s="67"/>
      <c r="H1129" s="67"/>
      <c r="I1129" s="67"/>
      <c r="J1129" s="67"/>
      <c r="K1129" s="139"/>
      <c r="L1129" s="67"/>
      <c r="M1129" s="67"/>
      <c r="N1129" s="140"/>
      <c r="O1129" s="67"/>
      <c r="P1129" s="67"/>
      <c r="Q1129" s="67"/>
      <c r="R1129" s="67"/>
      <c r="S1129" s="140"/>
      <c r="T1129" s="67"/>
      <c r="U1129" s="67"/>
      <c r="V1129" s="67"/>
      <c r="W1129" s="67"/>
      <c r="X1129" s="67"/>
      <c r="Y1129" s="67"/>
      <c r="Z1129" s="67"/>
      <c r="AA1129" s="67"/>
      <c r="AB1129" s="67"/>
      <c r="AC1129" s="67"/>
      <c r="AD1129" s="67"/>
      <c r="AE1129" s="67"/>
      <c r="AF1129" s="67"/>
      <c r="AG1129" s="67"/>
      <c r="AH1129" s="67"/>
    </row>
    <row r="1130" ht="12.0" hidden="1" customHeight="1">
      <c r="A1130" s="67"/>
      <c r="B1130" s="67"/>
      <c r="C1130" s="67"/>
      <c r="D1130" s="67"/>
      <c r="E1130" s="67"/>
      <c r="F1130" s="67"/>
      <c r="G1130" s="67"/>
      <c r="H1130" s="67"/>
      <c r="I1130" s="67"/>
      <c r="J1130" s="67"/>
      <c r="K1130" s="139"/>
      <c r="L1130" s="67"/>
      <c r="M1130" s="67"/>
      <c r="N1130" s="140"/>
      <c r="O1130" s="67"/>
      <c r="P1130" s="67"/>
      <c r="Q1130" s="67"/>
      <c r="R1130" s="67"/>
      <c r="S1130" s="140"/>
      <c r="T1130" s="67"/>
      <c r="U1130" s="67"/>
      <c r="V1130" s="67"/>
      <c r="W1130" s="67"/>
      <c r="X1130" s="67"/>
      <c r="Y1130" s="67"/>
      <c r="Z1130" s="67"/>
      <c r="AA1130" s="67"/>
      <c r="AB1130" s="67"/>
      <c r="AC1130" s="67"/>
      <c r="AD1130" s="67"/>
      <c r="AE1130" s="67"/>
      <c r="AF1130" s="67"/>
      <c r="AG1130" s="67"/>
      <c r="AH1130" s="67"/>
    </row>
    <row r="1131" ht="12.0" hidden="1" customHeight="1">
      <c r="A1131" s="67"/>
      <c r="B1131" s="67"/>
      <c r="C1131" s="67"/>
      <c r="D1131" s="67"/>
      <c r="E1131" s="67"/>
      <c r="F1131" s="67"/>
      <c r="G1131" s="67"/>
      <c r="H1131" s="67"/>
      <c r="I1131" s="67"/>
      <c r="J1131" s="67"/>
      <c r="K1131" s="139"/>
      <c r="L1131" s="67"/>
      <c r="M1131" s="67"/>
      <c r="N1131" s="140"/>
      <c r="O1131" s="67"/>
      <c r="P1131" s="67"/>
      <c r="Q1131" s="67"/>
      <c r="R1131" s="67"/>
      <c r="S1131" s="140"/>
      <c r="T1131" s="67"/>
      <c r="U1131" s="67"/>
      <c r="V1131" s="67"/>
      <c r="W1131" s="67"/>
      <c r="X1131" s="67"/>
      <c r="Y1131" s="67"/>
      <c r="Z1131" s="67"/>
      <c r="AA1131" s="67"/>
      <c r="AB1131" s="67"/>
      <c r="AC1131" s="67"/>
      <c r="AD1131" s="67"/>
      <c r="AE1131" s="67"/>
      <c r="AF1131" s="67"/>
      <c r="AG1131" s="67"/>
      <c r="AH1131" s="67"/>
    </row>
    <row r="1132" ht="12.0" hidden="1" customHeight="1">
      <c r="A1132" s="67"/>
      <c r="B1132" s="67"/>
      <c r="C1132" s="67"/>
      <c r="D1132" s="67"/>
      <c r="E1132" s="67"/>
      <c r="F1132" s="67"/>
      <c r="G1132" s="67"/>
      <c r="H1132" s="67"/>
      <c r="I1132" s="67"/>
      <c r="J1132" s="67"/>
      <c r="K1132" s="139"/>
      <c r="L1132" s="67"/>
      <c r="M1132" s="67"/>
      <c r="N1132" s="140"/>
      <c r="O1132" s="67"/>
      <c r="P1132" s="67"/>
      <c r="Q1132" s="67"/>
      <c r="R1132" s="67"/>
      <c r="S1132" s="140"/>
      <c r="T1132" s="67"/>
      <c r="U1132" s="67"/>
      <c r="V1132" s="67"/>
      <c r="W1132" s="67"/>
      <c r="X1132" s="67"/>
      <c r="Y1132" s="67"/>
      <c r="Z1132" s="67"/>
      <c r="AA1132" s="67"/>
      <c r="AB1132" s="67"/>
      <c r="AC1132" s="67"/>
      <c r="AD1132" s="67"/>
      <c r="AE1132" s="67"/>
      <c r="AF1132" s="67"/>
      <c r="AG1132" s="67"/>
      <c r="AH1132" s="67"/>
    </row>
    <row r="1133" ht="12.0" hidden="1" customHeight="1">
      <c r="A1133" s="67"/>
      <c r="B1133" s="67"/>
      <c r="C1133" s="67"/>
      <c r="D1133" s="67"/>
      <c r="E1133" s="67"/>
      <c r="F1133" s="67"/>
      <c r="G1133" s="67"/>
      <c r="H1133" s="67"/>
      <c r="I1133" s="67"/>
      <c r="J1133" s="67"/>
      <c r="K1133" s="139"/>
      <c r="L1133" s="67"/>
      <c r="M1133" s="67"/>
      <c r="N1133" s="140"/>
      <c r="O1133" s="67"/>
      <c r="P1133" s="67"/>
      <c r="Q1133" s="67"/>
      <c r="R1133" s="67"/>
      <c r="S1133" s="140"/>
      <c r="T1133" s="67"/>
      <c r="U1133" s="67"/>
      <c r="V1133" s="67"/>
      <c r="W1133" s="67"/>
      <c r="X1133" s="67"/>
      <c r="Y1133" s="67"/>
      <c r="Z1133" s="67"/>
      <c r="AA1133" s="67"/>
      <c r="AB1133" s="67"/>
      <c r="AC1133" s="67"/>
      <c r="AD1133" s="67"/>
      <c r="AE1133" s="67"/>
      <c r="AF1133" s="67"/>
      <c r="AG1133" s="67"/>
      <c r="AH1133" s="67"/>
    </row>
    <row r="1134" ht="12.0" hidden="1" customHeight="1">
      <c r="A1134" s="67"/>
      <c r="B1134" s="67"/>
      <c r="C1134" s="67"/>
      <c r="D1134" s="67"/>
      <c r="E1134" s="67"/>
      <c r="F1134" s="67"/>
      <c r="G1134" s="67"/>
      <c r="H1134" s="67"/>
      <c r="I1134" s="67"/>
      <c r="J1134" s="67"/>
      <c r="K1134" s="139"/>
      <c r="L1134" s="67"/>
      <c r="M1134" s="67"/>
      <c r="N1134" s="140"/>
      <c r="O1134" s="67"/>
      <c r="P1134" s="67"/>
      <c r="Q1134" s="67"/>
      <c r="R1134" s="67"/>
      <c r="S1134" s="140"/>
      <c r="T1134" s="67"/>
      <c r="U1134" s="67"/>
      <c r="V1134" s="67"/>
      <c r="W1134" s="67"/>
      <c r="X1134" s="67"/>
      <c r="Y1134" s="67"/>
      <c r="Z1134" s="67"/>
      <c r="AA1134" s="67"/>
      <c r="AB1134" s="67"/>
      <c r="AC1134" s="67"/>
      <c r="AD1134" s="67"/>
      <c r="AE1134" s="67"/>
      <c r="AF1134" s="67"/>
      <c r="AG1134" s="67"/>
      <c r="AH1134" s="67"/>
    </row>
    <row r="1135" ht="12.0" hidden="1" customHeight="1">
      <c r="A1135" s="67"/>
      <c r="B1135" s="67"/>
      <c r="C1135" s="67"/>
      <c r="D1135" s="67"/>
      <c r="E1135" s="67"/>
      <c r="F1135" s="67"/>
      <c r="G1135" s="67"/>
      <c r="H1135" s="67"/>
      <c r="I1135" s="67"/>
      <c r="J1135" s="67"/>
      <c r="K1135" s="139"/>
      <c r="L1135" s="67"/>
      <c r="M1135" s="67"/>
      <c r="N1135" s="140"/>
      <c r="O1135" s="67"/>
      <c r="P1135" s="67"/>
      <c r="Q1135" s="67"/>
      <c r="R1135" s="67"/>
      <c r="S1135" s="140"/>
      <c r="T1135" s="67"/>
      <c r="U1135" s="67"/>
      <c r="V1135" s="67"/>
      <c r="W1135" s="67"/>
      <c r="X1135" s="67"/>
      <c r="Y1135" s="67"/>
      <c r="Z1135" s="67"/>
      <c r="AA1135" s="67"/>
      <c r="AB1135" s="67"/>
      <c r="AC1135" s="67"/>
      <c r="AD1135" s="67"/>
      <c r="AE1135" s="67"/>
      <c r="AF1135" s="67"/>
      <c r="AG1135" s="67"/>
      <c r="AH1135" s="67"/>
    </row>
    <row r="1136" ht="12.0" hidden="1" customHeight="1">
      <c r="A1136" s="67"/>
      <c r="B1136" s="67"/>
      <c r="C1136" s="67"/>
      <c r="D1136" s="67"/>
      <c r="E1136" s="67"/>
      <c r="F1136" s="67"/>
      <c r="G1136" s="67"/>
      <c r="H1136" s="67"/>
      <c r="I1136" s="67"/>
      <c r="J1136" s="67"/>
      <c r="K1136" s="139"/>
      <c r="L1136" s="67"/>
      <c r="M1136" s="67"/>
      <c r="N1136" s="140"/>
      <c r="O1136" s="67"/>
      <c r="P1136" s="67"/>
      <c r="Q1136" s="67"/>
      <c r="R1136" s="67"/>
      <c r="S1136" s="140"/>
      <c r="T1136" s="67"/>
      <c r="U1136" s="67"/>
      <c r="V1136" s="67"/>
      <c r="W1136" s="67"/>
      <c r="X1136" s="67"/>
      <c r="Y1136" s="67"/>
      <c r="Z1136" s="67"/>
      <c r="AA1136" s="67"/>
      <c r="AB1136" s="67"/>
      <c r="AC1136" s="67"/>
      <c r="AD1136" s="67"/>
      <c r="AE1136" s="67"/>
      <c r="AF1136" s="67"/>
      <c r="AG1136" s="67"/>
      <c r="AH1136" s="67"/>
    </row>
    <row r="1137" ht="12.0" hidden="1" customHeight="1">
      <c r="A1137" s="67"/>
      <c r="B1137" s="67"/>
      <c r="C1137" s="67"/>
      <c r="D1137" s="67"/>
      <c r="E1137" s="67"/>
      <c r="F1137" s="67"/>
      <c r="G1137" s="67"/>
      <c r="H1137" s="67"/>
      <c r="I1137" s="67"/>
      <c r="J1137" s="67"/>
      <c r="K1137" s="139"/>
      <c r="L1137" s="67"/>
      <c r="M1137" s="67"/>
      <c r="N1137" s="140"/>
      <c r="O1137" s="67"/>
      <c r="P1137" s="67"/>
      <c r="Q1137" s="67"/>
      <c r="R1137" s="67"/>
      <c r="S1137" s="140"/>
      <c r="T1137" s="67"/>
      <c r="U1137" s="67"/>
      <c r="V1137" s="67"/>
      <c r="W1137" s="67"/>
      <c r="X1137" s="67"/>
      <c r="Y1137" s="67"/>
      <c r="Z1137" s="67"/>
      <c r="AA1137" s="67"/>
      <c r="AB1137" s="67"/>
      <c r="AC1137" s="67"/>
      <c r="AD1137" s="67"/>
      <c r="AE1137" s="67"/>
      <c r="AF1137" s="67"/>
      <c r="AG1137" s="67"/>
      <c r="AH1137" s="67"/>
    </row>
    <row r="1138" ht="12.0" hidden="1" customHeight="1">
      <c r="A1138" s="67"/>
      <c r="B1138" s="67"/>
      <c r="C1138" s="67"/>
      <c r="D1138" s="67"/>
      <c r="E1138" s="67"/>
      <c r="F1138" s="67"/>
      <c r="G1138" s="67"/>
      <c r="H1138" s="67"/>
      <c r="I1138" s="67"/>
      <c r="J1138" s="67"/>
      <c r="K1138" s="139"/>
      <c r="L1138" s="67"/>
      <c r="M1138" s="67"/>
      <c r="N1138" s="140"/>
      <c r="O1138" s="67"/>
      <c r="P1138" s="67"/>
      <c r="Q1138" s="67"/>
      <c r="R1138" s="67"/>
      <c r="S1138" s="140"/>
      <c r="T1138" s="67"/>
      <c r="U1138" s="67"/>
      <c r="V1138" s="67"/>
      <c r="W1138" s="67"/>
      <c r="X1138" s="67"/>
      <c r="Y1138" s="67"/>
      <c r="Z1138" s="67"/>
      <c r="AA1138" s="67"/>
      <c r="AB1138" s="67"/>
      <c r="AC1138" s="67"/>
      <c r="AD1138" s="67"/>
      <c r="AE1138" s="67"/>
      <c r="AF1138" s="67"/>
      <c r="AG1138" s="67"/>
      <c r="AH1138" s="67"/>
    </row>
    <row r="1139" ht="12.0" hidden="1" customHeight="1">
      <c r="A1139" s="67"/>
      <c r="B1139" s="67"/>
      <c r="C1139" s="67"/>
      <c r="D1139" s="67"/>
      <c r="E1139" s="67"/>
      <c r="F1139" s="67"/>
      <c r="G1139" s="67"/>
      <c r="H1139" s="67"/>
      <c r="I1139" s="67"/>
      <c r="J1139" s="67"/>
      <c r="K1139" s="139"/>
      <c r="L1139" s="67"/>
      <c r="M1139" s="67"/>
      <c r="N1139" s="140"/>
      <c r="O1139" s="67"/>
      <c r="P1139" s="67"/>
      <c r="Q1139" s="67"/>
      <c r="R1139" s="67"/>
      <c r="S1139" s="140"/>
      <c r="T1139" s="67"/>
      <c r="U1139" s="67"/>
      <c r="V1139" s="67"/>
      <c r="W1139" s="67"/>
      <c r="X1139" s="67"/>
      <c r="Y1139" s="67"/>
      <c r="Z1139" s="67"/>
      <c r="AA1139" s="67"/>
      <c r="AB1139" s="67"/>
      <c r="AC1139" s="67"/>
      <c r="AD1139" s="67"/>
      <c r="AE1139" s="67"/>
      <c r="AF1139" s="67"/>
      <c r="AG1139" s="67"/>
      <c r="AH1139" s="67"/>
    </row>
    <row r="1140" ht="12.0" hidden="1" customHeight="1">
      <c r="A1140" s="67"/>
      <c r="B1140" s="67"/>
      <c r="C1140" s="67"/>
      <c r="D1140" s="67"/>
      <c r="E1140" s="67"/>
      <c r="F1140" s="67"/>
      <c r="G1140" s="67"/>
      <c r="H1140" s="67"/>
      <c r="I1140" s="67"/>
      <c r="J1140" s="67"/>
      <c r="K1140" s="139"/>
      <c r="L1140" s="67"/>
      <c r="M1140" s="67"/>
      <c r="N1140" s="140"/>
      <c r="O1140" s="67"/>
      <c r="P1140" s="67"/>
      <c r="Q1140" s="67"/>
      <c r="R1140" s="67"/>
      <c r="S1140" s="140"/>
      <c r="T1140" s="67"/>
      <c r="U1140" s="67"/>
      <c r="V1140" s="67"/>
      <c r="W1140" s="67"/>
      <c r="X1140" s="67"/>
      <c r="Y1140" s="67"/>
      <c r="Z1140" s="67"/>
      <c r="AA1140" s="67"/>
      <c r="AB1140" s="67"/>
      <c r="AC1140" s="67"/>
      <c r="AD1140" s="67"/>
      <c r="AE1140" s="67"/>
      <c r="AF1140" s="67"/>
      <c r="AG1140" s="67"/>
      <c r="AH1140" s="67"/>
    </row>
    <row r="1141" ht="12.0" hidden="1" customHeight="1">
      <c r="A1141" s="67"/>
      <c r="B1141" s="67"/>
      <c r="C1141" s="67"/>
      <c r="D1141" s="67"/>
      <c r="E1141" s="67"/>
      <c r="F1141" s="67"/>
      <c r="G1141" s="67"/>
      <c r="H1141" s="67"/>
      <c r="I1141" s="67"/>
      <c r="J1141" s="67"/>
      <c r="K1141" s="139"/>
      <c r="L1141" s="67"/>
      <c r="M1141" s="67"/>
      <c r="N1141" s="140"/>
      <c r="O1141" s="67"/>
      <c r="P1141" s="67"/>
      <c r="Q1141" s="67"/>
      <c r="R1141" s="67"/>
      <c r="S1141" s="140"/>
      <c r="T1141" s="67"/>
      <c r="U1141" s="67"/>
      <c r="V1141" s="67"/>
      <c r="W1141" s="67"/>
      <c r="X1141" s="67"/>
      <c r="Y1141" s="67"/>
      <c r="Z1141" s="67"/>
      <c r="AA1141" s="67"/>
      <c r="AB1141" s="67"/>
      <c r="AC1141" s="67"/>
      <c r="AD1141" s="67"/>
      <c r="AE1141" s="67"/>
      <c r="AF1141" s="67"/>
      <c r="AG1141" s="67"/>
      <c r="AH1141" s="67"/>
    </row>
    <row r="1142" ht="12.0" hidden="1" customHeight="1">
      <c r="A1142" s="67"/>
      <c r="B1142" s="67"/>
      <c r="C1142" s="67"/>
      <c r="D1142" s="67"/>
      <c r="E1142" s="67"/>
      <c r="F1142" s="67"/>
      <c r="G1142" s="67"/>
      <c r="H1142" s="67"/>
      <c r="I1142" s="67"/>
      <c r="J1142" s="67"/>
      <c r="K1142" s="139"/>
      <c r="L1142" s="67"/>
      <c r="M1142" s="67"/>
      <c r="N1142" s="140"/>
      <c r="O1142" s="67"/>
      <c r="P1142" s="67"/>
      <c r="Q1142" s="67"/>
      <c r="R1142" s="67"/>
      <c r="S1142" s="140"/>
      <c r="T1142" s="67"/>
      <c r="U1142" s="67"/>
      <c r="V1142" s="67"/>
      <c r="W1142" s="67"/>
      <c r="X1142" s="67"/>
      <c r="Y1142" s="67"/>
      <c r="Z1142" s="67"/>
      <c r="AA1142" s="67"/>
      <c r="AB1142" s="67"/>
      <c r="AC1142" s="67"/>
      <c r="AD1142" s="67"/>
      <c r="AE1142" s="67"/>
      <c r="AF1142" s="67"/>
      <c r="AG1142" s="67"/>
      <c r="AH1142" s="67"/>
    </row>
    <row r="1143" ht="12.0" hidden="1" customHeight="1">
      <c r="A1143" s="67"/>
      <c r="B1143" s="67"/>
      <c r="C1143" s="67"/>
      <c r="D1143" s="67"/>
      <c r="E1143" s="67"/>
      <c r="F1143" s="67"/>
      <c r="G1143" s="67"/>
      <c r="H1143" s="67"/>
      <c r="I1143" s="67"/>
      <c r="J1143" s="67"/>
      <c r="K1143" s="139"/>
      <c r="L1143" s="67"/>
      <c r="M1143" s="67"/>
      <c r="N1143" s="140"/>
      <c r="O1143" s="67"/>
      <c r="P1143" s="67"/>
      <c r="Q1143" s="67"/>
      <c r="R1143" s="67"/>
      <c r="S1143" s="140"/>
      <c r="T1143" s="67"/>
      <c r="U1143" s="67"/>
      <c r="V1143" s="67"/>
      <c r="W1143" s="67"/>
      <c r="X1143" s="67"/>
      <c r="Y1143" s="67"/>
      <c r="Z1143" s="67"/>
      <c r="AA1143" s="67"/>
      <c r="AB1143" s="67"/>
      <c r="AC1143" s="67"/>
      <c r="AD1143" s="67"/>
      <c r="AE1143" s="67"/>
      <c r="AF1143" s="67"/>
      <c r="AG1143" s="67"/>
      <c r="AH1143" s="67"/>
    </row>
    <row r="1144" ht="12.0" hidden="1" customHeight="1">
      <c r="A1144" s="67"/>
      <c r="B1144" s="67"/>
      <c r="C1144" s="67"/>
      <c r="D1144" s="67"/>
      <c r="E1144" s="67"/>
      <c r="F1144" s="67"/>
      <c r="G1144" s="67"/>
      <c r="H1144" s="67"/>
      <c r="I1144" s="67"/>
      <c r="J1144" s="67"/>
      <c r="K1144" s="139"/>
      <c r="L1144" s="67"/>
      <c r="M1144" s="67"/>
      <c r="N1144" s="140"/>
      <c r="O1144" s="67"/>
      <c r="P1144" s="67"/>
      <c r="Q1144" s="67"/>
      <c r="R1144" s="67"/>
      <c r="S1144" s="140"/>
      <c r="T1144" s="67"/>
      <c r="U1144" s="67"/>
      <c r="V1144" s="67"/>
      <c r="W1144" s="67"/>
      <c r="X1144" s="67"/>
      <c r="Y1144" s="67"/>
      <c r="Z1144" s="67"/>
      <c r="AA1144" s="67"/>
      <c r="AB1144" s="67"/>
      <c r="AC1144" s="67"/>
      <c r="AD1144" s="67"/>
      <c r="AE1144" s="67"/>
      <c r="AF1144" s="67"/>
      <c r="AG1144" s="67"/>
      <c r="AH1144" s="67"/>
    </row>
    <row r="1145" ht="12.0" hidden="1" customHeight="1">
      <c r="A1145" s="67"/>
      <c r="B1145" s="67"/>
      <c r="C1145" s="67"/>
      <c r="D1145" s="67"/>
      <c r="E1145" s="67"/>
      <c r="F1145" s="67"/>
      <c r="G1145" s="67"/>
      <c r="H1145" s="67"/>
      <c r="I1145" s="67"/>
      <c r="J1145" s="67"/>
      <c r="K1145" s="139"/>
      <c r="L1145" s="67"/>
      <c r="M1145" s="67"/>
      <c r="N1145" s="140"/>
      <c r="O1145" s="67"/>
      <c r="P1145" s="67"/>
      <c r="Q1145" s="67"/>
      <c r="R1145" s="67"/>
      <c r="S1145" s="140"/>
      <c r="T1145" s="67"/>
      <c r="U1145" s="67"/>
      <c r="V1145" s="67"/>
      <c r="W1145" s="67"/>
      <c r="X1145" s="67"/>
      <c r="Y1145" s="67"/>
      <c r="Z1145" s="67"/>
      <c r="AA1145" s="67"/>
      <c r="AB1145" s="67"/>
      <c r="AC1145" s="67"/>
      <c r="AD1145" s="67"/>
      <c r="AE1145" s="67"/>
      <c r="AF1145" s="67"/>
      <c r="AG1145" s="67"/>
      <c r="AH1145" s="67"/>
    </row>
    <row r="1146" ht="12.0" hidden="1" customHeight="1">
      <c r="A1146" s="67"/>
      <c r="B1146" s="67"/>
      <c r="C1146" s="67"/>
      <c r="D1146" s="67"/>
      <c r="E1146" s="67"/>
      <c r="F1146" s="67"/>
      <c r="G1146" s="67"/>
      <c r="H1146" s="67"/>
      <c r="I1146" s="67"/>
      <c r="J1146" s="67"/>
      <c r="K1146" s="139"/>
      <c r="L1146" s="67"/>
      <c r="M1146" s="67"/>
      <c r="N1146" s="140"/>
      <c r="O1146" s="67"/>
      <c r="P1146" s="67"/>
      <c r="Q1146" s="67"/>
      <c r="R1146" s="67"/>
      <c r="S1146" s="140"/>
      <c r="T1146" s="67"/>
      <c r="U1146" s="67"/>
      <c r="V1146" s="67"/>
      <c r="W1146" s="67"/>
      <c r="X1146" s="67"/>
      <c r="Y1146" s="67"/>
      <c r="Z1146" s="67"/>
      <c r="AA1146" s="67"/>
      <c r="AB1146" s="67"/>
      <c r="AC1146" s="67"/>
      <c r="AD1146" s="67"/>
      <c r="AE1146" s="67"/>
      <c r="AF1146" s="67"/>
      <c r="AG1146" s="67"/>
      <c r="AH1146" s="67"/>
    </row>
    <row r="1147" ht="12.0" hidden="1" customHeight="1">
      <c r="A1147" s="67"/>
      <c r="B1147" s="67"/>
      <c r="C1147" s="67"/>
      <c r="D1147" s="67"/>
      <c r="E1147" s="67"/>
      <c r="F1147" s="67"/>
      <c r="G1147" s="67"/>
      <c r="H1147" s="67"/>
      <c r="I1147" s="67"/>
      <c r="J1147" s="67"/>
      <c r="K1147" s="139"/>
      <c r="L1147" s="67"/>
      <c r="M1147" s="67"/>
      <c r="N1147" s="140"/>
      <c r="O1147" s="67"/>
      <c r="P1147" s="67"/>
      <c r="Q1147" s="67"/>
      <c r="R1147" s="67"/>
      <c r="S1147" s="140"/>
      <c r="T1147" s="67"/>
      <c r="U1147" s="67"/>
      <c r="V1147" s="67"/>
      <c r="W1147" s="67"/>
      <c r="X1147" s="67"/>
      <c r="Y1147" s="67"/>
      <c r="Z1147" s="67"/>
      <c r="AA1147" s="67"/>
      <c r="AB1147" s="67"/>
      <c r="AC1147" s="67"/>
      <c r="AD1147" s="67"/>
      <c r="AE1147" s="67"/>
      <c r="AF1147" s="67"/>
      <c r="AG1147" s="67"/>
      <c r="AH1147" s="67"/>
    </row>
    <row r="1148" ht="12.0" hidden="1" customHeight="1">
      <c r="A1148" s="67"/>
      <c r="B1148" s="67"/>
      <c r="C1148" s="67"/>
      <c r="D1148" s="67"/>
      <c r="E1148" s="67"/>
      <c r="F1148" s="67"/>
      <c r="G1148" s="67"/>
      <c r="H1148" s="67"/>
      <c r="I1148" s="67"/>
      <c r="J1148" s="67"/>
      <c r="K1148" s="139"/>
      <c r="L1148" s="67"/>
      <c r="M1148" s="67"/>
      <c r="N1148" s="140"/>
      <c r="O1148" s="67"/>
      <c r="P1148" s="67"/>
      <c r="Q1148" s="67"/>
      <c r="R1148" s="67"/>
      <c r="S1148" s="140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ht="12.0" hidden="1" customHeight="1">
      <c r="A1149" s="67"/>
      <c r="B1149" s="67"/>
      <c r="C1149" s="67"/>
      <c r="D1149" s="67"/>
      <c r="E1149" s="67"/>
      <c r="F1149" s="67"/>
      <c r="G1149" s="67"/>
      <c r="H1149" s="67"/>
      <c r="I1149" s="67"/>
      <c r="J1149" s="67"/>
      <c r="K1149" s="139"/>
      <c r="L1149" s="67"/>
      <c r="M1149" s="67"/>
      <c r="N1149" s="140"/>
      <c r="O1149" s="67"/>
      <c r="P1149" s="67"/>
      <c r="Q1149" s="67"/>
      <c r="R1149" s="67"/>
      <c r="S1149" s="140"/>
      <c r="T1149" s="67"/>
      <c r="U1149" s="67"/>
      <c r="V1149" s="67"/>
      <c r="W1149" s="67"/>
      <c r="X1149" s="67"/>
      <c r="Y1149" s="67"/>
      <c r="Z1149" s="67"/>
      <c r="AA1149" s="67"/>
      <c r="AB1149" s="67"/>
      <c r="AC1149" s="67"/>
      <c r="AD1149" s="67"/>
      <c r="AE1149" s="67"/>
      <c r="AF1149" s="67"/>
      <c r="AG1149" s="67"/>
      <c r="AH1149" s="67"/>
    </row>
    <row r="1150" ht="12.0" hidden="1" customHeight="1">
      <c r="A1150" s="67"/>
      <c r="B1150" s="67"/>
      <c r="C1150" s="67"/>
      <c r="D1150" s="67"/>
      <c r="E1150" s="67"/>
      <c r="F1150" s="67"/>
      <c r="G1150" s="67"/>
      <c r="H1150" s="67"/>
      <c r="I1150" s="67"/>
      <c r="J1150" s="67"/>
      <c r="K1150" s="139"/>
      <c r="L1150" s="67"/>
      <c r="M1150" s="67"/>
      <c r="N1150" s="140"/>
      <c r="O1150" s="67"/>
      <c r="P1150" s="67"/>
      <c r="Q1150" s="67"/>
      <c r="R1150" s="67"/>
      <c r="S1150" s="140"/>
      <c r="T1150" s="67"/>
      <c r="U1150" s="67"/>
      <c r="V1150" s="67"/>
      <c r="W1150" s="67"/>
      <c r="X1150" s="67"/>
      <c r="Y1150" s="67"/>
      <c r="Z1150" s="67"/>
      <c r="AA1150" s="67"/>
      <c r="AB1150" s="67"/>
      <c r="AC1150" s="67"/>
      <c r="AD1150" s="67"/>
      <c r="AE1150" s="67"/>
      <c r="AF1150" s="67"/>
      <c r="AG1150" s="67"/>
      <c r="AH1150" s="67"/>
    </row>
    <row r="1151" ht="12.0" hidden="1" customHeight="1">
      <c r="A1151" s="67"/>
      <c r="B1151" s="67"/>
      <c r="C1151" s="67"/>
      <c r="D1151" s="67"/>
      <c r="E1151" s="67"/>
      <c r="F1151" s="67"/>
      <c r="G1151" s="67"/>
      <c r="H1151" s="67"/>
      <c r="I1151" s="67"/>
      <c r="J1151" s="67"/>
      <c r="K1151" s="139"/>
      <c r="L1151" s="67"/>
      <c r="M1151" s="67"/>
      <c r="N1151" s="140"/>
      <c r="O1151" s="67"/>
      <c r="P1151" s="67"/>
      <c r="Q1151" s="67"/>
      <c r="R1151" s="67"/>
      <c r="S1151" s="140"/>
      <c r="T1151" s="67"/>
      <c r="U1151" s="67"/>
      <c r="V1151" s="67"/>
      <c r="W1151" s="67"/>
      <c r="X1151" s="67"/>
      <c r="Y1151" s="67"/>
      <c r="Z1151" s="67"/>
      <c r="AA1151" s="67"/>
      <c r="AB1151" s="67"/>
      <c r="AC1151" s="67"/>
      <c r="AD1151" s="67"/>
      <c r="AE1151" s="67"/>
      <c r="AF1151" s="67"/>
      <c r="AG1151" s="67"/>
      <c r="AH1151" s="67"/>
    </row>
    <row r="1152" ht="12.0" hidden="1" customHeight="1">
      <c r="A1152" s="67"/>
      <c r="B1152" s="67"/>
      <c r="C1152" s="67"/>
      <c r="D1152" s="67"/>
      <c r="E1152" s="67"/>
      <c r="F1152" s="67"/>
      <c r="G1152" s="67"/>
      <c r="H1152" s="67"/>
      <c r="I1152" s="67"/>
      <c r="J1152" s="67"/>
      <c r="K1152" s="139"/>
      <c r="L1152" s="67"/>
      <c r="M1152" s="67"/>
      <c r="N1152" s="140"/>
      <c r="O1152" s="67"/>
      <c r="P1152" s="67"/>
      <c r="Q1152" s="67"/>
      <c r="R1152" s="67"/>
      <c r="S1152" s="140"/>
      <c r="T1152" s="67"/>
      <c r="U1152" s="67"/>
      <c r="V1152" s="67"/>
      <c r="W1152" s="67"/>
      <c r="X1152" s="67"/>
      <c r="Y1152" s="67"/>
      <c r="Z1152" s="67"/>
      <c r="AA1152" s="67"/>
      <c r="AB1152" s="67"/>
      <c r="AC1152" s="67"/>
      <c r="AD1152" s="67"/>
      <c r="AE1152" s="67"/>
      <c r="AF1152" s="67"/>
      <c r="AG1152" s="67"/>
      <c r="AH1152" s="67"/>
    </row>
    <row r="1153" ht="12.0" hidden="1" customHeight="1">
      <c r="A1153" s="67"/>
      <c r="B1153" s="67"/>
      <c r="C1153" s="67"/>
      <c r="D1153" s="67"/>
      <c r="E1153" s="67"/>
      <c r="F1153" s="67"/>
      <c r="G1153" s="67"/>
      <c r="H1153" s="67"/>
      <c r="I1153" s="67"/>
      <c r="J1153" s="67"/>
      <c r="K1153" s="139"/>
      <c r="L1153" s="67"/>
      <c r="M1153" s="67"/>
      <c r="N1153" s="140"/>
      <c r="O1153" s="67"/>
      <c r="P1153" s="67"/>
      <c r="Q1153" s="67"/>
      <c r="R1153" s="67"/>
      <c r="S1153" s="140"/>
      <c r="T1153" s="67"/>
      <c r="U1153" s="67"/>
      <c r="V1153" s="67"/>
      <c r="W1153" s="67"/>
      <c r="X1153" s="67"/>
      <c r="Y1153" s="67"/>
      <c r="Z1153" s="67"/>
      <c r="AA1153" s="67"/>
      <c r="AB1153" s="67"/>
      <c r="AC1153" s="67"/>
      <c r="AD1153" s="67"/>
      <c r="AE1153" s="67"/>
      <c r="AF1153" s="67"/>
      <c r="AG1153" s="67"/>
      <c r="AH1153" s="67"/>
    </row>
    <row r="1154" ht="12.0" hidden="1" customHeight="1">
      <c r="A1154" s="67"/>
      <c r="B1154" s="67"/>
      <c r="C1154" s="67"/>
      <c r="D1154" s="67"/>
      <c r="E1154" s="67"/>
      <c r="F1154" s="67"/>
      <c r="G1154" s="67"/>
      <c r="H1154" s="67"/>
      <c r="I1154" s="67"/>
      <c r="J1154" s="67"/>
      <c r="K1154" s="139"/>
      <c r="L1154" s="67"/>
      <c r="M1154" s="67"/>
      <c r="N1154" s="140"/>
      <c r="O1154" s="67"/>
      <c r="P1154" s="67"/>
      <c r="Q1154" s="67"/>
      <c r="R1154" s="67"/>
      <c r="S1154" s="140"/>
      <c r="T1154" s="67"/>
      <c r="U1154" s="67"/>
      <c r="V1154" s="67"/>
      <c r="W1154" s="67"/>
      <c r="X1154" s="67"/>
      <c r="Y1154" s="67"/>
      <c r="Z1154" s="67"/>
      <c r="AA1154" s="67"/>
      <c r="AB1154" s="67"/>
      <c r="AC1154" s="67"/>
      <c r="AD1154" s="67"/>
      <c r="AE1154" s="67"/>
      <c r="AF1154" s="67"/>
      <c r="AG1154" s="67"/>
      <c r="AH1154" s="67"/>
    </row>
    <row r="1155" ht="12.0" hidden="1" customHeight="1">
      <c r="A1155" s="67"/>
      <c r="B1155" s="67"/>
      <c r="C1155" s="67"/>
      <c r="D1155" s="67"/>
      <c r="E1155" s="67"/>
      <c r="F1155" s="67"/>
      <c r="G1155" s="67"/>
      <c r="H1155" s="67"/>
      <c r="I1155" s="67"/>
      <c r="J1155" s="67"/>
      <c r="K1155" s="139"/>
      <c r="L1155" s="67"/>
      <c r="M1155" s="67"/>
      <c r="N1155" s="140"/>
      <c r="O1155" s="67"/>
      <c r="P1155" s="67"/>
      <c r="Q1155" s="67"/>
      <c r="R1155" s="67"/>
      <c r="S1155" s="140"/>
      <c r="T1155" s="67"/>
      <c r="U1155" s="67"/>
      <c r="V1155" s="67"/>
      <c r="W1155" s="67"/>
      <c r="X1155" s="67"/>
      <c r="Y1155" s="67"/>
      <c r="Z1155" s="67"/>
      <c r="AA1155" s="67"/>
      <c r="AB1155" s="67"/>
      <c r="AC1155" s="67"/>
      <c r="AD1155" s="67"/>
      <c r="AE1155" s="67"/>
      <c r="AF1155" s="67"/>
      <c r="AG1155" s="67"/>
      <c r="AH1155" s="67"/>
    </row>
    <row r="1156" ht="12.0" hidden="1" customHeight="1">
      <c r="A1156" s="67"/>
      <c r="B1156" s="67"/>
      <c r="C1156" s="67"/>
      <c r="D1156" s="67"/>
      <c r="E1156" s="67"/>
      <c r="F1156" s="67"/>
      <c r="G1156" s="67"/>
      <c r="H1156" s="67"/>
      <c r="I1156" s="67"/>
      <c r="J1156" s="67"/>
      <c r="K1156" s="139"/>
      <c r="L1156" s="67"/>
      <c r="M1156" s="67"/>
      <c r="N1156" s="140"/>
      <c r="O1156" s="67"/>
      <c r="P1156" s="67"/>
      <c r="Q1156" s="67"/>
      <c r="R1156" s="67"/>
      <c r="S1156" s="140"/>
      <c r="T1156" s="67"/>
      <c r="U1156" s="67"/>
      <c r="V1156" s="67"/>
      <c r="W1156" s="67"/>
      <c r="X1156" s="67"/>
      <c r="Y1156" s="67"/>
      <c r="Z1156" s="67"/>
      <c r="AA1156" s="67"/>
      <c r="AB1156" s="67"/>
      <c r="AC1156" s="67"/>
      <c r="AD1156" s="67"/>
      <c r="AE1156" s="67"/>
      <c r="AF1156" s="67"/>
      <c r="AG1156" s="67"/>
      <c r="AH1156" s="67"/>
    </row>
    <row r="1157" ht="12.0" hidden="1" customHeight="1">
      <c r="A1157" s="67"/>
      <c r="B1157" s="67"/>
      <c r="C1157" s="67"/>
      <c r="D1157" s="67"/>
      <c r="E1157" s="67"/>
      <c r="F1157" s="67"/>
      <c r="G1157" s="67"/>
      <c r="H1157" s="67"/>
      <c r="I1157" s="67"/>
      <c r="J1157" s="67"/>
      <c r="K1157" s="139"/>
      <c r="L1157" s="67"/>
      <c r="M1157" s="67"/>
      <c r="N1157" s="140"/>
      <c r="O1157" s="67"/>
      <c r="P1157" s="67"/>
      <c r="Q1157" s="67"/>
      <c r="R1157" s="67"/>
      <c r="S1157" s="140"/>
      <c r="T1157" s="67"/>
      <c r="U1157" s="67"/>
      <c r="V1157" s="67"/>
      <c r="W1157" s="67"/>
      <c r="X1157" s="67"/>
      <c r="Y1157" s="67"/>
      <c r="Z1157" s="67"/>
      <c r="AA1157" s="67"/>
      <c r="AB1157" s="67"/>
      <c r="AC1157" s="67"/>
      <c r="AD1157" s="67"/>
      <c r="AE1157" s="67"/>
      <c r="AF1157" s="67"/>
      <c r="AG1157" s="67"/>
      <c r="AH1157" s="67"/>
    </row>
    <row r="1158" ht="12.0" hidden="1" customHeight="1">
      <c r="A1158" s="67"/>
      <c r="B1158" s="67"/>
      <c r="C1158" s="67"/>
      <c r="D1158" s="67"/>
      <c r="E1158" s="67"/>
      <c r="F1158" s="67"/>
      <c r="G1158" s="67"/>
      <c r="H1158" s="67"/>
      <c r="I1158" s="67"/>
      <c r="J1158" s="67"/>
      <c r="K1158" s="139"/>
      <c r="L1158" s="67"/>
      <c r="M1158" s="67"/>
      <c r="N1158" s="140"/>
      <c r="O1158" s="67"/>
      <c r="P1158" s="67"/>
      <c r="Q1158" s="67"/>
      <c r="R1158" s="67"/>
      <c r="S1158" s="140"/>
      <c r="T1158" s="67"/>
      <c r="U1158" s="67"/>
      <c r="V1158" s="67"/>
      <c r="W1158" s="67"/>
      <c r="X1158" s="67"/>
      <c r="Y1158" s="67"/>
      <c r="Z1158" s="67"/>
      <c r="AA1158" s="67"/>
      <c r="AB1158" s="67"/>
      <c r="AC1158" s="67"/>
      <c r="AD1158" s="67"/>
      <c r="AE1158" s="67"/>
      <c r="AF1158" s="67"/>
      <c r="AG1158" s="67"/>
      <c r="AH1158" s="67"/>
    </row>
    <row r="1159" ht="12.0" hidden="1" customHeight="1">
      <c r="A1159" s="67"/>
      <c r="B1159" s="67"/>
      <c r="C1159" s="67"/>
      <c r="D1159" s="67"/>
      <c r="E1159" s="67"/>
      <c r="F1159" s="67"/>
      <c r="G1159" s="67"/>
      <c r="H1159" s="67"/>
      <c r="I1159" s="67"/>
      <c r="J1159" s="67"/>
      <c r="K1159" s="139"/>
      <c r="L1159" s="67"/>
      <c r="M1159" s="67"/>
      <c r="N1159" s="140"/>
      <c r="O1159" s="67"/>
      <c r="P1159" s="67"/>
      <c r="Q1159" s="67"/>
      <c r="R1159" s="67"/>
      <c r="S1159" s="140"/>
      <c r="T1159" s="67"/>
      <c r="U1159" s="67"/>
      <c r="V1159" s="67"/>
      <c r="W1159" s="67"/>
      <c r="X1159" s="67"/>
      <c r="Y1159" s="67"/>
      <c r="Z1159" s="67"/>
      <c r="AA1159" s="67"/>
      <c r="AB1159" s="67"/>
      <c r="AC1159" s="67"/>
      <c r="AD1159" s="67"/>
      <c r="AE1159" s="67"/>
      <c r="AF1159" s="67"/>
      <c r="AG1159" s="67"/>
      <c r="AH1159" s="67"/>
    </row>
    <row r="1160" ht="12.0" hidden="1" customHeight="1">
      <c r="A1160" s="67"/>
      <c r="B1160" s="67"/>
      <c r="C1160" s="67"/>
      <c r="D1160" s="67"/>
      <c r="E1160" s="67"/>
      <c r="F1160" s="67"/>
      <c r="G1160" s="67"/>
      <c r="H1160" s="67"/>
      <c r="I1160" s="67"/>
      <c r="J1160" s="67"/>
      <c r="K1160" s="139"/>
      <c r="L1160" s="67"/>
      <c r="M1160" s="67"/>
      <c r="N1160" s="140"/>
      <c r="O1160" s="67"/>
      <c r="P1160" s="67"/>
      <c r="Q1160" s="67"/>
      <c r="R1160" s="67"/>
      <c r="S1160" s="140"/>
      <c r="T1160" s="67"/>
      <c r="U1160" s="67"/>
      <c r="V1160" s="67"/>
      <c r="W1160" s="67"/>
      <c r="X1160" s="67"/>
      <c r="Y1160" s="67"/>
      <c r="Z1160" s="67"/>
      <c r="AA1160" s="67"/>
      <c r="AB1160" s="67"/>
      <c r="AC1160" s="67"/>
      <c r="AD1160" s="67"/>
      <c r="AE1160" s="67"/>
      <c r="AF1160" s="67"/>
      <c r="AG1160" s="67"/>
      <c r="AH1160" s="67"/>
    </row>
    <row r="1161" ht="12.0" hidden="1" customHeight="1">
      <c r="A1161" s="67"/>
      <c r="B1161" s="67"/>
      <c r="C1161" s="67"/>
      <c r="D1161" s="67"/>
      <c r="E1161" s="67"/>
      <c r="F1161" s="67"/>
      <c r="G1161" s="67"/>
      <c r="H1161" s="67"/>
      <c r="I1161" s="67"/>
      <c r="J1161" s="67"/>
      <c r="K1161" s="139"/>
      <c r="L1161" s="67"/>
      <c r="M1161" s="67"/>
      <c r="N1161" s="140"/>
      <c r="O1161" s="67"/>
      <c r="P1161" s="67"/>
      <c r="Q1161" s="67"/>
      <c r="R1161" s="67"/>
      <c r="S1161" s="140"/>
      <c r="T1161" s="67"/>
      <c r="U1161" s="67"/>
      <c r="V1161" s="67"/>
      <c r="W1161" s="67"/>
      <c r="X1161" s="67"/>
      <c r="Y1161" s="67"/>
      <c r="Z1161" s="67"/>
      <c r="AA1161" s="67"/>
      <c r="AB1161" s="67"/>
      <c r="AC1161" s="67"/>
      <c r="AD1161" s="67"/>
      <c r="AE1161" s="67"/>
      <c r="AF1161" s="67"/>
      <c r="AG1161" s="67"/>
      <c r="AH1161" s="67"/>
    </row>
    <row r="1162" ht="12.0" hidden="1" customHeight="1">
      <c r="A1162" s="67"/>
      <c r="B1162" s="67"/>
      <c r="C1162" s="67"/>
      <c r="D1162" s="67"/>
      <c r="E1162" s="67"/>
      <c r="F1162" s="67"/>
      <c r="G1162" s="67"/>
      <c r="H1162" s="67"/>
      <c r="I1162" s="67"/>
      <c r="J1162" s="67"/>
      <c r="K1162" s="139"/>
      <c r="L1162" s="67"/>
      <c r="M1162" s="67"/>
      <c r="N1162" s="140"/>
      <c r="O1162" s="67"/>
      <c r="P1162" s="67"/>
      <c r="Q1162" s="67"/>
      <c r="R1162" s="67"/>
      <c r="S1162" s="140"/>
      <c r="T1162" s="67"/>
      <c r="U1162" s="67"/>
      <c r="V1162" s="67"/>
      <c r="W1162" s="67"/>
      <c r="X1162" s="67"/>
      <c r="Y1162" s="67"/>
      <c r="Z1162" s="67"/>
      <c r="AA1162" s="67"/>
      <c r="AB1162" s="67"/>
      <c r="AC1162" s="67"/>
      <c r="AD1162" s="67"/>
      <c r="AE1162" s="67"/>
      <c r="AF1162" s="67"/>
      <c r="AG1162" s="67"/>
      <c r="AH1162" s="67"/>
    </row>
    <row r="1163" ht="12.0" hidden="1" customHeight="1">
      <c r="A1163" s="67"/>
      <c r="B1163" s="67"/>
      <c r="C1163" s="67"/>
      <c r="D1163" s="67"/>
      <c r="E1163" s="67"/>
      <c r="F1163" s="67"/>
      <c r="G1163" s="67"/>
      <c r="H1163" s="67"/>
      <c r="I1163" s="67"/>
      <c r="J1163" s="67"/>
      <c r="K1163" s="139"/>
      <c r="L1163" s="67"/>
      <c r="M1163" s="67"/>
      <c r="N1163" s="140"/>
      <c r="O1163" s="67"/>
      <c r="P1163" s="67"/>
      <c r="Q1163" s="67"/>
      <c r="R1163" s="67"/>
      <c r="S1163" s="140"/>
      <c r="T1163" s="67"/>
      <c r="U1163" s="67"/>
      <c r="V1163" s="67"/>
      <c r="W1163" s="67"/>
      <c r="X1163" s="67"/>
      <c r="Y1163" s="67"/>
      <c r="Z1163" s="67"/>
      <c r="AA1163" s="67"/>
      <c r="AB1163" s="67"/>
      <c r="AC1163" s="67"/>
      <c r="AD1163" s="67"/>
      <c r="AE1163" s="67"/>
      <c r="AF1163" s="67"/>
      <c r="AG1163" s="67"/>
      <c r="AH1163" s="67"/>
    </row>
    <row r="1164" ht="12.0" hidden="1" customHeight="1">
      <c r="A1164" s="67"/>
      <c r="B1164" s="67"/>
      <c r="C1164" s="67"/>
      <c r="D1164" s="67"/>
      <c r="E1164" s="67"/>
      <c r="F1164" s="67"/>
      <c r="G1164" s="67"/>
      <c r="H1164" s="67"/>
      <c r="I1164" s="67"/>
      <c r="J1164" s="67"/>
      <c r="K1164" s="139"/>
      <c r="L1164" s="67"/>
      <c r="M1164" s="67"/>
      <c r="N1164" s="140"/>
      <c r="O1164" s="67"/>
      <c r="P1164" s="67"/>
      <c r="Q1164" s="67"/>
      <c r="R1164" s="67"/>
      <c r="S1164" s="140"/>
      <c r="T1164" s="67"/>
      <c r="U1164" s="67"/>
      <c r="V1164" s="67"/>
      <c r="W1164" s="67"/>
      <c r="X1164" s="67"/>
      <c r="Y1164" s="67"/>
      <c r="Z1164" s="67"/>
      <c r="AA1164" s="67"/>
      <c r="AB1164" s="67"/>
      <c r="AC1164" s="67"/>
      <c r="AD1164" s="67"/>
      <c r="AE1164" s="67"/>
      <c r="AF1164" s="67"/>
      <c r="AG1164" s="67"/>
      <c r="AH1164" s="67"/>
    </row>
    <row r="1165" ht="12.0" hidden="1" customHeight="1">
      <c r="A1165" s="67"/>
      <c r="B1165" s="67"/>
      <c r="C1165" s="67"/>
      <c r="D1165" s="67"/>
      <c r="E1165" s="67"/>
      <c r="F1165" s="67"/>
      <c r="G1165" s="67"/>
      <c r="H1165" s="67"/>
      <c r="I1165" s="67"/>
      <c r="J1165" s="67"/>
      <c r="K1165" s="139"/>
      <c r="L1165" s="67"/>
      <c r="M1165" s="67"/>
      <c r="N1165" s="140"/>
      <c r="O1165" s="67"/>
      <c r="P1165" s="67"/>
      <c r="Q1165" s="67"/>
      <c r="R1165" s="67"/>
      <c r="S1165" s="140"/>
      <c r="T1165" s="67"/>
      <c r="U1165" s="67"/>
      <c r="V1165" s="67"/>
      <c r="W1165" s="67"/>
      <c r="X1165" s="67"/>
      <c r="Y1165" s="67"/>
      <c r="Z1165" s="67"/>
      <c r="AA1165" s="67"/>
      <c r="AB1165" s="67"/>
      <c r="AC1165" s="67"/>
      <c r="AD1165" s="67"/>
      <c r="AE1165" s="67"/>
      <c r="AF1165" s="67"/>
      <c r="AG1165" s="67"/>
      <c r="AH1165" s="67"/>
    </row>
    <row r="1166" ht="12.0" hidden="1" customHeight="1">
      <c r="A1166" s="67"/>
      <c r="B1166" s="67"/>
      <c r="C1166" s="67"/>
      <c r="D1166" s="67"/>
      <c r="E1166" s="67"/>
      <c r="F1166" s="67"/>
      <c r="G1166" s="67"/>
      <c r="H1166" s="67"/>
      <c r="I1166" s="67"/>
      <c r="J1166" s="67"/>
      <c r="K1166" s="139"/>
      <c r="L1166" s="67"/>
      <c r="M1166" s="67"/>
      <c r="N1166" s="140"/>
      <c r="O1166" s="67"/>
      <c r="P1166" s="67"/>
      <c r="Q1166" s="67"/>
      <c r="R1166" s="67"/>
      <c r="S1166" s="140"/>
      <c r="T1166" s="67"/>
      <c r="U1166" s="67"/>
      <c r="V1166" s="67"/>
      <c r="W1166" s="67"/>
      <c r="X1166" s="67"/>
      <c r="Y1166" s="67"/>
      <c r="Z1166" s="67"/>
      <c r="AA1166" s="67"/>
      <c r="AB1166" s="67"/>
      <c r="AC1166" s="67"/>
      <c r="AD1166" s="67"/>
      <c r="AE1166" s="67"/>
      <c r="AF1166" s="67"/>
      <c r="AG1166" s="67"/>
      <c r="AH1166" s="67"/>
    </row>
    <row r="1167" ht="12.0" hidden="1" customHeight="1">
      <c r="A1167" s="67"/>
      <c r="B1167" s="67"/>
      <c r="C1167" s="67"/>
      <c r="D1167" s="67"/>
      <c r="E1167" s="67"/>
      <c r="F1167" s="67"/>
      <c r="G1167" s="67"/>
      <c r="H1167" s="67"/>
      <c r="I1167" s="67"/>
      <c r="J1167" s="67"/>
      <c r="K1167" s="139"/>
      <c r="L1167" s="67"/>
      <c r="M1167" s="67"/>
      <c r="N1167" s="140"/>
      <c r="O1167" s="67"/>
      <c r="P1167" s="67"/>
      <c r="Q1167" s="67"/>
      <c r="R1167" s="67"/>
      <c r="S1167" s="140"/>
      <c r="T1167" s="67"/>
      <c r="U1167" s="67"/>
      <c r="V1167" s="67"/>
      <c r="W1167" s="67"/>
      <c r="X1167" s="67"/>
      <c r="Y1167" s="67"/>
      <c r="Z1167" s="67"/>
      <c r="AA1167" s="67"/>
      <c r="AB1167" s="67"/>
      <c r="AC1167" s="67"/>
      <c r="AD1167" s="67"/>
      <c r="AE1167" s="67"/>
      <c r="AF1167" s="67"/>
      <c r="AG1167" s="67"/>
      <c r="AH1167" s="67"/>
    </row>
    <row r="1168" ht="12.0" hidden="1" customHeight="1">
      <c r="A1168" s="67"/>
      <c r="B1168" s="67"/>
      <c r="C1168" s="67"/>
      <c r="D1168" s="67"/>
      <c r="E1168" s="67"/>
      <c r="F1168" s="67"/>
      <c r="G1168" s="67"/>
      <c r="H1168" s="67"/>
      <c r="I1168" s="67"/>
      <c r="J1168" s="67"/>
      <c r="K1168" s="139"/>
      <c r="L1168" s="67"/>
      <c r="M1168" s="67"/>
      <c r="N1168" s="140"/>
      <c r="O1168" s="67"/>
      <c r="P1168" s="67"/>
      <c r="Q1168" s="67"/>
      <c r="R1168" s="67"/>
      <c r="S1168" s="140"/>
      <c r="T1168" s="67"/>
      <c r="U1168" s="67"/>
      <c r="V1168" s="67"/>
      <c r="W1168" s="67"/>
      <c r="X1168" s="67"/>
      <c r="Y1168" s="67"/>
      <c r="Z1168" s="67"/>
      <c r="AA1168" s="67"/>
      <c r="AB1168" s="67"/>
      <c r="AC1168" s="67"/>
      <c r="AD1168" s="67"/>
      <c r="AE1168" s="67"/>
      <c r="AF1168" s="67"/>
      <c r="AG1168" s="67"/>
      <c r="AH1168" s="67"/>
    </row>
    <row r="1169" ht="12.0" hidden="1" customHeight="1">
      <c r="A1169" s="67"/>
      <c r="B1169" s="67"/>
      <c r="C1169" s="67"/>
      <c r="D1169" s="67"/>
      <c r="E1169" s="67"/>
      <c r="F1169" s="67"/>
      <c r="G1169" s="67"/>
      <c r="H1169" s="67"/>
      <c r="I1169" s="67"/>
      <c r="J1169" s="67"/>
      <c r="K1169" s="139"/>
      <c r="L1169" s="67"/>
      <c r="M1169" s="67"/>
      <c r="N1169" s="140"/>
      <c r="O1169" s="67"/>
      <c r="P1169" s="67"/>
      <c r="Q1169" s="67"/>
      <c r="R1169" s="67"/>
      <c r="S1169" s="140"/>
      <c r="T1169" s="67"/>
      <c r="U1169" s="67"/>
      <c r="V1169" s="67"/>
      <c r="W1169" s="67"/>
      <c r="X1169" s="67"/>
      <c r="Y1169" s="67"/>
      <c r="Z1169" s="67"/>
      <c r="AA1169" s="67"/>
      <c r="AB1169" s="67"/>
      <c r="AC1169" s="67"/>
      <c r="AD1169" s="67"/>
      <c r="AE1169" s="67"/>
      <c r="AF1169" s="67"/>
      <c r="AG1169" s="67"/>
      <c r="AH1169" s="67"/>
    </row>
    <row r="1170" ht="12.0" hidden="1" customHeight="1">
      <c r="A1170" s="67"/>
      <c r="B1170" s="67"/>
      <c r="C1170" s="67"/>
      <c r="D1170" s="67"/>
      <c r="E1170" s="67"/>
      <c r="F1170" s="67"/>
      <c r="G1170" s="67"/>
      <c r="H1170" s="67"/>
      <c r="I1170" s="67"/>
      <c r="J1170" s="67"/>
      <c r="K1170" s="139"/>
      <c r="L1170" s="67"/>
      <c r="M1170" s="67"/>
      <c r="N1170" s="140"/>
      <c r="O1170" s="67"/>
      <c r="P1170" s="67"/>
      <c r="Q1170" s="67"/>
      <c r="R1170" s="67"/>
      <c r="S1170" s="140"/>
      <c r="T1170" s="67"/>
      <c r="U1170" s="67"/>
      <c r="V1170" s="67"/>
      <c r="W1170" s="67"/>
      <c r="X1170" s="67"/>
      <c r="Y1170" s="67"/>
      <c r="Z1170" s="67"/>
      <c r="AA1170" s="67"/>
      <c r="AB1170" s="67"/>
      <c r="AC1170" s="67"/>
      <c r="AD1170" s="67"/>
      <c r="AE1170" s="67"/>
      <c r="AF1170" s="67"/>
      <c r="AG1170" s="67"/>
      <c r="AH1170" s="67"/>
    </row>
    <row r="1171" ht="12.0" hidden="1" customHeight="1">
      <c r="A1171" s="67"/>
      <c r="B1171" s="67"/>
      <c r="C1171" s="67"/>
      <c r="D1171" s="67"/>
      <c r="E1171" s="67"/>
      <c r="F1171" s="67"/>
      <c r="G1171" s="67"/>
      <c r="H1171" s="67"/>
      <c r="I1171" s="67"/>
      <c r="J1171" s="67"/>
      <c r="K1171" s="139"/>
      <c r="L1171" s="67"/>
      <c r="M1171" s="67"/>
      <c r="N1171" s="140"/>
      <c r="O1171" s="67"/>
      <c r="P1171" s="67"/>
      <c r="Q1171" s="67"/>
      <c r="R1171" s="67"/>
      <c r="S1171" s="140"/>
      <c r="T1171" s="67"/>
      <c r="U1171" s="67"/>
      <c r="V1171" s="67"/>
      <c r="W1171" s="67"/>
      <c r="X1171" s="67"/>
      <c r="Y1171" s="67"/>
      <c r="Z1171" s="67"/>
      <c r="AA1171" s="67"/>
      <c r="AB1171" s="67"/>
      <c r="AC1171" s="67"/>
      <c r="AD1171" s="67"/>
      <c r="AE1171" s="67"/>
      <c r="AF1171" s="67"/>
      <c r="AG1171" s="67"/>
      <c r="AH1171" s="67"/>
    </row>
    <row r="1172" ht="12.0" hidden="1" customHeight="1">
      <c r="A1172" s="67"/>
      <c r="B1172" s="67"/>
      <c r="C1172" s="67"/>
      <c r="D1172" s="67"/>
      <c r="E1172" s="67"/>
      <c r="F1172" s="67"/>
      <c r="G1172" s="67"/>
      <c r="H1172" s="67"/>
      <c r="I1172" s="67"/>
      <c r="J1172" s="67"/>
      <c r="K1172" s="139"/>
      <c r="L1172" s="67"/>
      <c r="M1172" s="67"/>
      <c r="N1172" s="140"/>
      <c r="O1172" s="67"/>
      <c r="P1172" s="67"/>
      <c r="Q1172" s="67"/>
      <c r="R1172" s="67"/>
      <c r="S1172" s="140"/>
      <c r="T1172" s="67"/>
      <c r="U1172" s="67"/>
      <c r="V1172" s="67"/>
      <c r="W1172" s="67"/>
      <c r="X1172" s="67"/>
      <c r="Y1172" s="67"/>
      <c r="Z1172" s="67"/>
      <c r="AA1172" s="67"/>
      <c r="AB1172" s="67"/>
      <c r="AC1172" s="67"/>
      <c r="AD1172" s="67"/>
      <c r="AE1172" s="67"/>
      <c r="AF1172" s="67"/>
      <c r="AG1172" s="67"/>
      <c r="AH1172" s="67"/>
    </row>
    <row r="1173" ht="12.0" hidden="1" customHeight="1">
      <c r="A1173" s="67"/>
      <c r="B1173" s="67"/>
      <c r="C1173" s="67"/>
      <c r="D1173" s="67"/>
      <c r="E1173" s="67"/>
      <c r="F1173" s="67"/>
      <c r="G1173" s="67"/>
      <c r="H1173" s="67"/>
      <c r="I1173" s="67"/>
      <c r="J1173" s="67"/>
      <c r="K1173" s="139"/>
      <c r="L1173" s="67"/>
      <c r="M1173" s="67"/>
      <c r="N1173" s="140"/>
      <c r="O1173" s="67"/>
      <c r="P1173" s="67"/>
      <c r="Q1173" s="67"/>
      <c r="R1173" s="67"/>
      <c r="S1173" s="140"/>
      <c r="T1173" s="67"/>
      <c r="U1173" s="67"/>
      <c r="V1173" s="67"/>
      <c r="W1173" s="67"/>
      <c r="X1173" s="67"/>
      <c r="Y1173" s="67"/>
      <c r="Z1173" s="67"/>
      <c r="AA1173" s="67"/>
      <c r="AB1173" s="67"/>
      <c r="AC1173" s="67"/>
      <c r="AD1173" s="67"/>
      <c r="AE1173" s="67"/>
      <c r="AF1173" s="67"/>
      <c r="AG1173" s="67"/>
      <c r="AH1173" s="67"/>
    </row>
    <row r="1174" ht="12.0" hidden="1" customHeight="1">
      <c r="A1174" s="67"/>
      <c r="B1174" s="67"/>
      <c r="C1174" s="67"/>
      <c r="D1174" s="67"/>
      <c r="E1174" s="67"/>
      <c r="F1174" s="67"/>
      <c r="G1174" s="67"/>
      <c r="H1174" s="67"/>
      <c r="I1174" s="67"/>
      <c r="J1174" s="67"/>
      <c r="K1174" s="139"/>
      <c r="L1174" s="67"/>
      <c r="M1174" s="67"/>
      <c r="N1174" s="140"/>
      <c r="O1174" s="67"/>
      <c r="P1174" s="67"/>
      <c r="Q1174" s="67"/>
      <c r="R1174" s="67"/>
      <c r="S1174" s="140"/>
      <c r="T1174" s="67"/>
      <c r="U1174" s="67"/>
      <c r="V1174" s="67"/>
      <c r="W1174" s="67"/>
      <c r="X1174" s="67"/>
      <c r="Y1174" s="67"/>
      <c r="Z1174" s="67"/>
      <c r="AA1174" s="67"/>
      <c r="AB1174" s="67"/>
      <c r="AC1174" s="67"/>
      <c r="AD1174" s="67"/>
      <c r="AE1174" s="67"/>
      <c r="AF1174" s="67"/>
      <c r="AG1174" s="67"/>
      <c r="AH1174" s="67"/>
    </row>
    <row r="1175" ht="12.0" hidden="1" customHeight="1">
      <c r="A1175" s="67"/>
      <c r="B1175" s="67"/>
      <c r="C1175" s="67"/>
      <c r="D1175" s="67"/>
      <c r="E1175" s="67"/>
      <c r="F1175" s="67"/>
      <c r="G1175" s="67"/>
      <c r="H1175" s="67"/>
      <c r="I1175" s="67"/>
      <c r="J1175" s="67"/>
      <c r="K1175" s="139"/>
      <c r="L1175" s="67"/>
      <c r="M1175" s="67"/>
      <c r="N1175" s="140"/>
      <c r="O1175" s="67"/>
      <c r="P1175" s="67"/>
      <c r="Q1175" s="67"/>
      <c r="R1175" s="67"/>
      <c r="S1175" s="140"/>
      <c r="T1175" s="67"/>
      <c r="U1175" s="67"/>
      <c r="V1175" s="67"/>
      <c r="W1175" s="67"/>
      <c r="X1175" s="67"/>
      <c r="Y1175" s="67"/>
      <c r="Z1175" s="67"/>
      <c r="AA1175" s="67"/>
      <c r="AB1175" s="67"/>
      <c r="AC1175" s="67"/>
      <c r="AD1175" s="67"/>
      <c r="AE1175" s="67"/>
      <c r="AF1175" s="67"/>
      <c r="AG1175" s="67"/>
      <c r="AH1175" s="67"/>
    </row>
    <row r="1176" ht="12.0" hidden="1" customHeight="1">
      <c r="A1176" s="67"/>
      <c r="B1176" s="67"/>
      <c r="C1176" s="67"/>
      <c r="D1176" s="67"/>
      <c r="E1176" s="67"/>
      <c r="F1176" s="67"/>
      <c r="G1176" s="67"/>
      <c r="H1176" s="67"/>
      <c r="I1176" s="67"/>
      <c r="J1176" s="67"/>
      <c r="K1176" s="139"/>
      <c r="L1176" s="67"/>
      <c r="M1176" s="67"/>
      <c r="N1176" s="140"/>
      <c r="O1176" s="67"/>
      <c r="P1176" s="67"/>
      <c r="Q1176" s="67"/>
      <c r="R1176" s="67"/>
      <c r="S1176" s="140"/>
      <c r="T1176" s="67"/>
      <c r="U1176" s="67"/>
      <c r="V1176" s="67"/>
      <c r="W1176" s="67"/>
      <c r="X1176" s="67"/>
      <c r="Y1176" s="67"/>
      <c r="Z1176" s="67"/>
      <c r="AA1176" s="67"/>
      <c r="AB1176" s="67"/>
      <c r="AC1176" s="67"/>
      <c r="AD1176" s="67"/>
      <c r="AE1176" s="67"/>
      <c r="AF1176" s="67"/>
      <c r="AG1176" s="67"/>
      <c r="AH1176" s="67"/>
    </row>
    <row r="1177" ht="12.0" hidden="1" customHeight="1">
      <c r="A1177" s="67"/>
      <c r="B1177" s="67"/>
      <c r="C1177" s="67"/>
      <c r="D1177" s="67"/>
      <c r="E1177" s="67"/>
      <c r="F1177" s="67"/>
      <c r="G1177" s="67"/>
      <c r="H1177" s="67"/>
      <c r="I1177" s="67"/>
      <c r="J1177" s="67"/>
      <c r="K1177" s="139"/>
      <c r="L1177" s="67"/>
      <c r="M1177" s="67"/>
      <c r="N1177" s="140"/>
      <c r="O1177" s="67"/>
      <c r="P1177" s="67"/>
      <c r="Q1177" s="67"/>
      <c r="R1177" s="67"/>
      <c r="S1177" s="140"/>
      <c r="T1177" s="67"/>
      <c r="U1177" s="67"/>
      <c r="V1177" s="67"/>
      <c r="W1177" s="67"/>
      <c r="X1177" s="67"/>
      <c r="Y1177" s="67"/>
      <c r="Z1177" s="67"/>
      <c r="AA1177" s="67"/>
      <c r="AB1177" s="67"/>
      <c r="AC1177" s="67"/>
      <c r="AD1177" s="67"/>
      <c r="AE1177" s="67"/>
      <c r="AF1177" s="67"/>
      <c r="AG1177" s="67"/>
      <c r="AH1177" s="67"/>
    </row>
    <row r="1178" ht="12.0" hidden="1" customHeight="1">
      <c r="A1178" s="67"/>
      <c r="B1178" s="67"/>
      <c r="C1178" s="67"/>
      <c r="D1178" s="67"/>
      <c r="E1178" s="67"/>
      <c r="F1178" s="67"/>
      <c r="G1178" s="67"/>
      <c r="H1178" s="67"/>
      <c r="I1178" s="67"/>
      <c r="J1178" s="67"/>
      <c r="K1178" s="139"/>
      <c r="L1178" s="67"/>
      <c r="M1178" s="67"/>
      <c r="N1178" s="140"/>
      <c r="O1178" s="67"/>
      <c r="P1178" s="67"/>
      <c r="Q1178" s="67"/>
      <c r="R1178" s="67"/>
      <c r="S1178" s="140"/>
      <c r="T1178" s="67"/>
      <c r="U1178" s="67"/>
      <c r="V1178" s="67"/>
      <c r="W1178" s="67"/>
      <c r="X1178" s="67"/>
      <c r="Y1178" s="67"/>
      <c r="Z1178" s="67"/>
      <c r="AA1178" s="67"/>
      <c r="AB1178" s="67"/>
      <c r="AC1178" s="67"/>
      <c r="AD1178" s="67"/>
      <c r="AE1178" s="67"/>
      <c r="AF1178" s="67"/>
      <c r="AG1178" s="67"/>
      <c r="AH1178" s="67"/>
    </row>
    <row r="1179" ht="12.0" hidden="1" customHeight="1">
      <c r="A1179" s="67"/>
      <c r="B1179" s="67"/>
      <c r="C1179" s="67"/>
      <c r="D1179" s="67"/>
      <c r="E1179" s="67"/>
      <c r="F1179" s="67"/>
      <c r="G1179" s="67"/>
      <c r="H1179" s="67"/>
      <c r="I1179" s="67"/>
      <c r="J1179" s="67"/>
      <c r="K1179" s="139"/>
      <c r="L1179" s="67"/>
      <c r="M1179" s="67"/>
      <c r="N1179" s="140"/>
      <c r="O1179" s="67"/>
      <c r="P1179" s="67"/>
      <c r="Q1179" s="67"/>
      <c r="R1179" s="67"/>
      <c r="S1179" s="140"/>
      <c r="T1179" s="67"/>
      <c r="U1179" s="67"/>
      <c r="V1179" s="67"/>
      <c r="W1179" s="67"/>
      <c r="X1179" s="67"/>
      <c r="Y1179" s="67"/>
      <c r="Z1179" s="67"/>
      <c r="AA1179" s="67"/>
      <c r="AB1179" s="67"/>
      <c r="AC1179" s="67"/>
      <c r="AD1179" s="67"/>
      <c r="AE1179" s="67"/>
      <c r="AF1179" s="67"/>
      <c r="AG1179" s="67"/>
      <c r="AH1179" s="67"/>
    </row>
    <row r="1180" ht="12.0" hidden="1" customHeight="1">
      <c r="A1180" s="67"/>
      <c r="B1180" s="67"/>
      <c r="C1180" s="67"/>
      <c r="D1180" s="67"/>
      <c r="E1180" s="67"/>
      <c r="F1180" s="67"/>
      <c r="G1180" s="67"/>
      <c r="H1180" s="67"/>
      <c r="I1180" s="67"/>
      <c r="J1180" s="67"/>
      <c r="K1180" s="139"/>
      <c r="L1180" s="67"/>
      <c r="M1180" s="67"/>
      <c r="N1180" s="140"/>
      <c r="O1180" s="67"/>
      <c r="P1180" s="67"/>
      <c r="Q1180" s="67"/>
      <c r="R1180" s="67"/>
      <c r="S1180" s="140"/>
      <c r="T1180" s="67"/>
      <c r="U1180" s="67"/>
      <c r="V1180" s="67"/>
      <c r="W1180" s="67"/>
      <c r="X1180" s="67"/>
      <c r="Y1180" s="67"/>
      <c r="Z1180" s="67"/>
      <c r="AA1180" s="67"/>
      <c r="AB1180" s="67"/>
      <c r="AC1180" s="67"/>
      <c r="AD1180" s="67"/>
      <c r="AE1180" s="67"/>
      <c r="AF1180" s="67"/>
      <c r="AG1180" s="67"/>
      <c r="AH1180" s="67"/>
    </row>
    <row r="1181" ht="12.0" hidden="1" customHeight="1">
      <c r="A1181" s="67"/>
      <c r="B1181" s="67"/>
      <c r="C1181" s="67"/>
      <c r="D1181" s="67"/>
      <c r="E1181" s="67"/>
      <c r="F1181" s="67"/>
      <c r="G1181" s="67"/>
      <c r="H1181" s="67"/>
      <c r="I1181" s="67"/>
      <c r="J1181" s="67"/>
      <c r="K1181" s="139"/>
      <c r="L1181" s="67"/>
      <c r="M1181" s="67"/>
      <c r="N1181" s="140"/>
      <c r="O1181" s="67"/>
      <c r="P1181" s="67"/>
      <c r="Q1181" s="67"/>
      <c r="R1181" s="67"/>
      <c r="S1181" s="140"/>
      <c r="T1181" s="67"/>
      <c r="U1181" s="67"/>
      <c r="V1181" s="67"/>
      <c r="W1181" s="67"/>
      <c r="X1181" s="67"/>
      <c r="Y1181" s="67"/>
      <c r="Z1181" s="67"/>
      <c r="AA1181" s="67"/>
      <c r="AB1181" s="67"/>
      <c r="AC1181" s="67"/>
      <c r="AD1181" s="67"/>
      <c r="AE1181" s="67"/>
      <c r="AF1181" s="67"/>
      <c r="AG1181" s="67"/>
      <c r="AH1181" s="67"/>
    </row>
    <row r="1182" ht="12.0" hidden="1" customHeight="1">
      <c r="A1182" s="67"/>
      <c r="B1182" s="67"/>
      <c r="C1182" s="67"/>
      <c r="D1182" s="67"/>
      <c r="E1182" s="67"/>
      <c r="F1182" s="67"/>
      <c r="G1182" s="67"/>
      <c r="H1182" s="67"/>
      <c r="I1182" s="67"/>
      <c r="J1182" s="67"/>
      <c r="K1182" s="139"/>
      <c r="L1182" s="67"/>
      <c r="M1182" s="67"/>
      <c r="N1182" s="140"/>
      <c r="O1182" s="67"/>
      <c r="P1182" s="67"/>
      <c r="Q1182" s="67"/>
      <c r="R1182" s="67"/>
      <c r="S1182" s="140"/>
      <c r="T1182" s="67"/>
      <c r="U1182" s="67"/>
      <c r="V1182" s="67"/>
      <c r="W1182" s="67"/>
      <c r="X1182" s="67"/>
      <c r="Y1182" s="67"/>
      <c r="Z1182" s="67"/>
      <c r="AA1182" s="67"/>
      <c r="AB1182" s="67"/>
      <c r="AC1182" s="67"/>
      <c r="AD1182" s="67"/>
      <c r="AE1182" s="67"/>
      <c r="AF1182" s="67"/>
      <c r="AG1182" s="67"/>
      <c r="AH1182" s="67"/>
    </row>
    <row r="1183" ht="12.0" hidden="1" customHeight="1">
      <c r="A1183" s="67"/>
      <c r="B1183" s="67"/>
      <c r="C1183" s="67"/>
      <c r="D1183" s="67"/>
      <c r="E1183" s="67"/>
      <c r="F1183" s="67"/>
      <c r="G1183" s="67"/>
      <c r="H1183" s="67"/>
      <c r="I1183" s="67"/>
      <c r="J1183" s="67"/>
      <c r="K1183" s="139"/>
      <c r="L1183" s="67"/>
      <c r="M1183" s="67"/>
      <c r="N1183" s="140"/>
      <c r="O1183" s="67"/>
      <c r="P1183" s="67"/>
      <c r="Q1183" s="67"/>
      <c r="R1183" s="67"/>
      <c r="S1183" s="140"/>
      <c r="T1183" s="67"/>
      <c r="U1183" s="67"/>
      <c r="V1183" s="67"/>
      <c r="W1183" s="67"/>
      <c r="X1183" s="67"/>
      <c r="Y1183" s="67"/>
      <c r="Z1183" s="67"/>
      <c r="AA1183" s="67"/>
      <c r="AB1183" s="67"/>
      <c r="AC1183" s="67"/>
      <c r="AD1183" s="67"/>
      <c r="AE1183" s="67"/>
      <c r="AF1183" s="67"/>
      <c r="AG1183" s="67"/>
      <c r="AH1183" s="67"/>
    </row>
    <row r="1184" ht="12.0" hidden="1" customHeight="1">
      <c r="A1184" s="67"/>
      <c r="B1184" s="67"/>
      <c r="C1184" s="67"/>
      <c r="D1184" s="67"/>
      <c r="E1184" s="67"/>
      <c r="F1184" s="67"/>
      <c r="G1184" s="67"/>
      <c r="H1184" s="67"/>
      <c r="I1184" s="67"/>
      <c r="J1184" s="67"/>
      <c r="K1184" s="139"/>
      <c r="L1184" s="67"/>
      <c r="M1184" s="67"/>
      <c r="N1184" s="140"/>
      <c r="O1184" s="67"/>
      <c r="P1184" s="67"/>
      <c r="Q1184" s="67"/>
      <c r="R1184" s="67"/>
      <c r="S1184" s="140"/>
      <c r="T1184" s="67"/>
      <c r="U1184" s="67"/>
      <c r="V1184" s="67"/>
      <c r="W1184" s="67"/>
      <c r="X1184" s="67"/>
      <c r="Y1184" s="67"/>
      <c r="Z1184" s="67"/>
      <c r="AA1184" s="67"/>
      <c r="AB1184" s="67"/>
      <c r="AC1184" s="67"/>
      <c r="AD1184" s="67"/>
      <c r="AE1184" s="67"/>
      <c r="AF1184" s="67"/>
      <c r="AG1184" s="67"/>
      <c r="AH1184" s="67"/>
    </row>
    <row r="1185" ht="12.0" hidden="1" customHeight="1">
      <c r="A1185" s="67"/>
      <c r="B1185" s="67"/>
      <c r="C1185" s="67"/>
      <c r="D1185" s="67"/>
      <c r="E1185" s="67"/>
      <c r="F1185" s="67"/>
      <c r="G1185" s="67"/>
      <c r="H1185" s="67"/>
      <c r="I1185" s="67"/>
      <c r="J1185" s="67"/>
      <c r="K1185" s="139"/>
      <c r="L1185" s="67"/>
      <c r="M1185" s="67"/>
      <c r="N1185" s="140"/>
      <c r="O1185" s="67"/>
      <c r="P1185" s="67"/>
      <c r="Q1185" s="67"/>
      <c r="R1185" s="67"/>
      <c r="S1185" s="140"/>
      <c r="T1185" s="67"/>
      <c r="U1185" s="67"/>
      <c r="V1185" s="67"/>
      <c r="W1185" s="67"/>
      <c r="X1185" s="67"/>
      <c r="Y1185" s="67"/>
      <c r="Z1185" s="67"/>
      <c r="AA1185" s="67"/>
      <c r="AB1185" s="67"/>
      <c r="AC1185" s="67"/>
      <c r="AD1185" s="67"/>
      <c r="AE1185" s="67"/>
      <c r="AF1185" s="67"/>
      <c r="AG1185" s="67"/>
      <c r="AH1185" s="67"/>
    </row>
    <row r="1186" ht="12.0" hidden="1" customHeight="1">
      <c r="A1186" s="67"/>
      <c r="B1186" s="67"/>
      <c r="C1186" s="67"/>
      <c r="D1186" s="67"/>
      <c r="E1186" s="67"/>
      <c r="F1186" s="67"/>
      <c r="G1186" s="67"/>
      <c r="H1186" s="67"/>
      <c r="I1186" s="67"/>
      <c r="J1186" s="67"/>
      <c r="K1186" s="139"/>
      <c r="L1186" s="67"/>
      <c r="M1186" s="67"/>
      <c r="N1186" s="140"/>
      <c r="O1186" s="67"/>
      <c r="P1186" s="67"/>
      <c r="Q1186" s="67"/>
      <c r="R1186" s="67"/>
      <c r="S1186" s="140"/>
      <c r="T1186" s="67"/>
      <c r="U1186" s="67"/>
      <c r="V1186" s="67"/>
      <c r="W1186" s="67"/>
      <c r="X1186" s="67"/>
      <c r="Y1186" s="67"/>
      <c r="Z1186" s="67"/>
      <c r="AA1186" s="67"/>
      <c r="AB1186" s="67"/>
      <c r="AC1186" s="67"/>
      <c r="AD1186" s="67"/>
      <c r="AE1186" s="67"/>
      <c r="AF1186" s="67"/>
      <c r="AG1186" s="67"/>
      <c r="AH1186" s="67"/>
    </row>
    <row r="1187" ht="12.0" hidden="1" customHeight="1">
      <c r="A1187" s="67"/>
      <c r="B1187" s="67"/>
      <c r="C1187" s="67"/>
      <c r="D1187" s="67"/>
      <c r="E1187" s="67"/>
      <c r="F1187" s="67"/>
      <c r="G1187" s="67"/>
      <c r="H1187" s="67"/>
      <c r="I1187" s="67"/>
      <c r="J1187" s="67"/>
      <c r="K1187" s="139"/>
      <c r="L1187" s="67"/>
      <c r="M1187" s="67"/>
      <c r="N1187" s="140"/>
      <c r="O1187" s="67"/>
      <c r="P1187" s="67"/>
      <c r="Q1187" s="67"/>
      <c r="R1187" s="67"/>
      <c r="S1187" s="140"/>
      <c r="T1187" s="67"/>
      <c r="U1187" s="67"/>
      <c r="V1187" s="67"/>
      <c r="W1187" s="67"/>
      <c r="X1187" s="67"/>
      <c r="Y1187" s="67"/>
      <c r="Z1187" s="67"/>
      <c r="AA1187" s="67"/>
      <c r="AB1187" s="67"/>
      <c r="AC1187" s="67"/>
      <c r="AD1187" s="67"/>
      <c r="AE1187" s="67"/>
      <c r="AF1187" s="67"/>
      <c r="AG1187" s="67"/>
      <c r="AH1187" s="67"/>
    </row>
    <row r="1188" ht="12.0" hidden="1" customHeight="1">
      <c r="A1188" s="67"/>
      <c r="B1188" s="67"/>
      <c r="C1188" s="67"/>
      <c r="D1188" s="67"/>
      <c r="E1188" s="67"/>
      <c r="F1188" s="67"/>
      <c r="G1188" s="67"/>
      <c r="H1188" s="67"/>
      <c r="I1188" s="67"/>
      <c r="J1188" s="67"/>
      <c r="K1188" s="139"/>
      <c r="L1188" s="67"/>
      <c r="M1188" s="67"/>
      <c r="N1188" s="140"/>
      <c r="O1188" s="67"/>
      <c r="P1188" s="67"/>
      <c r="Q1188" s="67"/>
      <c r="R1188" s="67"/>
      <c r="S1188" s="140"/>
      <c r="T1188" s="67"/>
      <c r="U1188" s="67"/>
      <c r="V1188" s="67"/>
      <c r="W1188" s="67"/>
      <c r="X1188" s="67"/>
      <c r="Y1188" s="67"/>
      <c r="Z1188" s="67"/>
      <c r="AA1188" s="67"/>
      <c r="AB1188" s="67"/>
      <c r="AC1188" s="67"/>
      <c r="AD1188" s="67"/>
      <c r="AE1188" s="67"/>
      <c r="AF1188" s="67"/>
      <c r="AG1188" s="67"/>
      <c r="AH1188" s="67"/>
    </row>
    <row r="1189" ht="12.0" hidden="1" customHeight="1">
      <c r="A1189" s="67"/>
      <c r="B1189" s="67"/>
      <c r="C1189" s="67"/>
      <c r="D1189" s="67"/>
      <c r="E1189" s="67"/>
      <c r="F1189" s="67"/>
      <c r="G1189" s="67"/>
      <c r="H1189" s="67"/>
      <c r="I1189" s="67"/>
      <c r="J1189" s="67"/>
      <c r="K1189" s="139"/>
      <c r="L1189" s="67"/>
      <c r="M1189" s="67"/>
      <c r="N1189" s="140"/>
      <c r="O1189" s="67"/>
      <c r="P1189" s="67"/>
      <c r="Q1189" s="67"/>
      <c r="R1189" s="67"/>
      <c r="S1189" s="140"/>
      <c r="T1189" s="67"/>
      <c r="U1189" s="67"/>
      <c r="V1189" s="67"/>
      <c r="W1189" s="67"/>
      <c r="X1189" s="67"/>
      <c r="Y1189" s="67"/>
      <c r="Z1189" s="67"/>
      <c r="AA1189" s="67"/>
      <c r="AB1189" s="67"/>
      <c r="AC1189" s="67"/>
      <c r="AD1189" s="67"/>
      <c r="AE1189" s="67"/>
      <c r="AF1189" s="67"/>
      <c r="AG1189" s="67"/>
      <c r="AH1189" s="67"/>
    </row>
    <row r="1190" ht="12.0" hidden="1" customHeight="1">
      <c r="A1190" s="67"/>
      <c r="B1190" s="67"/>
      <c r="C1190" s="67"/>
      <c r="D1190" s="67"/>
      <c r="E1190" s="67"/>
      <c r="F1190" s="67"/>
      <c r="G1190" s="67"/>
      <c r="H1190" s="67"/>
      <c r="I1190" s="67"/>
      <c r="J1190" s="67"/>
      <c r="K1190" s="139"/>
      <c r="L1190" s="67"/>
      <c r="M1190" s="67"/>
      <c r="N1190" s="140"/>
      <c r="O1190" s="67"/>
      <c r="P1190" s="67"/>
      <c r="Q1190" s="67"/>
      <c r="R1190" s="67"/>
      <c r="S1190" s="140"/>
      <c r="T1190" s="67"/>
      <c r="U1190" s="67"/>
      <c r="V1190" s="67"/>
      <c r="W1190" s="67"/>
      <c r="X1190" s="67"/>
      <c r="Y1190" s="67"/>
      <c r="Z1190" s="67"/>
      <c r="AA1190" s="67"/>
      <c r="AB1190" s="67"/>
      <c r="AC1190" s="67"/>
      <c r="AD1190" s="67"/>
      <c r="AE1190" s="67"/>
      <c r="AF1190" s="67"/>
      <c r="AG1190" s="67"/>
      <c r="AH1190" s="67"/>
    </row>
    <row r="1191" ht="12.0" hidden="1" customHeight="1">
      <c r="A1191" s="67"/>
      <c r="B1191" s="67"/>
      <c r="C1191" s="67"/>
      <c r="D1191" s="67"/>
      <c r="E1191" s="67"/>
      <c r="F1191" s="67"/>
      <c r="G1191" s="67"/>
      <c r="H1191" s="67"/>
      <c r="I1191" s="67"/>
      <c r="J1191" s="67"/>
      <c r="K1191" s="139"/>
      <c r="L1191" s="67"/>
      <c r="M1191" s="67"/>
      <c r="N1191" s="140"/>
      <c r="O1191" s="67"/>
      <c r="P1191" s="67"/>
      <c r="Q1191" s="67"/>
      <c r="R1191" s="67"/>
      <c r="S1191" s="140"/>
      <c r="T1191" s="67"/>
      <c r="U1191" s="67"/>
      <c r="V1191" s="67"/>
      <c r="W1191" s="67"/>
      <c r="X1191" s="67"/>
      <c r="Y1191" s="67"/>
      <c r="Z1191" s="67"/>
      <c r="AA1191" s="67"/>
      <c r="AB1191" s="67"/>
      <c r="AC1191" s="67"/>
      <c r="AD1191" s="67"/>
      <c r="AE1191" s="67"/>
      <c r="AF1191" s="67"/>
      <c r="AG1191" s="67"/>
      <c r="AH1191" s="67"/>
    </row>
    <row r="1192" ht="12.0" hidden="1" customHeight="1">
      <c r="A1192" s="67"/>
      <c r="B1192" s="67"/>
      <c r="C1192" s="67"/>
      <c r="D1192" s="67"/>
      <c r="E1192" s="67"/>
      <c r="F1192" s="67"/>
      <c r="G1192" s="67"/>
      <c r="H1192" s="67"/>
      <c r="I1192" s="67"/>
      <c r="J1192" s="67"/>
      <c r="K1192" s="139"/>
      <c r="L1192" s="67"/>
      <c r="M1192" s="67"/>
      <c r="N1192" s="140"/>
      <c r="O1192" s="67"/>
      <c r="P1192" s="67"/>
      <c r="Q1192" s="67"/>
      <c r="R1192" s="67"/>
      <c r="S1192" s="140"/>
      <c r="T1192" s="67"/>
      <c r="U1192" s="67"/>
      <c r="V1192" s="67"/>
      <c r="W1192" s="67"/>
      <c r="X1192" s="67"/>
      <c r="Y1192" s="67"/>
      <c r="Z1192" s="67"/>
      <c r="AA1192" s="67"/>
      <c r="AB1192" s="67"/>
      <c r="AC1192" s="67"/>
      <c r="AD1192" s="67"/>
      <c r="AE1192" s="67"/>
      <c r="AF1192" s="67"/>
      <c r="AG1192" s="67"/>
      <c r="AH1192" s="67"/>
    </row>
    <row r="1193" ht="12.0" hidden="1" customHeight="1">
      <c r="A1193" s="67"/>
      <c r="B1193" s="67"/>
      <c r="C1193" s="67"/>
      <c r="D1193" s="67"/>
      <c r="E1193" s="67"/>
      <c r="F1193" s="67"/>
      <c r="G1193" s="67"/>
      <c r="H1193" s="67"/>
      <c r="I1193" s="67"/>
      <c r="J1193" s="67"/>
      <c r="K1193" s="139"/>
      <c r="L1193" s="67"/>
      <c r="M1193" s="67"/>
      <c r="N1193" s="140"/>
      <c r="O1193" s="67"/>
      <c r="P1193" s="67"/>
      <c r="Q1193" s="67"/>
      <c r="R1193" s="67"/>
      <c r="S1193" s="140"/>
      <c r="T1193" s="67"/>
      <c r="U1193" s="67"/>
      <c r="V1193" s="67"/>
      <c r="W1193" s="67"/>
      <c r="X1193" s="67"/>
      <c r="Y1193" s="67"/>
      <c r="Z1193" s="67"/>
      <c r="AA1193" s="67"/>
      <c r="AB1193" s="67"/>
      <c r="AC1193" s="67"/>
      <c r="AD1193" s="67"/>
      <c r="AE1193" s="67"/>
      <c r="AF1193" s="67"/>
      <c r="AG1193" s="67"/>
      <c r="AH1193" s="67"/>
    </row>
    <row r="1194" ht="12.0" hidden="1" customHeight="1">
      <c r="A1194" s="67"/>
      <c r="B1194" s="67"/>
      <c r="C1194" s="67"/>
      <c r="D1194" s="67"/>
      <c r="E1194" s="67"/>
      <c r="F1194" s="67"/>
      <c r="G1194" s="67"/>
      <c r="H1194" s="67"/>
      <c r="I1194" s="67"/>
      <c r="J1194" s="67"/>
      <c r="K1194" s="139"/>
      <c r="L1194" s="67"/>
      <c r="M1194" s="67"/>
      <c r="N1194" s="140"/>
      <c r="O1194" s="67"/>
      <c r="P1194" s="67"/>
      <c r="Q1194" s="67"/>
      <c r="R1194" s="67"/>
      <c r="S1194" s="140"/>
      <c r="T1194" s="67"/>
      <c r="U1194" s="67"/>
      <c r="V1194" s="67"/>
      <c r="W1194" s="67"/>
      <c r="X1194" s="67"/>
      <c r="Y1194" s="67"/>
      <c r="Z1194" s="67"/>
      <c r="AA1194" s="67"/>
      <c r="AB1194" s="67"/>
      <c r="AC1194" s="67"/>
      <c r="AD1194" s="67"/>
      <c r="AE1194" s="67"/>
      <c r="AF1194" s="67"/>
      <c r="AG1194" s="67"/>
      <c r="AH1194" s="67"/>
    </row>
    <row r="1195" ht="12.0" hidden="1" customHeight="1">
      <c r="A1195" s="67"/>
      <c r="B1195" s="67"/>
      <c r="C1195" s="67"/>
      <c r="D1195" s="67"/>
      <c r="E1195" s="67"/>
      <c r="F1195" s="67"/>
      <c r="G1195" s="67"/>
      <c r="H1195" s="67"/>
      <c r="I1195" s="67"/>
      <c r="J1195" s="67"/>
      <c r="K1195" s="139"/>
      <c r="L1195" s="67"/>
      <c r="M1195" s="67"/>
      <c r="N1195" s="140"/>
      <c r="O1195" s="67"/>
      <c r="P1195" s="67"/>
      <c r="Q1195" s="67"/>
      <c r="R1195" s="67"/>
      <c r="S1195" s="140"/>
      <c r="T1195" s="67"/>
      <c r="U1195" s="67"/>
      <c r="V1195" s="67"/>
      <c r="W1195" s="67"/>
      <c r="X1195" s="67"/>
      <c r="Y1195" s="67"/>
      <c r="Z1195" s="67"/>
      <c r="AA1195" s="67"/>
      <c r="AB1195" s="67"/>
      <c r="AC1195" s="67"/>
      <c r="AD1195" s="67"/>
      <c r="AE1195" s="67"/>
      <c r="AF1195" s="67"/>
      <c r="AG1195" s="67"/>
      <c r="AH1195" s="67"/>
    </row>
    <row r="1196" ht="12.0" hidden="1" customHeight="1">
      <c r="A1196" s="67"/>
      <c r="B1196" s="67"/>
      <c r="C1196" s="67"/>
      <c r="D1196" s="67"/>
      <c r="E1196" s="67"/>
      <c r="F1196" s="67"/>
      <c r="G1196" s="67"/>
      <c r="H1196" s="67"/>
      <c r="I1196" s="67"/>
      <c r="J1196" s="67"/>
      <c r="K1196" s="139"/>
      <c r="L1196" s="67"/>
      <c r="M1196" s="67"/>
      <c r="N1196" s="140"/>
      <c r="O1196" s="67"/>
      <c r="P1196" s="67"/>
      <c r="Q1196" s="67"/>
      <c r="R1196" s="67"/>
      <c r="S1196" s="140"/>
      <c r="T1196" s="67"/>
      <c r="U1196" s="67"/>
      <c r="V1196" s="67"/>
      <c r="W1196" s="67"/>
      <c r="X1196" s="67"/>
      <c r="Y1196" s="67"/>
      <c r="Z1196" s="67"/>
      <c r="AA1196" s="67"/>
      <c r="AB1196" s="67"/>
      <c r="AC1196" s="67"/>
      <c r="AD1196" s="67"/>
      <c r="AE1196" s="67"/>
      <c r="AF1196" s="67"/>
      <c r="AG1196" s="67"/>
      <c r="AH1196" s="67"/>
    </row>
    <row r="1197" ht="12.0" hidden="1" customHeight="1">
      <c r="A1197" s="67"/>
      <c r="B1197" s="67"/>
      <c r="C1197" s="67"/>
      <c r="D1197" s="67"/>
      <c r="E1197" s="67"/>
      <c r="F1197" s="67"/>
      <c r="G1197" s="67"/>
      <c r="H1197" s="67"/>
      <c r="I1197" s="67"/>
      <c r="J1197" s="67"/>
      <c r="K1197" s="139"/>
      <c r="L1197" s="67"/>
      <c r="M1197" s="67"/>
      <c r="N1197" s="140"/>
      <c r="O1197" s="67"/>
      <c r="P1197" s="67"/>
      <c r="Q1197" s="67"/>
      <c r="R1197" s="67"/>
      <c r="S1197" s="140"/>
      <c r="T1197" s="67"/>
      <c r="U1197" s="67"/>
      <c r="V1197" s="67"/>
      <c r="W1197" s="67"/>
      <c r="X1197" s="67"/>
      <c r="Y1197" s="67"/>
      <c r="Z1197" s="67"/>
      <c r="AA1197" s="67"/>
      <c r="AB1197" s="67"/>
      <c r="AC1197" s="67"/>
      <c r="AD1197" s="67"/>
      <c r="AE1197" s="67"/>
      <c r="AF1197" s="67"/>
      <c r="AG1197" s="67"/>
      <c r="AH1197" s="67"/>
    </row>
    <row r="1198" ht="12.0" hidden="1" customHeight="1">
      <c r="A1198" s="67"/>
      <c r="B1198" s="67"/>
      <c r="C1198" s="67"/>
      <c r="D1198" s="67"/>
      <c r="E1198" s="67"/>
      <c r="F1198" s="67"/>
      <c r="G1198" s="67"/>
      <c r="H1198" s="67"/>
      <c r="I1198" s="67"/>
      <c r="J1198" s="67"/>
      <c r="K1198" s="139"/>
      <c r="L1198" s="67"/>
      <c r="M1198" s="67"/>
      <c r="N1198" s="140"/>
      <c r="O1198" s="67"/>
      <c r="P1198" s="67"/>
      <c r="Q1198" s="67"/>
      <c r="R1198" s="67"/>
      <c r="S1198" s="140"/>
      <c r="T1198" s="67"/>
      <c r="U1198" s="67"/>
      <c r="V1198" s="67"/>
      <c r="W1198" s="67"/>
      <c r="X1198" s="67"/>
      <c r="Y1198" s="67"/>
      <c r="Z1198" s="67"/>
      <c r="AA1198" s="67"/>
      <c r="AB1198" s="67"/>
      <c r="AC1198" s="67"/>
      <c r="AD1198" s="67"/>
      <c r="AE1198" s="67"/>
      <c r="AF1198" s="67"/>
      <c r="AG1198" s="67"/>
      <c r="AH1198" s="67"/>
    </row>
    <row r="1199" ht="12.0" hidden="1" customHeight="1">
      <c r="A1199" s="67"/>
      <c r="B1199" s="67"/>
      <c r="C1199" s="67"/>
      <c r="D1199" s="67"/>
      <c r="E1199" s="67"/>
      <c r="F1199" s="67"/>
      <c r="G1199" s="67"/>
      <c r="H1199" s="67"/>
      <c r="I1199" s="67"/>
      <c r="J1199" s="67"/>
      <c r="K1199" s="139"/>
      <c r="L1199" s="67"/>
      <c r="M1199" s="67"/>
      <c r="N1199" s="140"/>
      <c r="O1199" s="67"/>
      <c r="P1199" s="67"/>
      <c r="Q1199" s="67"/>
      <c r="R1199" s="67"/>
      <c r="S1199" s="140"/>
      <c r="T1199" s="67"/>
      <c r="U1199" s="67"/>
      <c r="V1199" s="67"/>
      <c r="W1199" s="67"/>
      <c r="X1199" s="67"/>
      <c r="Y1199" s="67"/>
      <c r="Z1199" s="67"/>
      <c r="AA1199" s="67"/>
      <c r="AB1199" s="67"/>
      <c r="AC1199" s="67"/>
      <c r="AD1199" s="67"/>
      <c r="AE1199" s="67"/>
      <c r="AF1199" s="67"/>
      <c r="AG1199" s="67"/>
      <c r="AH1199" s="67"/>
    </row>
    <row r="1200" ht="12.0" hidden="1" customHeight="1">
      <c r="A1200" s="67"/>
      <c r="B1200" s="67"/>
      <c r="C1200" s="67"/>
      <c r="D1200" s="67"/>
      <c r="E1200" s="67"/>
      <c r="F1200" s="67"/>
      <c r="G1200" s="67"/>
      <c r="H1200" s="67"/>
      <c r="I1200" s="67"/>
      <c r="J1200" s="67"/>
      <c r="K1200" s="139"/>
      <c r="L1200" s="67"/>
      <c r="M1200" s="67"/>
      <c r="N1200" s="140"/>
      <c r="O1200" s="67"/>
      <c r="P1200" s="67"/>
      <c r="Q1200" s="67"/>
      <c r="R1200" s="67"/>
      <c r="S1200" s="140"/>
      <c r="T1200" s="67"/>
      <c r="U1200" s="67"/>
      <c r="V1200" s="67"/>
      <c r="W1200" s="67"/>
      <c r="X1200" s="67"/>
      <c r="Y1200" s="67"/>
      <c r="Z1200" s="67"/>
      <c r="AA1200" s="67"/>
      <c r="AB1200" s="67"/>
      <c r="AC1200" s="67"/>
      <c r="AD1200" s="67"/>
      <c r="AE1200" s="67"/>
      <c r="AF1200" s="67"/>
      <c r="AG1200" s="67"/>
      <c r="AH1200" s="67"/>
    </row>
    <row r="1201" ht="12.0" hidden="1" customHeight="1">
      <c r="A1201" s="67"/>
      <c r="B1201" s="67"/>
      <c r="C1201" s="67"/>
      <c r="D1201" s="67"/>
      <c r="E1201" s="67"/>
      <c r="F1201" s="67"/>
      <c r="G1201" s="67"/>
      <c r="H1201" s="67"/>
      <c r="I1201" s="67"/>
      <c r="J1201" s="67"/>
      <c r="K1201" s="139"/>
      <c r="L1201" s="67"/>
      <c r="M1201" s="67"/>
      <c r="N1201" s="140"/>
      <c r="O1201" s="67"/>
      <c r="P1201" s="67"/>
      <c r="Q1201" s="67"/>
      <c r="R1201" s="67"/>
      <c r="S1201" s="140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ht="12.0" hidden="1" customHeight="1">
      <c r="A1202" s="67"/>
      <c r="B1202" s="67"/>
      <c r="C1202" s="67"/>
      <c r="D1202" s="67"/>
      <c r="E1202" s="67"/>
      <c r="F1202" s="67"/>
      <c r="G1202" s="67"/>
      <c r="H1202" s="67"/>
      <c r="I1202" s="67"/>
      <c r="J1202" s="67"/>
      <c r="K1202" s="139"/>
      <c r="L1202" s="67"/>
      <c r="M1202" s="67"/>
      <c r="N1202" s="140"/>
      <c r="O1202" s="67"/>
      <c r="P1202" s="67"/>
      <c r="Q1202" s="67"/>
      <c r="R1202" s="67"/>
      <c r="S1202" s="140"/>
      <c r="T1202" s="67"/>
      <c r="U1202" s="67"/>
      <c r="V1202" s="67"/>
      <c r="W1202" s="67"/>
      <c r="X1202" s="67"/>
      <c r="Y1202" s="67"/>
      <c r="Z1202" s="67"/>
      <c r="AA1202" s="67"/>
      <c r="AB1202" s="67"/>
      <c r="AC1202" s="67"/>
      <c r="AD1202" s="67"/>
      <c r="AE1202" s="67"/>
      <c r="AF1202" s="67"/>
      <c r="AG1202" s="67"/>
      <c r="AH1202" s="67"/>
    </row>
    <row r="1203" ht="12.0" hidden="1" customHeight="1">
      <c r="A1203" s="67"/>
      <c r="B1203" s="67"/>
      <c r="C1203" s="67"/>
      <c r="D1203" s="67"/>
      <c r="E1203" s="67"/>
      <c r="F1203" s="67"/>
      <c r="G1203" s="67"/>
      <c r="H1203" s="67"/>
      <c r="I1203" s="67"/>
      <c r="J1203" s="67"/>
      <c r="K1203" s="139"/>
      <c r="L1203" s="67"/>
      <c r="M1203" s="67"/>
      <c r="N1203" s="140"/>
      <c r="O1203" s="67"/>
      <c r="P1203" s="67"/>
      <c r="Q1203" s="67"/>
      <c r="R1203" s="67"/>
      <c r="S1203" s="140"/>
      <c r="T1203" s="67"/>
      <c r="U1203" s="67"/>
      <c r="V1203" s="67"/>
      <c r="W1203" s="67"/>
      <c r="X1203" s="67"/>
      <c r="Y1203" s="67"/>
      <c r="Z1203" s="67"/>
      <c r="AA1203" s="67"/>
      <c r="AB1203" s="67"/>
      <c r="AC1203" s="67"/>
      <c r="AD1203" s="67"/>
      <c r="AE1203" s="67"/>
      <c r="AF1203" s="67"/>
      <c r="AG1203" s="67"/>
      <c r="AH1203" s="67"/>
    </row>
    <row r="1204" ht="12.0" hidden="1" customHeight="1">
      <c r="A1204" s="67"/>
      <c r="B1204" s="67"/>
      <c r="C1204" s="67"/>
      <c r="D1204" s="67"/>
      <c r="E1204" s="67"/>
      <c r="F1204" s="67"/>
      <c r="G1204" s="67"/>
      <c r="H1204" s="67"/>
      <c r="I1204" s="67"/>
      <c r="J1204" s="67"/>
      <c r="K1204" s="139"/>
      <c r="L1204" s="67"/>
      <c r="M1204" s="67"/>
      <c r="N1204" s="140"/>
      <c r="O1204" s="67"/>
      <c r="P1204" s="67"/>
      <c r="Q1204" s="67"/>
      <c r="R1204" s="67"/>
      <c r="S1204" s="140"/>
      <c r="T1204" s="67"/>
      <c r="U1204" s="67"/>
      <c r="V1204" s="67"/>
      <c r="W1204" s="67"/>
      <c r="X1204" s="67"/>
      <c r="Y1204" s="67"/>
      <c r="Z1204" s="67"/>
      <c r="AA1204" s="67"/>
      <c r="AB1204" s="67"/>
      <c r="AC1204" s="67"/>
      <c r="AD1204" s="67"/>
      <c r="AE1204" s="67"/>
      <c r="AF1204" s="67"/>
      <c r="AG1204" s="67"/>
      <c r="AH1204" s="67"/>
    </row>
    <row r="1205" ht="12.0" hidden="1" customHeight="1">
      <c r="A1205" s="67"/>
      <c r="B1205" s="67"/>
      <c r="C1205" s="67"/>
      <c r="D1205" s="67"/>
      <c r="E1205" s="67"/>
      <c r="F1205" s="67"/>
      <c r="G1205" s="67"/>
      <c r="H1205" s="67"/>
      <c r="I1205" s="67"/>
      <c r="J1205" s="67"/>
      <c r="K1205" s="139"/>
      <c r="L1205" s="67"/>
      <c r="M1205" s="67"/>
      <c r="N1205" s="140"/>
      <c r="O1205" s="67"/>
      <c r="P1205" s="67"/>
      <c r="Q1205" s="67"/>
      <c r="R1205" s="67"/>
      <c r="S1205" s="140"/>
      <c r="T1205" s="67"/>
      <c r="U1205" s="67"/>
      <c r="V1205" s="67"/>
      <c r="W1205" s="67"/>
      <c r="X1205" s="67"/>
      <c r="Y1205" s="67"/>
      <c r="Z1205" s="67"/>
      <c r="AA1205" s="67"/>
      <c r="AB1205" s="67"/>
      <c r="AC1205" s="67"/>
      <c r="AD1205" s="67"/>
      <c r="AE1205" s="67"/>
      <c r="AF1205" s="67"/>
      <c r="AG1205" s="67"/>
      <c r="AH1205" s="67"/>
    </row>
    <row r="1206" ht="12.0" hidden="1" customHeight="1">
      <c r="A1206" s="67"/>
      <c r="B1206" s="67"/>
      <c r="C1206" s="67"/>
      <c r="D1206" s="67"/>
      <c r="E1206" s="67"/>
      <c r="F1206" s="67"/>
      <c r="G1206" s="67"/>
      <c r="H1206" s="67"/>
      <c r="I1206" s="67"/>
      <c r="J1206" s="67"/>
      <c r="K1206" s="139"/>
      <c r="L1206" s="67"/>
      <c r="M1206" s="67"/>
      <c r="N1206" s="140"/>
      <c r="O1206" s="67"/>
      <c r="P1206" s="67"/>
      <c r="Q1206" s="67"/>
      <c r="R1206" s="67"/>
      <c r="S1206" s="140"/>
      <c r="T1206" s="67"/>
      <c r="U1206" s="67"/>
      <c r="V1206" s="67"/>
      <c r="W1206" s="67"/>
      <c r="X1206" s="67"/>
      <c r="Y1206" s="67"/>
      <c r="Z1206" s="67"/>
      <c r="AA1206" s="67"/>
      <c r="AB1206" s="67"/>
      <c r="AC1206" s="67"/>
      <c r="AD1206" s="67"/>
      <c r="AE1206" s="67"/>
      <c r="AF1206" s="67"/>
      <c r="AG1206" s="67"/>
      <c r="AH1206" s="67"/>
    </row>
    <row r="1207" ht="12.0" hidden="1" customHeight="1">
      <c r="A1207" s="67"/>
      <c r="B1207" s="67"/>
      <c r="C1207" s="67"/>
      <c r="D1207" s="67"/>
      <c r="E1207" s="67"/>
      <c r="F1207" s="67"/>
      <c r="G1207" s="67"/>
      <c r="H1207" s="67"/>
      <c r="I1207" s="67"/>
      <c r="J1207" s="67"/>
      <c r="K1207" s="139"/>
      <c r="L1207" s="67"/>
      <c r="M1207" s="67"/>
      <c r="N1207" s="140"/>
      <c r="O1207" s="67"/>
      <c r="P1207" s="67"/>
      <c r="Q1207" s="67"/>
      <c r="R1207" s="67"/>
      <c r="S1207" s="140"/>
      <c r="T1207" s="67"/>
      <c r="U1207" s="67"/>
      <c r="V1207" s="67"/>
      <c r="W1207" s="67"/>
      <c r="X1207" s="67"/>
      <c r="Y1207" s="67"/>
      <c r="Z1207" s="67"/>
      <c r="AA1207" s="67"/>
      <c r="AB1207" s="67"/>
      <c r="AC1207" s="67"/>
      <c r="AD1207" s="67"/>
      <c r="AE1207" s="67"/>
      <c r="AF1207" s="67"/>
      <c r="AG1207" s="67"/>
      <c r="AH1207" s="67"/>
    </row>
    <row r="1208" ht="12.0" hidden="1" customHeight="1">
      <c r="A1208" s="67"/>
      <c r="B1208" s="67"/>
      <c r="C1208" s="67"/>
      <c r="D1208" s="67"/>
      <c r="E1208" s="67"/>
      <c r="F1208" s="67"/>
      <c r="G1208" s="67"/>
      <c r="H1208" s="67"/>
      <c r="I1208" s="67"/>
      <c r="J1208" s="67"/>
      <c r="K1208" s="139"/>
      <c r="L1208" s="67"/>
      <c r="M1208" s="67"/>
      <c r="N1208" s="140"/>
      <c r="O1208" s="67"/>
      <c r="P1208" s="67"/>
      <c r="Q1208" s="67"/>
      <c r="R1208" s="67"/>
      <c r="S1208" s="140"/>
      <c r="T1208" s="67"/>
      <c r="U1208" s="67"/>
      <c r="V1208" s="67"/>
      <c r="W1208" s="67"/>
      <c r="X1208" s="67"/>
      <c r="Y1208" s="67"/>
      <c r="Z1208" s="67"/>
      <c r="AA1208" s="67"/>
      <c r="AB1208" s="67"/>
      <c r="AC1208" s="67"/>
      <c r="AD1208" s="67"/>
      <c r="AE1208" s="67"/>
      <c r="AF1208" s="67"/>
      <c r="AG1208" s="67"/>
      <c r="AH1208" s="67"/>
    </row>
    <row r="1209" ht="12.0" hidden="1" customHeight="1">
      <c r="A1209" s="67"/>
      <c r="B1209" s="67"/>
      <c r="C1209" s="67"/>
      <c r="D1209" s="67"/>
      <c r="E1209" s="67"/>
      <c r="F1209" s="67"/>
      <c r="G1209" s="67"/>
      <c r="H1209" s="67"/>
      <c r="I1209" s="67"/>
      <c r="J1209" s="67"/>
      <c r="K1209" s="139"/>
      <c r="L1209" s="67"/>
      <c r="M1209" s="67"/>
      <c r="N1209" s="140"/>
      <c r="O1209" s="67"/>
      <c r="P1209" s="67"/>
      <c r="Q1209" s="67"/>
      <c r="R1209" s="67"/>
      <c r="S1209" s="140"/>
      <c r="T1209" s="67"/>
      <c r="U1209" s="67"/>
      <c r="V1209" s="67"/>
      <c r="W1209" s="67"/>
      <c r="X1209" s="67"/>
      <c r="Y1209" s="67"/>
      <c r="Z1209" s="67"/>
      <c r="AA1209" s="67"/>
      <c r="AB1209" s="67"/>
      <c r="AC1209" s="67"/>
      <c r="AD1209" s="67"/>
      <c r="AE1209" s="67"/>
      <c r="AF1209" s="67"/>
      <c r="AG1209" s="67"/>
      <c r="AH1209" s="67"/>
    </row>
    <row r="1210" ht="12.0" hidden="1" customHeight="1">
      <c r="A1210" s="67"/>
      <c r="B1210" s="67"/>
      <c r="C1210" s="67"/>
      <c r="D1210" s="67"/>
      <c r="E1210" s="67"/>
      <c r="F1210" s="67"/>
      <c r="G1210" s="67"/>
      <c r="H1210" s="67"/>
      <c r="I1210" s="67"/>
      <c r="J1210" s="67"/>
      <c r="K1210" s="139"/>
      <c r="L1210" s="67"/>
      <c r="M1210" s="67"/>
      <c r="N1210" s="140"/>
      <c r="O1210" s="67"/>
      <c r="P1210" s="67"/>
      <c r="Q1210" s="67"/>
      <c r="R1210" s="67"/>
      <c r="S1210" s="140"/>
      <c r="T1210" s="67"/>
      <c r="U1210" s="67"/>
      <c r="V1210" s="67"/>
      <c r="W1210" s="67"/>
      <c r="X1210" s="67"/>
      <c r="Y1210" s="67"/>
      <c r="Z1210" s="67"/>
      <c r="AA1210" s="67"/>
      <c r="AB1210" s="67"/>
      <c r="AC1210" s="67"/>
      <c r="AD1210" s="67"/>
      <c r="AE1210" s="67"/>
      <c r="AF1210" s="67"/>
      <c r="AG1210" s="67"/>
      <c r="AH1210" s="67"/>
    </row>
    <row r="1211" ht="12.0" hidden="1" customHeight="1">
      <c r="A1211" s="67"/>
      <c r="B1211" s="67"/>
      <c r="C1211" s="67"/>
      <c r="D1211" s="67"/>
      <c r="E1211" s="67"/>
      <c r="F1211" s="67"/>
      <c r="G1211" s="67"/>
      <c r="H1211" s="67"/>
      <c r="I1211" s="67"/>
      <c r="J1211" s="67"/>
      <c r="K1211" s="139"/>
      <c r="L1211" s="67"/>
      <c r="M1211" s="67"/>
      <c r="N1211" s="140"/>
      <c r="O1211" s="67"/>
      <c r="P1211" s="67"/>
      <c r="Q1211" s="67"/>
      <c r="R1211" s="67"/>
      <c r="S1211" s="140"/>
      <c r="T1211" s="67"/>
      <c r="U1211" s="67"/>
      <c r="V1211" s="67"/>
      <c r="W1211" s="67"/>
      <c r="X1211" s="67"/>
      <c r="Y1211" s="67"/>
      <c r="Z1211" s="67"/>
      <c r="AA1211" s="67"/>
      <c r="AB1211" s="67"/>
      <c r="AC1211" s="67"/>
      <c r="AD1211" s="67"/>
      <c r="AE1211" s="67"/>
      <c r="AF1211" s="67"/>
      <c r="AG1211" s="67"/>
      <c r="AH1211" s="67"/>
    </row>
    <row r="1212" ht="12.0" hidden="1" customHeight="1">
      <c r="A1212" s="67"/>
      <c r="B1212" s="67"/>
      <c r="C1212" s="67"/>
      <c r="D1212" s="67"/>
      <c r="E1212" s="67"/>
      <c r="F1212" s="67"/>
      <c r="G1212" s="67"/>
      <c r="H1212" s="67"/>
      <c r="I1212" s="67"/>
      <c r="J1212" s="67"/>
      <c r="K1212" s="139"/>
      <c r="L1212" s="67"/>
      <c r="M1212" s="67"/>
      <c r="N1212" s="140"/>
      <c r="O1212" s="67"/>
      <c r="P1212" s="67"/>
      <c r="Q1212" s="67"/>
      <c r="R1212" s="67"/>
      <c r="S1212" s="140"/>
      <c r="T1212" s="67"/>
      <c r="U1212" s="67"/>
      <c r="V1212" s="67"/>
      <c r="W1212" s="67"/>
      <c r="X1212" s="67"/>
      <c r="Y1212" s="67"/>
      <c r="Z1212" s="67"/>
      <c r="AA1212" s="67"/>
      <c r="AB1212" s="67"/>
      <c r="AC1212" s="67"/>
      <c r="AD1212" s="67"/>
      <c r="AE1212" s="67"/>
      <c r="AF1212" s="67"/>
      <c r="AG1212" s="67"/>
      <c r="AH1212" s="67"/>
    </row>
    <row r="1213" ht="12.0" hidden="1" customHeight="1">
      <c r="A1213" s="67"/>
      <c r="B1213" s="67"/>
      <c r="C1213" s="67"/>
      <c r="D1213" s="67"/>
      <c r="E1213" s="67"/>
      <c r="F1213" s="67"/>
      <c r="G1213" s="67"/>
      <c r="H1213" s="67"/>
      <c r="I1213" s="67"/>
      <c r="J1213" s="67"/>
      <c r="K1213" s="139"/>
      <c r="L1213" s="67"/>
      <c r="M1213" s="67"/>
      <c r="N1213" s="140"/>
      <c r="O1213" s="67"/>
      <c r="P1213" s="67"/>
      <c r="Q1213" s="67"/>
      <c r="R1213" s="67"/>
      <c r="S1213" s="140"/>
      <c r="T1213" s="67"/>
      <c r="U1213" s="67"/>
      <c r="V1213" s="67"/>
      <c r="W1213" s="67"/>
      <c r="X1213" s="67"/>
      <c r="Y1213" s="67"/>
      <c r="Z1213" s="67"/>
      <c r="AA1213" s="67"/>
      <c r="AB1213" s="67"/>
      <c r="AC1213" s="67"/>
      <c r="AD1213" s="67"/>
      <c r="AE1213" s="67"/>
      <c r="AF1213" s="67"/>
      <c r="AG1213" s="67"/>
      <c r="AH1213" s="67"/>
    </row>
    <row r="1214" ht="12.0" hidden="1" customHeight="1">
      <c r="A1214" s="67"/>
      <c r="B1214" s="67"/>
      <c r="C1214" s="67"/>
      <c r="D1214" s="67"/>
      <c r="E1214" s="67"/>
      <c r="F1214" s="67"/>
      <c r="G1214" s="67"/>
      <c r="H1214" s="67"/>
      <c r="I1214" s="67"/>
      <c r="J1214" s="67"/>
      <c r="K1214" s="139"/>
      <c r="L1214" s="67"/>
      <c r="M1214" s="67"/>
      <c r="N1214" s="140"/>
      <c r="O1214" s="67"/>
      <c r="P1214" s="67"/>
      <c r="Q1214" s="67"/>
      <c r="R1214" s="67"/>
      <c r="S1214" s="140"/>
      <c r="T1214" s="67"/>
      <c r="U1214" s="67"/>
      <c r="V1214" s="67"/>
      <c r="W1214" s="67"/>
      <c r="X1214" s="67"/>
      <c r="Y1214" s="67"/>
      <c r="Z1214" s="67"/>
      <c r="AA1214" s="67"/>
      <c r="AB1214" s="67"/>
      <c r="AC1214" s="67"/>
      <c r="AD1214" s="67"/>
      <c r="AE1214" s="67"/>
      <c r="AF1214" s="67"/>
      <c r="AG1214" s="67"/>
      <c r="AH1214" s="67"/>
    </row>
    <row r="1215" ht="12.0" hidden="1" customHeight="1">
      <c r="A1215" s="67"/>
      <c r="B1215" s="67"/>
      <c r="C1215" s="67"/>
      <c r="D1215" s="67"/>
      <c r="E1215" s="67"/>
      <c r="F1215" s="67"/>
      <c r="G1215" s="67"/>
      <c r="H1215" s="67"/>
      <c r="I1215" s="67"/>
      <c r="J1215" s="67"/>
      <c r="K1215" s="139"/>
      <c r="L1215" s="67"/>
      <c r="M1215" s="67"/>
      <c r="N1215" s="140"/>
      <c r="O1215" s="67"/>
      <c r="P1215" s="67"/>
      <c r="Q1215" s="67"/>
      <c r="R1215" s="67"/>
      <c r="S1215" s="140"/>
      <c r="T1215" s="67"/>
      <c r="U1215" s="67"/>
      <c r="V1215" s="67"/>
      <c r="W1215" s="67"/>
      <c r="X1215" s="67"/>
      <c r="Y1215" s="67"/>
      <c r="Z1215" s="67"/>
      <c r="AA1215" s="67"/>
      <c r="AB1215" s="67"/>
      <c r="AC1215" s="67"/>
      <c r="AD1215" s="67"/>
      <c r="AE1215" s="67"/>
      <c r="AF1215" s="67"/>
      <c r="AG1215" s="67"/>
      <c r="AH1215" s="67"/>
    </row>
    <row r="1216" ht="12.0" hidden="1" customHeight="1">
      <c r="A1216" s="67"/>
      <c r="B1216" s="67"/>
      <c r="C1216" s="67"/>
      <c r="D1216" s="67"/>
      <c r="E1216" s="67"/>
      <c r="F1216" s="67"/>
      <c r="G1216" s="67"/>
      <c r="H1216" s="67"/>
      <c r="I1216" s="67"/>
      <c r="J1216" s="67"/>
      <c r="K1216" s="139"/>
      <c r="L1216" s="67"/>
      <c r="M1216" s="67"/>
      <c r="N1216" s="140"/>
      <c r="O1216" s="67"/>
      <c r="P1216" s="67"/>
      <c r="Q1216" s="67"/>
      <c r="R1216" s="67"/>
      <c r="S1216" s="140"/>
      <c r="T1216" s="67"/>
      <c r="U1216" s="67"/>
      <c r="V1216" s="67"/>
      <c r="W1216" s="67"/>
      <c r="X1216" s="67"/>
      <c r="Y1216" s="67"/>
      <c r="Z1216" s="67"/>
      <c r="AA1216" s="67"/>
      <c r="AB1216" s="67"/>
      <c r="AC1216" s="67"/>
      <c r="AD1216" s="67"/>
      <c r="AE1216" s="67"/>
      <c r="AF1216" s="67"/>
      <c r="AG1216" s="67"/>
      <c r="AH1216" s="67"/>
    </row>
    <row r="1217" ht="12.0" hidden="1" customHeight="1">
      <c r="A1217" s="67"/>
      <c r="B1217" s="67"/>
      <c r="C1217" s="67"/>
      <c r="D1217" s="67"/>
      <c r="E1217" s="67"/>
      <c r="F1217" s="67"/>
      <c r="G1217" s="67"/>
      <c r="H1217" s="67"/>
      <c r="I1217" s="67"/>
      <c r="J1217" s="67"/>
      <c r="K1217" s="139"/>
      <c r="L1217" s="67"/>
      <c r="M1217" s="67"/>
      <c r="N1217" s="140"/>
      <c r="O1217" s="67"/>
      <c r="P1217" s="67"/>
      <c r="Q1217" s="67"/>
      <c r="R1217" s="67"/>
      <c r="S1217" s="140"/>
      <c r="T1217" s="67"/>
      <c r="U1217" s="67"/>
      <c r="V1217" s="67"/>
      <c r="W1217" s="67"/>
      <c r="X1217" s="67"/>
      <c r="Y1217" s="67"/>
      <c r="Z1217" s="67"/>
      <c r="AA1217" s="67"/>
      <c r="AB1217" s="67"/>
      <c r="AC1217" s="67"/>
      <c r="AD1217" s="67"/>
      <c r="AE1217" s="67"/>
      <c r="AF1217" s="67"/>
      <c r="AG1217" s="67"/>
      <c r="AH1217" s="67"/>
    </row>
    <row r="1218" ht="12.0" hidden="1" customHeight="1">
      <c r="A1218" s="67"/>
      <c r="B1218" s="67"/>
      <c r="C1218" s="67"/>
      <c r="D1218" s="67"/>
      <c r="E1218" s="67"/>
      <c r="F1218" s="67"/>
      <c r="G1218" s="67"/>
      <c r="H1218" s="67"/>
      <c r="I1218" s="67"/>
      <c r="J1218" s="67"/>
      <c r="K1218" s="139"/>
      <c r="L1218" s="67"/>
      <c r="M1218" s="67"/>
      <c r="N1218" s="140"/>
      <c r="O1218" s="67"/>
      <c r="P1218" s="67"/>
      <c r="Q1218" s="67"/>
      <c r="R1218" s="67"/>
      <c r="S1218" s="140"/>
      <c r="T1218" s="67"/>
      <c r="U1218" s="67"/>
      <c r="V1218" s="67"/>
      <c r="W1218" s="67"/>
      <c r="X1218" s="67"/>
      <c r="Y1218" s="67"/>
      <c r="Z1218" s="67"/>
      <c r="AA1218" s="67"/>
      <c r="AB1218" s="67"/>
      <c r="AC1218" s="67"/>
      <c r="AD1218" s="67"/>
      <c r="AE1218" s="67"/>
      <c r="AF1218" s="67"/>
      <c r="AG1218" s="67"/>
      <c r="AH1218" s="67"/>
    </row>
    <row r="1219" ht="12.0" hidden="1" customHeight="1">
      <c r="A1219" s="67"/>
      <c r="B1219" s="67"/>
      <c r="C1219" s="67"/>
      <c r="D1219" s="67"/>
      <c r="E1219" s="67"/>
      <c r="F1219" s="67"/>
      <c r="G1219" s="67"/>
      <c r="H1219" s="67"/>
      <c r="I1219" s="67"/>
      <c r="J1219" s="67"/>
      <c r="K1219" s="139"/>
      <c r="L1219" s="67"/>
      <c r="M1219" s="67"/>
      <c r="N1219" s="140"/>
      <c r="O1219" s="67"/>
      <c r="P1219" s="67"/>
      <c r="Q1219" s="67"/>
      <c r="R1219" s="67"/>
      <c r="S1219" s="140"/>
      <c r="T1219" s="67"/>
      <c r="U1219" s="67"/>
      <c r="V1219" s="67"/>
      <c r="W1219" s="67"/>
      <c r="X1219" s="67"/>
      <c r="Y1219" s="67"/>
      <c r="Z1219" s="67"/>
      <c r="AA1219" s="67"/>
      <c r="AB1219" s="67"/>
      <c r="AC1219" s="67"/>
      <c r="AD1219" s="67"/>
      <c r="AE1219" s="67"/>
      <c r="AF1219" s="67"/>
      <c r="AG1219" s="67"/>
      <c r="AH1219" s="67"/>
    </row>
    <row r="1220" ht="12.0" hidden="1" customHeight="1">
      <c r="A1220" s="67"/>
      <c r="B1220" s="67"/>
      <c r="C1220" s="67"/>
      <c r="D1220" s="67"/>
      <c r="E1220" s="67"/>
      <c r="F1220" s="67"/>
      <c r="G1220" s="67"/>
      <c r="H1220" s="67"/>
      <c r="I1220" s="67"/>
      <c r="J1220" s="67"/>
      <c r="K1220" s="139"/>
      <c r="L1220" s="67"/>
      <c r="M1220" s="67"/>
      <c r="N1220" s="140"/>
      <c r="O1220" s="67"/>
      <c r="P1220" s="67"/>
      <c r="Q1220" s="67"/>
      <c r="R1220" s="67"/>
      <c r="S1220" s="140"/>
      <c r="T1220" s="67"/>
      <c r="U1220" s="67"/>
      <c r="V1220" s="67"/>
      <c r="W1220" s="67"/>
      <c r="X1220" s="67"/>
      <c r="Y1220" s="67"/>
      <c r="Z1220" s="67"/>
      <c r="AA1220" s="67"/>
      <c r="AB1220" s="67"/>
      <c r="AC1220" s="67"/>
      <c r="AD1220" s="67"/>
      <c r="AE1220" s="67"/>
      <c r="AF1220" s="67"/>
      <c r="AG1220" s="67"/>
      <c r="AH1220" s="67"/>
    </row>
    <row r="1221" ht="12.0" hidden="1" customHeight="1">
      <c r="A1221" s="67"/>
      <c r="B1221" s="67"/>
      <c r="C1221" s="67"/>
      <c r="D1221" s="67"/>
      <c r="E1221" s="67"/>
      <c r="F1221" s="67"/>
      <c r="G1221" s="67"/>
      <c r="H1221" s="67"/>
      <c r="I1221" s="67"/>
      <c r="J1221" s="67"/>
      <c r="K1221" s="139"/>
      <c r="L1221" s="67"/>
      <c r="M1221" s="67"/>
      <c r="N1221" s="140"/>
      <c r="O1221" s="67"/>
      <c r="P1221" s="67"/>
      <c r="Q1221" s="67"/>
      <c r="R1221" s="67"/>
      <c r="S1221" s="140"/>
      <c r="T1221" s="67"/>
      <c r="U1221" s="67"/>
      <c r="V1221" s="67"/>
      <c r="W1221" s="67"/>
      <c r="X1221" s="67"/>
      <c r="Y1221" s="67"/>
      <c r="Z1221" s="67"/>
      <c r="AA1221" s="67"/>
      <c r="AB1221" s="67"/>
      <c r="AC1221" s="67"/>
      <c r="AD1221" s="67"/>
      <c r="AE1221" s="67"/>
      <c r="AF1221" s="67"/>
      <c r="AG1221" s="67"/>
      <c r="AH1221" s="67"/>
    </row>
    <row r="1222" ht="12.0" hidden="1" customHeight="1">
      <c r="A1222" s="67"/>
      <c r="B1222" s="67"/>
      <c r="C1222" s="67"/>
      <c r="D1222" s="67"/>
      <c r="E1222" s="67"/>
      <c r="F1222" s="67"/>
      <c r="G1222" s="67"/>
      <c r="H1222" s="67"/>
      <c r="I1222" s="67"/>
      <c r="J1222" s="67"/>
      <c r="K1222" s="139"/>
      <c r="L1222" s="67"/>
      <c r="M1222" s="67"/>
      <c r="N1222" s="140"/>
      <c r="O1222" s="67"/>
      <c r="P1222" s="67"/>
      <c r="Q1222" s="67"/>
      <c r="R1222" s="67"/>
      <c r="S1222" s="140"/>
      <c r="T1222" s="67"/>
      <c r="U1222" s="67"/>
      <c r="V1222" s="67"/>
      <c r="W1222" s="67"/>
      <c r="X1222" s="67"/>
      <c r="Y1222" s="67"/>
      <c r="Z1222" s="67"/>
      <c r="AA1222" s="67"/>
      <c r="AB1222" s="67"/>
      <c r="AC1222" s="67"/>
      <c r="AD1222" s="67"/>
      <c r="AE1222" s="67"/>
      <c r="AF1222" s="67"/>
      <c r="AG1222" s="67"/>
      <c r="AH1222" s="67"/>
    </row>
    <row r="1223" ht="12.0" hidden="1" customHeight="1">
      <c r="A1223" s="67"/>
      <c r="B1223" s="67"/>
      <c r="C1223" s="67"/>
      <c r="D1223" s="67"/>
      <c r="E1223" s="67"/>
      <c r="F1223" s="67"/>
      <c r="G1223" s="67"/>
      <c r="H1223" s="67"/>
      <c r="I1223" s="67"/>
      <c r="J1223" s="67"/>
      <c r="K1223" s="139"/>
      <c r="L1223" s="67"/>
      <c r="M1223" s="67"/>
      <c r="N1223" s="140"/>
      <c r="O1223" s="67"/>
      <c r="P1223" s="67"/>
      <c r="Q1223" s="67"/>
      <c r="R1223" s="67"/>
      <c r="S1223" s="140"/>
      <c r="T1223" s="67"/>
      <c r="U1223" s="67"/>
      <c r="V1223" s="67"/>
      <c r="W1223" s="67"/>
      <c r="X1223" s="67"/>
      <c r="Y1223" s="67"/>
      <c r="Z1223" s="67"/>
      <c r="AA1223" s="67"/>
      <c r="AB1223" s="67"/>
      <c r="AC1223" s="67"/>
      <c r="AD1223" s="67"/>
      <c r="AE1223" s="67"/>
      <c r="AF1223" s="67"/>
      <c r="AG1223" s="67"/>
      <c r="AH1223" s="67"/>
    </row>
    <row r="1224" ht="12.0" hidden="1" customHeight="1">
      <c r="A1224" s="67"/>
      <c r="B1224" s="67"/>
      <c r="C1224" s="67"/>
      <c r="D1224" s="67"/>
      <c r="E1224" s="67"/>
      <c r="F1224" s="67"/>
      <c r="G1224" s="67"/>
      <c r="H1224" s="67"/>
      <c r="I1224" s="67"/>
      <c r="J1224" s="67"/>
      <c r="K1224" s="139"/>
      <c r="L1224" s="67"/>
      <c r="M1224" s="67"/>
      <c r="N1224" s="140"/>
      <c r="O1224" s="67"/>
      <c r="P1224" s="67"/>
      <c r="Q1224" s="67"/>
      <c r="R1224" s="67"/>
      <c r="S1224" s="140"/>
      <c r="T1224" s="67"/>
      <c r="U1224" s="67"/>
      <c r="V1224" s="67"/>
      <c r="W1224" s="67"/>
      <c r="X1224" s="67"/>
      <c r="Y1224" s="67"/>
      <c r="Z1224" s="67"/>
      <c r="AA1224" s="67"/>
      <c r="AB1224" s="67"/>
      <c r="AC1224" s="67"/>
      <c r="AD1224" s="67"/>
      <c r="AE1224" s="67"/>
      <c r="AF1224" s="67"/>
      <c r="AG1224" s="67"/>
      <c r="AH1224" s="67"/>
    </row>
    <row r="1225" ht="12.0" hidden="1" customHeight="1">
      <c r="A1225" s="67"/>
      <c r="B1225" s="67"/>
      <c r="C1225" s="67"/>
      <c r="D1225" s="67"/>
      <c r="E1225" s="67"/>
      <c r="F1225" s="67"/>
      <c r="G1225" s="67"/>
      <c r="H1225" s="67"/>
      <c r="I1225" s="67"/>
      <c r="J1225" s="67"/>
      <c r="K1225" s="139"/>
      <c r="L1225" s="67"/>
      <c r="M1225" s="67"/>
      <c r="N1225" s="140"/>
      <c r="O1225" s="67"/>
      <c r="P1225" s="67"/>
      <c r="Q1225" s="67"/>
      <c r="R1225" s="67"/>
      <c r="S1225" s="140"/>
      <c r="T1225" s="67"/>
      <c r="U1225" s="67"/>
      <c r="V1225" s="67"/>
      <c r="W1225" s="67"/>
      <c r="X1225" s="67"/>
      <c r="Y1225" s="67"/>
      <c r="Z1225" s="67"/>
      <c r="AA1225" s="67"/>
      <c r="AB1225" s="67"/>
      <c r="AC1225" s="67"/>
      <c r="AD1225" s="67"/>
      <c r="AE1225" s="67"/>
      <c r="AF1225" s="67"/>
      <c r="AG1225" s="67"/>
      <c r="AH1225" s="67"/>
    </row>
    <row r="1226" ht="12.0" hidden="1" customHeight="1">
      <c r="A1226" s="67"/>
      <c r="B1226" s="67"/>
      <c r="C1226" s="67"/>
      <c r="D1226" s="67"/>
      <c r="E1226" s="67"/>
      <c r="F1226" s="67"/>
      <c r="G1226" s="67"/>
      <c r="H1226" s="67"/>
      <c r="I1226" s="67"/>
      <c r="J1226" s="67"/>
      <c r="K1226" s="139"/>
      <c r="L1226" s="67"/>
      <c r="M1226" s="67"/>
      <c r="N1226" s="140"/>
      <c r="O1226" s="67"/>
      <c r="P1226" s="67"/>
      <c r="Q1226" s="67"/>
      <c r="R1226" s="67"/>
      <c r="S1226" s="140"/>
      <c r="T1226" s="67"/>
      <c r="U1226" s="67"/>
      <c r="V1226" s="67"/>
      <c r="W1226" s="67"/>
      <c r="X1226" s="67"/>
      <c r="Y1226" s="67"/>
      <c r="Z1226" s="67"/>
      <c r="AA1226" s="67"/>
      <c r="AB1226" s="67"/>
      <c r="AC1226" s="67"/>
      <c r="AD1226" s="67"/>
      <c r="AE1226" s="67"/>
      <c r="AF1226" s="67"/>
      <c r="AG1226" s="67"/>
      <c r="AH1226" s="67"/>
    </row>
    <row r="1227" ht="12.0" hidden="1" customHeight="1">
      <c r="A1227" s="67"/>
      <c r="B1227" s="67"/>
      <c r="C1227" s="67"/>
      <c r="D1227" s="67"/>
      <c r="E1227" s="67"/>
      <c r="F1227" s="67"/>
      <c r="G1227" s="67"/>
      <c r="H1227" s="67"/>
      <c r="I1227" s="67"/>
      <c r="J1227" s="67"/>
      <c r="K1227" s="139"/>
      <c r="L1227" s="67"/>
      <c r="M1227" s="67"/>
      <c r="N1227" s="140"/>
      <c r="O1227" s="67"/>
      <c r="P1227" s="67"/>
      <c r="Q1227" s="67"/>
      <c r="R1227" s="67"/>
      <c r="S1227" s="140"/>
      <c r="T1227" s="67"/>
      <c r="U1227" s="67"/>
      <c r="V1227" s="67"/>
      <c r="W1227" s="67"/>
      <c r="X1227" s="67"/>
      <c r="Y1227" s="67"/>
      <c r="Z1227" s="67"/>
      <c r="AA1227" s="67"/>
      <c r="AB1227" s="67"/>
      <c r="AC1227" s="67"/>
      <c r="AD1227" s="67"/>
      <c r="AE1227" s="67"/>
      <c r="AF1227" s="67"/>
      <c r="AG1227" s="67"/>
      <c r="AH1227" s="67"/>
    </row>
    <row r="1228" ht="12.0" hidden="1" customHeight="1">
      <c r="A1228" s="67"/>
      <c r="B1228" s="67"/>
      <c r="C1228" s="67"/>
      <c r="D1228" s="67"/>
      <c r="E1228" s="67"/>
      <c r="F1228" s="67"/>
      <c r="G1228" s="67"/>
      <c r="H1228" s="67"/>
      <c r="I1228" s="67"/>
      <c r="J1228" s="67"/>
      <c r="K1228" s="139"/>
      <c r="L1228" s="67"/>
      <c r="M1228" s="67"/>
      <c r="N1228" s="140"/>
      <c r="O1228" s="67"/>
      <c r="P1228" s="67"/>
      <c r="Q1228" s="67"/>
      <c r="R1228" s="67"/>
      <c r="S1228" s="140"/>
      <c r="T1228" s="67"/>
      <c r="U1228" s="67"/>
      <c r="V1228" s="67"/>
      <c r="W1228" s="67"/>
      <c r="X1228" s="67"/>
      <c r="Y1228" s="67"/>
      <c r="Z1228" s="67"/>
      <c r="AA1228" s="67"/>
      <c r="AB1228" s="67"/>
      <c r="AC1228" s="67"/>
      <c r="AD1228" s="67"/>
      <c r="AE1228" s="67"/>
      <c r="AF1228" s="67"/>
      <c r="AG1228" s="67"/>
      <c r="AH1228" s="67"/>
    </row>
    <row r="1229" ht="12.0" hidden="1" customHeight="1">
      <c r="A1229" s="67"/>
      <c r="B1229" s="67"/>
      <c r="C1229" s="67"/>
      <c r="D1229" s="67"/>
      <c r="E1229" s="67"/>
      <c r="F1229" s="67"/>
      <c r="G1229" s="67"/>
      <c r="H1229" s="67"/>
      <c r="I1229" s="67"/>
      <c r="J1229" s="67"/>
      <c r="K1229" s="139"/>
      <c r="L1229" s="67"/>
      <c r="M1229" s="67"/>
      <c r="N1229" s="140"/>
      <c r="O1229" s="67"/>
      <c r="P1229" s="67"/>
      <c r="Q1229" s="67"/>
      <c r="R1229" s="67"/>
      <c r="S1229" s="140"/>
      <c r="T1229" s="67"/>
      <c r="U1229" s="67"/>
      <c r="V1229" s="67"/>
      <c r="W1229" s="67"/>
      <c r="X1229" s="67"/>
      <c r="Y1229" s="67"/>
      <c r="Z1229" s="67"/>
      <c r="AA1229" s="67"/>
      <c r="AB1229" s="67"/>
      <c r="AC1229" s="67"/>
      <c r="AD1229" s="67"/>
      <c r="AE1229" s="67"/>
      <c r="AF1229" s="67"/>
      <c r="AG1229" s="67"/>
      <c r="AH1229" s="67"/>
    </row>
    <row r="1230" ht="12.0" hidden="1" customHeight="1">
      <c r="A1230" s="67"/>
      <c r="B1230" s="67"/>
      <c r="C1230" s="67"/>
      <c r="D1230" s="67"/>
      <c r="E1230" s="67"/>
      <c r="F1230" s="67"/>
      <c r="G1230" s="67"/>
      <c r="H1230" s="67"/>
      <c r="I1230" s="67"/>
      <c r="J1230" s="67"/>
      <c r="K1230" s="139"/>
      <c r="L1230" s="67"/>
      <c r="M1230" s="67"/>
      <c r="N1230" s="140"/>
      <c r="O1230" s="67"/>
      <c r="P1230" s="67"/>
      <c r="Q1230" s="67"/>
      <c r="R1230" s="67"/>
      <c r="S1230" s="140"/>
      <c r="T1230" s="67"/>
      <c r="U1230" s="67"/>
      <c r="V1230" s="67"/>
      <c r="W1230" s="67"/>
      <c r="X1230" s="67"/>
      <c r="Y1230" s="67"/>
      <c r="Z1230" s="67"/>
      <c r="AA1230" s="67"/>
      <c r="AB1230" s="67"/>
      <c r="AC1230" s="67"/>
      <c r="AD1230" s="67"/>
      <c r="AE1230" s="67"/>
      <c r="AF1230" s="67"/>
      <c r="AG1230" s="67"/>
      <c r="AH1230" s="67"/>
    </row>
    <row r="1231" ht="12.0" hidden="1" customHeight="1">
      <c r="A1231" s="67"/>
      <c r="B1231" s="67"/>
      <c r="C1231" s="67"/>
      <c r="D1231" s="67"/>
      <c r="E1231" s="67"/>
      <c r="F1231" s="67"/>
      <c r="G1231" s="67"/>
      <c r="H1231" s="67"/>
      <c r="I1231" s="67"/>
      <c r="J1231" s="67"/>
      <c r="K1231" s="139"/>
      <c r="L1231" s="67"/>
      <c r="M1231" s="67"/>
      <c r="N1231" s="140"/>
      <c r="O1231" s="67"/>
      <c r="P1231" s="67"/>
      <c r="Q1231" s="67"/>
      <c r="R1231" s="67"/>
      <c r="S1231" s="140"/>
      <c r="T1231" s="67"/>
      <c r="U1231" s="67"/>
      <c r="V1231" s="67"/>
      <c r="W1231" s="67"/>
      <c r="X1231" s="67"/>
      <c r="Y1231" s="67"/>
      <c r="Z1231" s="67"/>
      <c r="AA1231" s="67"/>
      <c r="AB1231" s="67"/>
      <c r="AC1231" s="67"/>
      <c r="AD1231" s="67"/>
      <c r="AE1231" s="67"/>
      <c r="AF1231" s="67"/>
      <c r="AG1231" s="67"/>
      <c r="AH1231" s="67"/>
    </row>
    <row r="1232" ht="12.0" hidden="1" customHeight="1">
      <c r="A1232" s="67"/>
      <c r="B1232" s="67"/>
      <c r="C1232" s="67"/>
      <c r="D1232" s="67"/>
      <c r="E1232" s="67"/>
      <c r="F1232" s="67"/>
      <c r="G1232" s="67"/>
      <c r="H1232" s="67"/>
      <c r="I1232" s="67"/>
      <c r="J1232" s="67"/>
      <c r="K1232" s="139"/>
      <c r="L1232" s="67"/>
      <c r="M1232" s="67"/>
      <c r="N1232" s="140"/>
      <c r="O1232" s="67"/>
      <c r="P1232" s="67"/>
      <c r="Q1232" s="67"/>
      <c r="R1232" s="67"/>
      <c r="S1232" s="140"/>
      <c r="T1232" s="67"/>
      <c r="U1232" s="67"/>
      <c r="V1232" s="67"/>
      <c r="W1232" s="67"/>
      <c r="X1232" s="67"/>
      <c r="Y1232" s="67"/>
      <c r="Z1232" s="67"/>
      <c r="AA1232" s="67"/>
      <c r="AB1232" s="67"/>
      <c r="AC1232" s="67"/>
      <c r="AD1232" s="67"/>
      <c r="AE1232" s="67"/>
      <c r="AF1232" s="67"/>
      <c r="AG1232" s="67"/>
      <c r="AH1232" s="67"/>
    </row>
    <row r="1233" ht="12.0" hidden="1" customHeight="1">
      <c r="A1233" s="67"/>
      <c r="B1233" s="67"/>
      <c r="C1233" s="67"/>
      <c r="D1233" s="67"/>
      <c r="E1233" s="67"/>
      <c r="F1233" s="67"/>
      <c r="G1233" s="67"/>
      <c r="H1233" s="67"/>
      <c r="I1233" s="67"/>
      <c r="J1233" s="67"/>
      <c r="K1233" s="139"/>
      <c r="L1233" s="67"/>
      <c r="M1233" s="67"/>
      <c r="N1233" s="140"/>
      <c r="O1233" s="67"/>
      <c r="P1233" s="67"/>
      <c r="Q1233" s="67"/>
      <c r="R1233" s="67"/>
      <c r="S1233" s="140"/>
      <c r="T1233" s="67"/>
      <c r="U1233" s="67"/>
      <c r="V1233" s="67"/>
      <c r="W1233" s="67"/>
      <c r="X1233" s="67"/>
      <c r="Y1233" s="67"/>
      <c r="Z1233" s="67"/>
      <c r="AA1233" s="67"/>
      <c r="AB1233" s="67"/>
      <c r="AC1233" s="67"/>
      <c r="AD1233" s="67"/>
      <c r="AE1233" s="67"/>
      <c r="AF1233" s="67"/>
      <c r="AG1233" s="67"/>
      <c r="AH1233" s="67"/>
    </row>
    <row r="1234" ht="12.0" hidden="1" customHeight="1">
      <c r="A1234" s="67"/>
      <c r="B1234" s="67"/>
      <c r="C1234" s="67"/>
      <c r="D1234" s="67"/>
      <c r="E1234" s="67"/>
      <c r="F1234" s="67"/>
      <c r="G1234" s="67"/>
      <c r="H1234" s="67"/>
      <c r="I1234" s="67"/>
      <c r="J1234" s="67"/>
      <c r="K1234" s="139"/>
      <c r="L1234" s="67"/>
      <c r="M1234" s="67"/>
      <c r="N1234" s="140"/>
      <c r="O1234" s="67"/>
      <c r="P1234" s="67"/>
      <c r="Q1234" s="67"/>
      <c r="R1234" s="67"/>
      <c r="S1234" s="140"/>
      <c r="T1234" s="67"/>
      <c r="U1234" s="67"/>
      <c r="V1234" s="67"/>
      <c r="W1234" s="67"/>
      <c r="X1234" s="67"/>
      <c r="Y1234" s="67"/>
      <c r="Z1234" s="67"/>
      <c r="AA1234" s="67"/>
      <c r="AB1234" s="67"/>
      <c r="AC1234" s="67"/>
      <c r="AD1234" s="67"/>
      <c r="AE1234" s="67"/>
      <c r="AF1234" s="67"/>
      <c r="AG1234" s="67"/>
      <c r="AH1234" s="67"/>
    </row>
    <row r="1235" ht="12.0" hidden="1" customHeight="1">
      <c r="A1235" s="67"/>
      <c r="B1235" s="67"/>
      <c r="C1235" s="67"/>
      <c r="D1235" s="67"/>
      <c r="E1235" s="67"/>
      <c r="F1235" s="67"/>
      <c r="G1235" s="67"/>
      <c r="H1235" s="67"/>
      <c r="I1235" s="67"/>
      <c r="J1235" s="67"/>
      <c r="K1235" s="139"/>
      <c r="L1235" s="67"/>
      <c r="M1235" s="67"/>
      <c r="N1235" s="140"/>
      <c r="O1235" s="67"/>
      <c r="P1235" s="67"/>
      <c r="Q1235" s="67"/>
      <c r="R1235" s="67"/>
      <c r="S1235" s="140"/>
      <c r="T1235" s="67"/>
      <c r="U1235" s="67"/>
      <c r="V1235" s="67"/>
      <c r="W1235" s="67"/>
      <c r="X1235" s="67"/>
      <c r="Y1235" s="67"/>
      <c r="Z1235" s="67"/>
      <c r="AA1235" s="67"/>
      <c r="AB1235" s="67"/>
      <c r="AC1235" s="67"/>
      <c r="AD1235" s="67"/>
      <c r="AE1235" s="67"/>
      <c r="AF1235" s="67"/>
      <c r="AG1235" s="67"/>
      <c r="AH1235" s="67"/>
    </row>
    <row r="1236" ht="12.0" hidden="1" customHeight="1">
      <c r="A1236" s="67"/>
      <c r="B1236" s="67"/>
      <c r="C1236" s="67"/>
      <c r="D1236" s="67"/>
      <c r="E1236" s="67"/>
      <c r="F1236" s="67"/>
      <c r="G1236" s="67"/>
      <c r="H1236" s="67"/>
      <c r="I1236" s="67"/>
      <c r="J1236" s="67"/>
      <c r="K1236" s="139"/>
      <c r="L1236" s="67"/>
      <c r="M1236" s="67"/>
      <c r="N1236" s="140"/>
      <c r="O1236" s="67"/>
      <c r="P1236" s="67"/>
      <c r="Q1236" s="67"/>
      <c r="R1236" s="67"/>
      <c r="S1236" s="140"/>
      <c r="T1236" s="67"/>
      <c r="U1236" s="67"/>
      <c r="V1236" s="67"/>
      <c r="W1236" s="67"/>
      <c r="X1236" s="67"/>
      <c r="Y1236" s="67"/>
      <c r="Z1236" s="67"/>
      <c r="AA1236" s="67"/>
      <c r="AB1236" s="67"/>
      <c r="AC1236" s="67"/>
      <c r="AD1236" s="67"/>
      <c r="AE1236" s="67"/>
      <c r="AF1236" s="67"/>
      <c r="AG1236" s="67"/>
      <c r="AH1236" s="67"/>
    </row>
    <row r="1237" ht="12.0" hidden="1" customHeight="1">
      <c r="A1237" s="67"/>
      <c r="B1237" s="67"/>
      <c r="C1237" s="67"/>
      <c r="D1237" s="67"/>
      <c r="E1237" s="67"/>
      <c r="F1237" s="67"/>
      <c r="G1237" s="67"/>
      <c r="H1237" s="67"/>
      <c r="I1237" s="67"/>
      <c r="J1237" s="67"/>
      <c r="K1237" s="139"/>
      <c r="L1237" s="67"/>
      <c r="M1237" s="67"/>
      <c r="N1237" s="140"/>
      <c r="O1237" s="67"/>
      <c r="P1237" s="67"/>
      <c r="Q1237" s="67"/>
      <c r="R1237" s="67"/>
      <c r="S1237" s="140"/>
      <c r="T1237" s="67"/>
      <c r="U1237" s="67"/>
      <c r="V1237" s="67"/>
      <c r="W1237" s="67"/>
      <c r="X1237" s="67"/>
      <c r="Y1237" s="67"/>
      <c r="Z1237" s="67"/>
      <c r="AA1237" s="67"/>
      <c r="AB1237" s="67"/>
      <c r="AC1237" s="67"/>
      <c r="AD1237" s="67"/>
      <c r="AE1237" s="67"/>
      <c r="AF1237" s="67"/>
      <c r="AG1237" s="67"/>
      <c r="AH1237" s="67"/>
    </row>
    <row r="1238" ht="12.0" hidden="1" customHeight="1">
      <c r="A1238" s="67"/>
      <c r="B1238" s="67"/>
      <c r="C1238" s="67"/>
      <c r="D1238" s="67"/>
      <c r="E1238" s="67"/>
      <c r="F1238" s="67"/>
      <c r="G1238" s="67"/>
      <c r="H1238" s="67"/>
      <c r="I1238" s="67"/>
      <c r="J1238" s="67"/>
      <c r="K1238" s="139"/>
      <c r="L1238" s="67"/>
      <c r="M1238" s="67"/>
      <c r="N1238" s="140"/>
      <c r="O1238" s="67"/>
      <c r="P1238" s="67"/>
      <c r="Q1238" s="67"/>
      <c r="R1238" s="67"/>
      <c r="S1238" s="140"/>
      <c r="T1238" s="67"/>
      <c r="U1238" s="67"/>
      <c r="V1238" s="67"/>
      <c r="W1238" s="67"/>
      <c r="X1238" s="67"/>
      <c r="Y1238" s="67"/>
      <c r="Z1238" s="67"/>
      <c r="AA1238" s="67"/>
      <c r="AB1238" s="67"/>
      <c r="AC1238" s="67"/>
      <c r="AD1238" s="67"/>
      <c r="AE1238" s="67"/>
      <c r="AF1238" s="67"/>
      <c r="AG1238" s="67"/>
      <c r="AH1238" s="67"/>
    </row>
    <row r="1239" ht="12.0" hidden="1" customHeight="1">
      <c r="A1239" s="67"/>
      <c r="B1239" s="67"/>
      <c r="C1239" s="67"/>
      <c r="D1239" s="67"/>
      <c r="E1239" s="67"/>
      <c r="F1239" s="67"/>
      <c r="G1239" s="67"/>
      <c r="H1239" s="67"/>
      <c r="I1239" s="67"/>
      <c r="J1239" s="67"/>
      <c r="K1239" s="139"/>
      <c r="L1239" s="67"/>
      <c r="M1239" s="67"/>
      <c r="N1239" s="140"/>
      <c r="O1239" s="67"/>
      <c r="P1239" s="67"/>
      <c r="Q1239" s="67"/>
      <c r="R1239" s="67"/>
      <c r="S1239" s="140"/>
      <c r="T1239" s="67"/>
      <c r="U1239" s="67"/>
      <c r="V1239" s="67"/>
      <c r="W1239" s="67"/>
      <c r="X1239" s="67"/>
      <c r="Y1239" s="67"/>
      <c r="Z1239" s="67"/>
      <c r="AA1239" s="67"/>
      <c r="AB1239" s="67"/>
      <c r="AC1239" s="67"/>
      <c r="AD1239" s="67"/>
      <c r="AE1239" s="67"/>
      <c r="AF1239" s="67"/>
      <c r="AG1239" s="67"/>
      <c r="AH1239" s="67"/>
    </row>
    <row r="1240" ht="12.0" hidden="1" customHeight="1">
      <c r="A1240" s="67"/>
      <c r="B1240" s="67"/>
      <c r="C1240" s="67"/>
      <c r="D1240" s="67"/>
      <c r="E1240" s="67"/>
      <c r="F1240" s="67"/>
      <c r="G1240" s="67"/>
      <c r="H1240" s="67"/>
      <c r="I1240" s="67"/>
      <c r="J1240" s="67"/>
      <c r="K1240" s="139"/>
      <c r="L1240" s="67"/>
      <c r="M1240" s="67"/>
      <c r="N1240" s="140"/>
      <c r="O1240" s="67"/>
      <c r="P1240" s="67"/>
      <c r="Q1240" s="67"/>
      <c r="R1240" s="67"/>
      <c r="S1240" s="140"/>
      <c r="T1240" s="67"/>
      <c r="U1240" s="67"/>
      <c r="V1240" s="67"/>
      <c r="W1240" s="67"/>
      <c r="X1240" s="67"/>
      <c r="Y1240" s="67"/>
      <c r="Z1240" s="67"/>
      <c r="AA1240" s="67"/>
      <c r="AB1240" s="67"/>
      <c r="AC1240" s="67"/>
      <c r="AD1240" s="67"/>
      <c r="AE1240" s="67"/>
      <c r="AF1240" s="67"/>
      <c r="AG1240" s="67"/>
      <c r="AH1240" s="67"/>
    </row>
    <row r="1241" ht="12.0" hidden="1" customHeight="1">
      <c r="A1241" s="67"/>
      <c r="B1241" s="67"/>
      <c r="C1241" s="67"/>
      <c r="D1241" s="67"/>
      <c r="E1241" s="67"/>
      <c r="F1241" s="67"/>
      <c r="G1241" s="67"/>
      <c r="H1241" s="67"/>
      <c r="I1241" s="67"/>
      <c r="J1241" s="67"/>
      <c r="K1241" s="139"/>
      <c r="L1241" s="67"/>
      <c r="M1241" s="67"/>
      <c r="N1241" s="140"/>
      <c r="O1241" s="67"/>
      <c r="P1241" s="67"/>
      <c r="Q1241" s="67"/>
      <c r="R1241" s="67"/>
      <c r="S1241" s="140"/>
      <c r="T1241" s="67"/>
      <c r="U1241" s="67"/>
      <c r="V1241" s="67"/>
      <c r="W1241" s="67"/>
      <c r="X1241" s="67"/>
      <c r="Y1241" s="67"/>
      <c r="Z1241" s="67"/>
      <c r="AA1241" s="67"/>
      <c r="AB1241" s="67"/>
      <c r="AC1241" s="67"/>
      <c r="AD1241" s="67"/>
      <c r="AE1241" s="67"/>
      <c r="AF1241" s="67"/>
      <c r="AG1241" s="67"/>
      <c r="AH1241" s="67"/>
    </row>
    <row r="1242" ht="12.0" hidden="1" customHeight="1">
      <c r="A1242" s="67"/>
      <c r="B1242" s="67"/>
      <c r="C1242" s="67"/>
      <c r="D1242" s="67"/>
      <c r="E1242" s="67"/>
      <c r="F1242" s="67"/>
      <c r="G1242" s="67"/>
      <c r="H1242" s="67"/>
      <c r="I1242" s="67"/>
      <c r="J1242" s="67"/>
      <c r="K1242" s="139"/>
      <c r="L1242" s="67"/>
      <c r="M1242" s="67"/>
      <c r="N1242" s="140"/>
      <c r="O1242" s="67"/>
      <c r="P1242" s="67"/>
      <c r="Q1242" s="67"/>
      <c r="R1242" s="67"/>
      <c r="S1242" s="140"/>
      <c r="T1242" s="67"/>
      <c r="U1242" s="67"/>
      <c r="V1242" s="67"/>
      <c r="W1242" s="67"/>
      <c r="X1242" s="67"/>
      <c r="Y1242" s="67"/>
      <c r="Z1242" s="67"/>
      <c r="AA1242" s="67"/>
      <c r="AB1242" s="67"/>
      <c r="AC1242" s="67"/>
      <c r="AD1242" s="67"/>
      <c r="AE1242" s="67"/>
      <c r="AF1242" s="67"/>
      <c r="AG1242" s="67"/>
      <c r="AH1242" s="67"/>
    </row>
    <row r="1243" ht="12.0" hidden="1" customHeight="1">
      <c r="A1243" s="67"/>
      <c r="B1243" s="67"/>
      <c r="C1243" s="67"/>
      <c r="D1243" s="67"/>
      <c r="E1243" s="67"/>
      <c r="F1243" s="67"/>
      <c r="G1243" s="67"/>
      <c r="H1243" s="67"/>
      <c r="I1243" s="67"/>
      <c r="J1243" s="67"/>
      <c r="K1243" s="139"/>
      <c r="L1243" s="67"/>
      <c r="M1243" s="67"/>
      <c r="N1243" s="140"/>
      <c r="O1243" s="67"/>
      <c r="P1243" s="67"/>
      <c r="Q1243" s="67"/>
      <c r="R1243" s="67"/>
      <c r="S1243" s="140"/>
      <c r="T1243" s="67"/>
      <c r="U1243" s="67"/>
      <c r="V1243" s="67"/>
      <c r="W1243" s="67"/>
      <c r="X1243" s="67"/>
      <c r="Y1243" s="67"/>
      <c r="Z1243" s="67"/>
      <c r="AA1243" s="67"/>
      <c r="AB1243" s="67"/>
      <c r="AC1243" s="67"/>
      <c r="AD1243" s="67"/>
      <c r="AE1243" s="67"/>
      <c r="AF1243" s="67"/>
      <c r="AG1243" s="67"/>
      <c r="AH1243" s="67"/>
    </row>
    <row r="1244" ht="12.0" hidden="1" customHeight="1">
      <c r="A1244" s="67"/>
      <c r="B1244" s="67"/>
      <c r="C1244" s="67"/>
      <c r="D1244" s="67"/>
      <c r="E1244" s="67"/>
      <c r="F1244" s="67"/>
      <c r="G1244" s="67"/>
      <c r="H1244" s="67"/>
      <c r="I1244" s="67"/>
      <c r="J1244" s="67"/>
      <c r="K1244" s="139"/>
      <c r="L1244" s="67"/>
      <c r="M1244" s="67"/>
      <c r="N1244" s="140"/>
      <c r="O1244" s="67"/>
      <c r="P1244" s="67"/>
      <c r="Q1244" s="67"/>
      <c r="R1244" s="67"/>
      <c r="S1244" s="140"/>
      <c r="T1244" s="67"/>
      <c r="U1244" s="67"/>
      <c r="V1244" s="67"/>
      <c r="W1244" s="67"/>
      <c r="X1244" s="67"/>
      <c r="Y1244" s="67"/>
      <c r="Z1244" s="67"/>
      <c r="AA1244" s="67"/>
      <c r="AB1244" s="67"/>
      <c r="AC1244" s="67"/>
      <c r="AD1244" s="67"/>
      <c r="AE1244" s="67"/>
      <c r="AF1244" s="67"/>
      <c r="AG1244" s="67"/>
      <c r="AH1244" s="67"/>
    </row>
    <row r="1245" ht="12.0" hidden="1" customHeight="1">
      <c r="A1245" s="67"/>
      <c r="B1245" s="67"/>
      <c r="C1245" s="67"/>
      <c r="D1245" s="67"/>
      <c r="E1245" s="67"/>
      <c r="F1245" s="67"/>
      <c r="G1245" s="67"/>
      <c r="H1245" s="67"/>
      <c r="I1245" s="67"/>
      <c r="J1245" s="67"/>
      <c r="K1245" s="139"/>
      <c r="L1245" s="67"/>
      <c r="M1245" s="67"/>
      <c r="N1245" s="140"/>
      <c r="O1245" s="67"/>
      <c r="P1245" s="67"/>
      <c r="Q1245" s="67"/>
      <c r="R1245" s="67"/>
      <c r="S1245" s="140"/>
      <c r="T1245" s="67"/>
      <c r="U1245" s="67"/>
      <c r="V1245" s="67"/>
      <c r="W1245" s="67"/>
      <c r="X1245" s="67"/>
      <c r="Y1245" s="67"/>
      <c r="Z1245" s="67"/>
      <c r="AA1245" s="67"/>
      <c r="AB1245" s="67"/>
      <c r="AC1245" s="67"/>
      <c r="AD1245" s="67"/>
      <c r="AE1245" s="67"/>
      <c r="AF1245" s="67"/>
      <c r="AG1245" s="67"/>
      <c r="AH1245" s="67"/>
    </row>
    <row r="1246" ht="12.0" hidden="1" customHeight="1">
      <c r="A1246" s="67"/>
      <c r="B1246" s="67"/>
      <c r="C1246" s="67"/>
      <c r="D1246" s="67"/>
      <c r="E1246" s="67"/>
      <c r="F1246" s="67"/>
      <c r="G1246" s="67"/>
      <c r="H1246" s="67"/>
      <c r="I1246" s="67"/>
      <c r="J1246" s="67"/>
      <c r="K1246" s="139"/>
      <c r="L1246" s="67"/>
      <c r="M1246" s="67"/>
      <c r="N1246" s="140"/>
      <c r="O1246" s="67"/>
      <c r="P1246" s="67"/>
      <c r="Q1246" s="67"/>
      <c r="R1246" s="67"/>
      <c r="S1246" s="140"/>
      <c r="T1246" s="67"/>
      <c r="U1246" s="67"/>
      <c r="V1246" s="67"/>
      <c r="W1246" s="67"/>
      <c r="X1246" s="67"/>
      <c r="Y1246" s="67"/>
      <c r="Z1246" s="67"/>
      <c r="AA1246" s="67"/>
      <c r="AB1246" s="67"/>
      <c r="AC1246" s="67"/>
      <c r="AD1246" s="67"/>
      <c r="AE1246" s="67"/>
      <c r="AF1246" s="67"/>
      <c r="AG1246" s="67"/>
      <c r="AH1246" s="67"/>
    </row>
    <row r="1247" ht="12.0" hidden="1" customHeight="1">
      <c r="A1247" s="67"/>
      <c r="B1247" s="67"/>
      <c r="C1247" s="67"/>
      <c r="D1247" s="67"/>
      <c r="E1247" s="67"/>
      <c r="F1247" s="67"/>
      <c r="G1247" s="67"/>
      <c r="H1247" s="67"/>
      <c r="I1247" s="67"/>
      <c r="J1247" s="67"/>
      <c r="K1247" s="139"/>
      <c r="L1247" s="67"/>
      <c r="M1247" s="67"/>
      <c r="N1247" s="140"/>
      <c r="O1247" s="67"/>
      <c r="P1247" s="67"/>
      <c r="Q1247" s="67"/>
      <c r="R1247" s="67"/>
      <c r="S1247" s="140"/>
      <c r="T1247" s="67"/>
      <c r="U1247" s="67"/>
      <c r="V1247" s="67"/>
      <c r="W1247" s="67"/>
      <c r="X1247" s="67"/>
      <c r="Y1247" s="67"/>
      <c r="Z1247" s="67"/>
      <c r="AA1247" s="67"/>
      <c r="AB1247" s="67"/>
      <c r="AC1247" s="67"/>
      <c r="AD1247" s="67"/>
      <c r="AE1247" s="67"/>
      <c r="AF1247" s="67"/>
      <c r="AG1247" s="67"/>
      <c r="AH1247" s="67"/>
    </row>
    <row r="1248" ht="12.0" hidden="1" customHeight="1">
      <c r="A1248" s="67"/>
      <c r="B1248" s="67"/>
      <c r="C1248" s="67"/>
      <c r="D1248" s="67"/>
      <c r="E1248" s="67"/>
      <c r="F1248" s="67"/>
      <c r="G1248" s="67"/>
      <c r="H1248" s="67"/>
      <c r="I1248" s="67"/>
      <c r="J1248" s="67"/>
      <c r="K1248" s="139"/>
      <c r="L1248" s="67"/>
      <c r="M1248" s="67"/>
      <c r="N1248" s="140"/>
      <c r="O1248" s="67"/>
      <c r="P1248" s="67"/>
      <c r="Q1248" s="67"/>
      <c r="R1248" s="67"/>
      <c r="S1248" s="140"/>
      <c r="T1248" s="67"/>
      <c r="U1248" s="67"/>
      <c r="V1248" s="67"/>
      <c r="W1248" s="67"/>
      <c r="X1248" s="67"/>
      <c r="Y1248" s="67"/>
      <c r="Z1248" s="67"/>
      <c r="AA1248" s="67"/>
      <c r="AB1248" s="67"/>
      <c r="AC1248" s="67"/>
      <c r="AD1248" s="67"/>
      <c r="AE1248" s="67"/>
      <c r="AF1248" s="67"/>
      <c r="AG1248" s="67"/>
      <c r="AH1248" s="67"/>
    </row>
    <row r="1249" ht="12.0" hidden="1" customHeight="1">
      <c r="A1249" s="67"/>
      <c r="B1249" s="67"/>
      <c r="C1249" s="67"/>
      <c r="D1249" s="67"/>
      <c r="E1249" s="67"/>
      <c r="F1249" s="67"/>
      <c r="G1249" s="67"/>
      <c r="H1249" s="67"/>
      <c r="I1249" s="67"/>
      <c r="J1249" s="67"/>
      <c r="K1249" s="139"/>
      <c r="L1249" s="67"/>
      <c r="M1249" s="67"/>
      <c r="N1249" s="140"/>
      <c r="O1249" s="67"/>
      <c r="P1249" s="67"/>
      <c r="Q1249" s="67"/>
      <c r="R1249" s="67"/>
      <c r="S1249" s="140"/>
      <c r="T1249" s="67"/>
      <c r="U1249" s="67"/>
      <c r="V1249" s="67"/>
      <c r="W1249" s="67"/>
      <c r="X1249" s="67"/>
      <c r="Y1249" s="67"/>
      <c r="Z1249" s="67"/>
      <c r="AA1249" s="67"/>
      <c r="AB1249" s="67"/>
      <c r="AC1249" s="67"/>
      <c r="AD1249" s="67"/>
      <c r="AE1249" s="67"/>
      <c r="AF1249" s="67"/>
      <c r="AG1249" s="67"/>
      <c r="AH1249" s="67"/>
    </row>
    <row r="1250" ht="12.0" hidden="1" customHeight="1">
      <c r="A1250" s="67"/>
      <c r="B1250" s="67"/>
      <c r="C1250" s="67"/>
      <c r="D1250" s="67"/>
      <c r="E1250" s="67"/>
      <c r="F1250" s="67"/>
      <c r="G1250" s="67"/>
      <c r="H1250" s="67"/>
      <c r="I1250" s="67"/>
      <c r="J1250" s="67"/>
      <c r="K1250" s="139"/>
      <c r="L1250" s="67"/>
      <c r="M1250" s="67"/>
      <c r="N1250" s="140"/>
      <c r="O1250" s="67"/>
      <c r="P1250" s="67"/>
      <c r="Q1250" s="67"/>
      <c r="R1250" s="67"/>
      <c r="S1250" s="140"/>
      <c r="T1250" s="67"/>
      <c r="U1250" s="67"/>
      <c r="V1250" s="67"/>
      <c r="W1250" s="67"/>
      <c r="X1250" s="67"/>
      <c r="Y1250" s="67"/>
      <c r="Z1250" s="67"/>
      <c r="AA1250" s="67"/>
      <c r="AB1250" s="67"/>
      <c r="AC1250" s="67"/>
      <c r="AD1250" s="67"/>
      <c r="AE1250" s="67"/>
      <c r="AF1250" s="67"/>
      <c r="AG1250" s="67"/>
      <c r="AH1250" s="67"/>
    </row>
    <row r="1251" ht="12.0" hidden="1" customHeight="1">
      <c r="A1251" s="67"/>
      <c r="B1251" s="67"/>
      <c r="C1251" s="67"/>
      <c r="D1251" s="67"/>
      <c r="E1251" s="67"/>
      <c r="F1251" s="67"/>
      <c r="G1251" s="67"/>
      <c r="H1251" s="67"/>
      <c r="I1251" s="67"/>
      <c r="J1251" s="67"/>
      <c r="K1251" s="139"/>
      <c r="L1251" s="67"/>
      <c r="M1251" s="67"/>
      <c r="N1251" s="140"/>
      <c r="O1251" s="67"/>
      <c r="P1251" s="67"/>
      <c r="Q1251" s="67"/>
      <c r="R1251" s="67"/>
      <c r="S1251" s="140"/>
      <c r="T1251" s="67"/>
      <c r="U1251" s="67"/>
      <c r="V1251" s="67"/>
      <c r="W1251" s="67"/>
      <c r="X1251" s="67"/>
      <c r="Y1251" s="67"/>
      <c r="Z1251" s="67"/>
      <c r="AA1251" s="67"/>
      <c r="AB1251" s="67"/>
      <c r="AC1251" s="67"/>
      <c r="AD1251" s="67"/>
      <c r="AE1251" s="67"/>
      <c r="AF1251" s="67"/>
      <c r="AG1251" s="67"/>
      <c r="AH1251" s="67"/>
    </row>
    <row r="1252" ht="12.0" hidden="1" customHeight="1">
      <c r="A1252" s="67"/>
      <c r="B1252" s="67"/>
      <c r="C1252" s="67"/>
      <c r="D1252" s="67"/>
      <c r="E1252" s="67"/>
      <c r="F1252" s="67"/>
      <c r="G1252" s="67"/>
      <c r="H1252" s="67"/>
      <c r="I1252" s="67"/>
      <c r="J1252" s="67"/>
      <c r="K1252" s="139"/>
      <c r="L1252" s="67"/>
      <c r="M1252" s="67"/>
      <c r="N1252" s="140"/>
      <c r="O1252" s="67"/>
      <c r="P1252" s="67"/>
      <c r="Q1252" s="67"/>
      <c r="R1252" s="67"/>
      <c r="S1252" s="140"/>
      <c r="T1252" s="67"/>
      <c r="U1252" s="67"/>
      <c r="V1252" s="67"/>
      <c r="W1252" s="67"/>
      <c r="X1252" s="67"/>
      <c r="Y1252" s="67"/>
      <c r="Z1252" s="67"/>
      <c r="AA1252" s="67"/>
      <c r="AB1252" s="67"/>
      <c r="AC1252" s="67"/>
      <c r="AD1252" s="67"/>
      <c r="AE1252" s="67"/>
      <c r="AF1252" s="67"/>
      <c r="AG1252" s="67"/>
      <c r="AH1252" s="67"/>
    </row>
    <row r="1253" ht="12.0" hidden="1" customHeight="1">
      <c r="A1253" s="67"/>
      <c r="B1253" s="67"/>
      <c r="C1253" s="67"/>
      <c r="D1253" s="67"/>
      <c r="E1253" s="67"/>
      <c r="F1253" s="67"/>
      <c r="G1253" s="67"/>
      <c r="H1253" s="67"/>
      <c r="I1253" s="67"/>
      <c r="J1253" s="67"/>
      <c r="K1253" s="139"/>
      <c r="L1253" s="67"/>
      <c r="M1253" s="67"/>
      <c r="N1253" s="140"/>
      <c r="O1253" s="67"/>
      <c r="P1253" s="67"/>
      <c r="Q1253" s="67"/>
      <c r="R1253" s="67"/>
      <c r="S1253" s="140"/>
      <c r="T1253" s="67"/>
      <c r="U1253" s="67"/>
      <c r="V1253" s="67"/>
      <c r="W1253" s="67"/>
      <c r="X1253" s="67"/>
      <c r="Y1253" s="67"/>
      <c r="Z1253" s="67"/>
      <c r="AA1253" s="67"/>
      <c r="AB1253" s="67"/>
      <c r="AC1253" s="67"/>
      <c r="AD1253" s="67"/>
      <c r="AE1253" s="67"/>
      <c r="AF1253" s="67"/>
      <c r="AG1253" s="67"/>
      <c r="AH1253" s="67"/>
    </row>
    <row r="1254" ht="12.0" hidden="1" customHeight="1">
      <c r="A1254" s="67"/>
      <c r="B1254" s="67"/>
      <c r="C1254" s="67"/>
      <c r="D1254" s="67"/>
      <c r="E1254" s="67"/>
      <c r="F1254" s="67"/>
      <c r="G1254" s="67"/>
      <c r="H1254" s="67"/>
      <c r="I1254" s="67"/>
      <c r="J1254" s="67"/>
      <c r="K1254" s="139"/>
      <c r="L1254" s="67"/>
      <c r="M1254" s="67"/>
      <c r="N1254" s="140"/>
      <c r="O1254" s="67"/>
      <c r="P1254" s="67"/>
      <c r="Q1254" s="67"/>
      <c r="R1254" s="67"/>
      <c r="S1254" s="140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ht="12.0" hidden="1" customHeight="1">
      <c r="A1255" s="67"/>
      <c r="B1255" s="67"/>
      <c r="C1255" s="67"/>
      <c r="D1255" s="67"/>
      <c r="E1255" s="67"/>
      <c r="F1255" s="67"/>
      <c r="G1255" s="67"/>
      <c r="H1255" s="67"/>
      <c r="I1255" s="67"/>
      <c r="J1255" s="67"/>
      <c r="K1255" s="139"/>
      <c r="L1255" s="67"/>
      <c r="M1255" s="67"/>
      <c r="N1255" s="140"/>
      <c r="O1255" s="67"/>
      <c r="P1255" s="67"/>
      <c r="Q1255" s="67"/>
      <c r="R1255" s="67"/>
      <c r="S1255" s="140"/>
      <c r="T1255" s="67"/>
      <c r="U1255" s="67"/>
      <c r="V1255" s="67"/>
      <c r="W1255" s="67"/>
      <c r="X1255" s="67"/>
      <c r="Y1255" s="67"/>
      <c r="Z1255" s="67"/>
      <c r="AA1255" s="67"/>
      <c r="AB1255" s="67"/>
      <c r="AC1255" s="67"/>
      <c r="AD1255" s="67"/>
      <c r="AE1255" s="67"/>
      <c r="AF1255" s="67"/>
      <c r="AG1255" s="67"/>
      <c r="AH1255" s="67"/>
    </row>
    <row r="1256" ht="12.0" hidden="1" customHeight="1">
      <c r="A1256" s="67"/>
      <c r="B1256" s="67"/>
      <c r="C1256" s="67"/>
      <c r="D1256" s="67"/>
      <c r="E1256" s="67"/>
      <c r="F1256" s="67"/>
      <c r="G1256" s="67"/>
      <c r="H1256" s="67"/>
      <c r="I1256" s="67"/>
      <c r="J1256" s="67"/>
      <c r="K1256" s="139"/>
      <c r="L1256" s="67"/>
      <c r="M1256" s="67"/>
      <c r="N1256" s="140"/>
      <c r="O1256" s="67"/>
      <c r="P1256" s="67"/>
      <c r="Q1256" s="67"/>
      <c r="R1256" s="67"/>
      <c r="S1256" s="140"/>
      <c r="T1256" s="67"/>
      <c r="U1256" s="67"/>
      <c r="V1256" s="67"/>
      <c r="W1256" s="67"/>
      <c r="X1256" s="67"/>
      <c r="Y1256" s="67"/>
      <c r="Z1256" s="67"/>
      <c r="AA1256" s="67"/>
      <c r="AB1256" s="67"/>
      <c r="AC1256" s="67"/>
      <c r="AD1256" s="67"/>
      <c r="AE1256" s="67"/>
      <c r="AF1256" s="67"/>
      <c r="AG1256" s="67"/>
      <c r="AH1256" s="67"/>
    </row>
    <row r="1257" ht="12.0" hidden="1" customHeight="1">
      <c r="A1257" s="67"/>
      <c r="B1257" s="67"/>
      <c r="C1257" s="67"/>
      <c r="D1257" s="67"/>
      <c r="E1257" s="67"/>
      <c r="F1257" s="67"/>
      <c r="G1257" s="67"/>
      <c r="H1257" s="67"/>
      <c r="I1257" s="67"/>
      <c r="J1257" s="67"/>
      <c r="K1257" s="139"/>
      <c r="L1257" s="67"/>
      <c r="M1257" s="67"/>
      <c r="N1257" s="140"/>
      <c r="O1257" s="67"/>
      <c r="P1257" s="67"/>
      <c r="Q1257" s="67"/>
      <c r="R1257" s="67"/>
      <c r="S1257" s="140"/>
      <c r="T1257" s="67"/>
      <c r="U1257" s="67"/>
      <c r="V1257" s="67"/>
      <c r="W1257" s="67"/>
      <c r="X1257" s="67"/>
      <c r="Y1257" s="67"/>
      <c r="Z1257" s="67"/>
      <c r="AA1257" s="67"/>
      <c r="AB1257" s="67"/>
      <c r="AC1257" s="67"/>
      <c r="AD1257" s="67"/>
      <c r="AE1257" s="67"/>
      <c r="AF1257" s="67"/>
      <c r="AG1257" s="67"/>
      <c r="AH1257" s="67"/>
    </row>
    <row r="1258" ht="12.0" hidden="1" customHeight="1">
      <c r="A1258" s="67"/>
      <c r="B1258" s="67"/>
      <c r="C1258" s="67"/>
      <c r="D1258" s="67"/>
      <c r="E1258" s="67"/>
      <c r="F1258" s="67"/>
      <c r="G1258" s="67"/>
      <c r="H1258" s="67"/>
      <c r="I1258" s="67"/>
      <c r="J1258" s="67"/>
      <c r="K1258" s="139"/>
      <c r="L1258" s="67"/>
      <c r="M1258" s="67"/>
      <c r="N1258" s="140"/>
      <c r="O1258" s="67"/>
      <c r="P1258" s="67"/>
      <c r="Q1258" s="67"/>
      <c r="R1258" s="67"/>
      <c r="S1258" s="140"/>
      <c r="T1258" s="67"/>
      <c r="U1258" s="67"/>
      <c r="V1258" s="67"/>
      <c r="W1258" s="67"/>
      <c r="X1258" s="67"/>
      <c r="Y1258" s="67"/>
      <c r="Z1258" s="67"/>
      <c r="AA1258" s="67"/>
      <c r="AB1258" s="67"/>
      <c r="AC1258" s="67"/>
      <c r="AD1258" s="67"/>
      <c r="AE1258" s="67"/>
      <c r="AF1258" s="67"/>
      <c r="AG1258" s="67"/>
      <c r="AH1258" s="67"/>
    </row>
    <row r="1259" ht="12.0" hidden="1" customHeight="1">
      <c r="A1259" s="67"/>
      <c r="B1259" s="67"/>
      <c r="C1259" s="67"/>
      <c r="D1259" s="67"/>
      <c r="E1259" s="67"/>
      <c r="F1259" s="67"/>
      <c r="G1259" s="67"/>
      <c r="H1259" s="67"/>
      <c r="I1259" s="67"/>
      <c r="J1259" s="67"/>
      <c r="K1259" s="139"/>
      <c r="L1259" s="67"/>
      <c r="M1259" s="67"/>
      <c r="N1259" s="140"/>
      <c r="O1259" s="67"/>
      <c r="P1259" s="67"/>
      <c r="Q1259" s="67"/>
      <c r="R1259" s="67"/>
      <c r="S1259" s="140"/>
      <c r="T1259" s="67"/>
      <c r="U1259" s="67"/>
      <c r="V1259" s="67"/>
      <c r="W1259" s="67"/>
      <c r="X1259" s="67"/>
      <c r="Y1259" s="67"/>
      <c r="Z1259" s="67"/>
      <c r="AA1259" s="67"/>
      <c r="AB1259" s="67"/>
      <c r="AC1259" s="67"/>
      <c r="AD1259" s="67"/>
      <c r="AE1259" s="67"/>
      <c r="AF1259" s="67"/>
      <c r="AG1259" s="67"/>
      <c r="AH1259" s="67"/>
    </row>
    <row r="1260" ht="12.0" hidden="1" customHeight="1">
      <c r="A1260" s="67"/>
      <c r="B1260" s="67"/>
      <c r="C1260" s="67"/>
      <c r="D1260" s="67"/>
      <c r="E1260" s="67"/>
      <c r="F1260" s="67"/>
      <c r="G1260" s="67"/>
      <c r="H1260" s="67"/>
      <c r="I1260" s="67"/>
      <c r="J1260" s="67"/>
      <c r="K1260" s="139"/>
      <c r="L1260" s="67"/>
      <c r="M1260" s="67"/>
      <c r="N1260" s="140"/>
      <c r="O1260" s="67"/>
      <c r="P1260" s="67"/>
      <c r="Q1260" s="67"/>
      <c r="R1260" s="67"/>
      <c r="S1260" s="140"/>
      <c r="T1260" s="67"/>
      <c r="U1260" s="67"/>
      <c r="V1260" s="67"/>
      <c r="W1260" s="67"/>
      <c r="X1260" s="67"/>
      <c r="Y1260" s="67"/>
      <c r="Z1260" s="67"/>
      <c r="AA1260" s="67"/>
      <c r="AB1260" s="67"/>
      <c r="AC1260" s="67"/>
      <c r="AD1260" s="67"/>
      <c r="AE1260" s="67"/>
      <c r="AF1260" s="67"/>
      <c r="AG1260" s="67"/>
      <c r="AH1260" s="67"/>
    </row>
    <row r="1261" ht="12.0" hidden="1" customHeight="1">
      <c r="A1261" s="67"/>
      <c r="B1261" s="67"/>
      <c r="C1261" s="67"/>
      <c r="D1261" s="67"/>
      <c r="E1261" s="67"/>
      <c r="F1261" s="67"/>
      <c r="G1261" s="67"/>
      <c r="H1261" s="67"/>
      <c r="I1261" s="67"/>
      <c r="J1261" s="67"/>
      <c r="K1261" s="139"/>
      <c r="L1261" s="67"/>
      <c r="M1261" s="67"/>
      <c r="N1261" s="140"/>
      <c r="O1261" s="67"/>
      <c r="P1261" s="67"/>
      <c r="Q1261" s="67"/>
      <c r="R1261" s="67"/>
      <c r="S1261" s="140"/>
      <c r="T1261" s="67"/>
      <c r="U1261" s="67"/>
      <c r="V1261" s="67"/>
      <c r="W1261" s="67"/>
      <c r="X1261" s="67"/>
      <c r="Y1261" s="67"/>
      <c r="Z1261" s="67"/>
      <c r="AA1261" s="67"/>
      <c r="AB1261" s="67"/>
      <c r="AC1261" s="67"/>
      <c r="AD1261" s="67"/>
      <c r="AE1261" s="67"/>
      <c r="AF1261" s="67"/>
      <c r="AG1261" s="67"/>
      <c r="AH1261" s="67"/>
    </row>
    <row r="1262" ht="12.0" hidden="1" customHeight="1">
      <c r="A1262" s="67"/>
      <c r="B1262" s="67"/>
      <c r="C1262" s="67"/>
      <c r="D1262" s="67"/>
      <c r="E1262" s="67"/>
      <c r="F1262" s="67"/>
      <c r="G1262" s="67"/>
      <c r="H1262" s="67"/>
      <c r="I1262" s="67"/>
      <c r="J1262" s="67"/>
      <c r="K1262" s="139"/>
      <c r="L1262" s="67"/>
      <c r="M1262" s="67"/>
      <c r="N1262" s="140"/>
      <c r="O1262" s="67"/>
      <c r="P1262" s="67"/>
      <c r="Q1262" s="67"/>
      <c r="R1262" s="67"/>
      <c r="S1262" s="140"/>
      <c r="T1262" s="67"/>
      <c r="U1262" s="67"/>
      <c r="V1262" s="67"/>
      <c r="W1262" s="67"/>
      <c r="X1262" s="67"/>
      <c r="Y1262" s="67"/>
      <c r="Z1262" s="67"/>
      <c r="AA1262" s="67"/>
      <c r="AB1262" s="67"/>
      <c r="AC1262" s="67"/>
      <c r="AD1262" s="67"/>
      <c r="AE1262" s="67"/>
      <c r="AF1262" s="67"/>
      <c r="AG1262" s="67"/>
      <c r="AH1262" s="67"/>
    </row>
    <row r="1263" ht="12.0" hidden="1" customHeight="1">
      <c r="A1263" s="67"/>
      <c r="B1263" s="67"/>
      <c r="C1263" s="67"/>
      <c r="D1263" s="67"/>
      <c r="E1263" s="67"/>
      <c r="F1263" s="67"/>
      <c r="G1263" s="67"/>
      <c r="H1263" s="67"/>
      <c r="I1263" s="67"/>
      <c r="J1263" s="67"/>
      <c r="K1263" s="139"/>
      <c r="L1263" s="67"/>
      <c r="M1263" s="67"/>
      <c r="N1263" s="140"/>
      <c r="O1263" s="67"/>
      <c r="P1263" s="67"/>
      <c r="Q1263" s="67"/>
      <c r="R1263" s="67"/>
      <c r="S1263" s="140"/>
      <c r="T1263" s="67"/>
      <c r="U1263" s="67"/>
      <c r="V1263" s="67"/>
      <c r="W1263" s="67"/>
      <c r="X1263" s="67"/>
      <c r="Y1263" s="67"/>
      <c r="Z1263" s="67"/>
      <c r="AA1263" s="67"/>
      <c r="AB1263" s="67"/>
      <c r="AC1263" s="67"/>
      <c r="AD1263" s="67"/>
      <c r="AE1263" s="67"/>
      <c r="AF1263" s="67"/>
      <c r="AG1263" s="67"/>
      <c r="AH1263" s="67"/>
    </row>
    <row r="1264" ht="12.0" hidden="1" customHeight="1">
      <c r="A1264" s="67"/>
      <c r="B1264" s="67"/>
      <c r="C1264" s="67"/>
      <c r="D1264" s="67"/>
      <c r="E1264" s="67"/>
      <c r="F1264" s="67"/>
      <c r="G1264" s="67"/>
      <c r="H1264" s="67"/>
      <c r="I1264" s="67"/>
      <c r="J1264" s="67"/>
      <c r="K1264" s="139"/>
      <c r="L1264" s="67"/>
      <c r="M1264" s="67"/>
      <c r="N1264" s="140"/>
      <c r="O1264" s="67"/>
      <c r="P1264" s="67"/>
      <c r="Q1264" s="67"/>
      <c r="R1264" s="67"/>
      <c r="S1264" s="140"/>
      <c r="T1264" s="67"/>
      <c r="U1264" s="67"/>
      <c r="V1264" s="67"/>
      <c r="W1264" s="67"/>
      <c r="X1264" s="67"/>
      <c r="Y1264" s="67"/>
      <c r="Z1264" s="67"/>
      <c r="AA1264" s="67"/>
      <c r="AB1264" s="67"/>
      <c r="AC1264" s="67"/>
      <c r="AD1264" s="67"/>
      <c r="AE1264" s="67"/>
      <c r="AF1264" s="67"/>
      <c r="AG1264" s="67"/>
      <c r="AH1264" s="67"/>
    </row>
    <row r="1265" ht="12.0" hidden="1" customHeight="1">
      <c r="A1265" s="67"/>
      <c r="B1265" s="67"/>
      <c r="C1265" s="67"/>
      <c r="D1265" s="67"/>
      <c r="E1265" s="67"/>
      <c r="F1265" s="67"/>
      <c r="G1265" s="67"/>
      <c r="H1265" s="67"/>
      <c r="I1265" s="67"/>
      <c r="J1265" s="67"/>
      <c r="K1265" s="139"/>
      <c r="L1265" s="67"/>
      <c r="M1265" s="67"/>
      <c r="N1265" s="140"/>
      <c r="O1265" s="67"/>
      <c r="P1265" s="67"/>
      <c r="Q1265" s="67"/>
      <c r="R1265" s="67"/>
      <c r="S1265" s="140"/>
      <c r="T1265" s="67"/>
      <c r="U1265" s="67"/>
      <c r="V1265" s="67"/>
      <c r="W1265" s="67"/>
      <c r="X1265" s="67"/>
      <c r="Y1265" s="67"/>
      <c r="Z1265" s="67"/>
      <c r="AA1265" s="67"/>
      <c r="AB1265" s="67"/>
      <c r="AC1265" s="67"/>
      <c r="AD1265" s="67"/>
      <c r="AE1265" s="67"/>
      <c r="AF1265" s="67"/>
      <c r="AG1265" s="67"/>
      <c r="AH1265" s="67"/>
    </row>
    <row r="1266" ht="12.0" hidden="1" customHeight="1">
      <c r="A1266" s="67"/>
      <c r="B1266" s="67"/>
      <c r="C1266" s="67"/>
      <c r="D1266" s="67"/>
      <c r="E1266" s="67"/>
      <c r="F1266" s="67"/>
      <c r="G1266" s="67"/>
      <c r="H1266" s="67"/>
      <c r="I1266" s="67"/>
      <c r="J1266" s="67"/>
      <c r="K1266" s="139"/>
      <c r="L1266" s="67"/>
      <c r="M1266" s="67"/>
      <c r="N1266" s="140"/>
      <c r="O1266" s="67"/>
      <c r="P1266" s="67"/>
      <c r="Q1266" s="67"/>
      <c r="R1266" s="67"/>
      <c r="S1266" s="140"/>
      <c r="T1266" s="67"/>
      <c r="U1266" s="67"/>
      <c r="V1266" s="67"/>
      <c r="W1266" s="67"/>
      <c r="X1266" s="67"/>
      <c r="Y1266" s="67"/>
      <c r="Z1266" s="67"/>
      <c r="AA1266" s="67"/>
      <c r="AB1266" s="67"/>
      <c r="AC1266" s="67"/>
      <c r="AD1266" s="67"/>
      <c r="AE1266" s="67"/>
      <c r="AF1266" s="67"/>
      <c r="AG1266" s="67"/>
      <c r="AH1266" s="67"/>
    </row>
    <row r="1267" ht="12.0" hidden="1" customHeight="1">
      <c r="A1267" s="67"/>
      <c r="B1267" s="67"/>
      <c r="C1267" s="67"/>
      <c r="D1267" s="67"/>
      <c r="E1267" s="67"/>
      <c r="F1267" s="67"/>
      <c r="G1267" s="67"/>
      <c r="H1267" s="67"/>
      <c r="I1267" s="67"/>
      <c r="J1267" s="67"/>
      <c r="K1267" s="139"/>
      <c r="L1267" s="67"/>
      <c r="M1267" s="67"/>
      <c r="N1267" s="140"/>
      <c r="O1267" s="67"/>
      <c r="P1267" s="67"/>
      <c r="Q1267" s="67"/>
      <c r="R1267" s="67"/>
      <c r="S1267" s="140"/>
      <c r="T1267" s="67"/>
      <c r="U1267" s="67"/>
      <c r="V1267" s="67"/>
      <c r="W1267" s="67"/>
      <c r="X1267" s="67"/>
      <c r="Y1267" s="67"/>
      <c r="Z1267" s="67"/>
      <c r="AA1267" s="67"/>
      <c r="AB1267" s="67"/>
      <c r="AC1267" s="67"/>
      <c r="AD1267" s="67"/>
      <c r="AE1267" s="67"/>
      <c r="AF1267" s="67"/>
      <c r="AG1267" s="67"/>
      <c r="AH1267" s="67"/>
    </row>
    <row r="1268" ht="12.0" hidden="1" customHeight="1">
      <c r="A1268" s="67"/>
      <c r="B1268" s="67"/>
      <c r="C1268" s="67"/>
      <c r="D1268" s="67"/>
      <c r="E1268" s="67"/>
      <c r="F1268" s="67"/>
      <c r="G1268" s="67"/>
      <c r="H1268" s="67"/>
      <c r="I1268" s="67"/>
      <c r="J1268" s="67"/>
      <c r="K1268" s="139"/>
      <c r="L1268" s="67"/>
      <c r="M1268" s="67"/>
      <c r="N1268" s="140"/>
      <c r="O1268" s="67"/>
      <c r="P1268" s="67"/>
      <c r="Q1268" s="67"/>
      <c r="R1268" s="67"/>
      <c r="S1268" s="140"/>
      <c r="T1268" s="67"/>
      <c r="U1268" s="67"/>
      <c r="V1268" s="67"/>
      <c r="W1268" s="67"/>
      <c r="X1268" s="67"/>
      <c r="Y1268" s="67"/>
      <c r="Z1268" s="67"/>
      <c r="AA1268" s="67"/>
      <c r="AB1268" s="67"/>
      <c r="AC1268" s="67"/>
      <c r="AD1268" s="67"/>
      <c r="AE1268" s="67"/>
      <c r="AF1268" s="67"/>
      <c r="AG1268" s="67"/>
      <c r="AH1268" s="67"/>
    </row>
    <row r="1269" ht="12.0" hidden="1" customHeight="1">
      <c r="A1269" s="67"/>
      <c r="B1269" s="67"/>
      <c r="C1269" s="67"/>
      <c r="D1269" s="67"/>
      <c r="E1269" s="67"/>
      <c r="F1269" s="67"/>
      <c r="G1269" s="67"/>
      <c r="H1269" s="67"/>
      <c r="I1269" s="67"/>
      <c r="J1269" s="67"/>
      <c r="K1269" s="139"/>
      <c r="L1269" s="67"/>
      <c r="M1269" s="67"/>
      <c r="N1269" s="140"/>
      <c r="O1269" s="67"/>
      <c r="P1269" s="67"/>
      <c r="Q1269" s="67"/>
      <c r="R1269" s="67"/>
      <c r="S1269" s="140"/>
      <c r="T1269" s="67"/>
      <c r="U1269" s="67"/>
      <c r="V1269" s="67"/>
      <c r="W1269" s="67"/>
      <c r="X1269" s="67"/>
      <c r="Y1269" s="67"/>
      <c r="Z1269" s="67"/>
      <c r="AA1269" s="67"/>
      <c r="AB1269" s="67"/>
      <c r="AC1269" s="67"/>
      <c r="AD1269" s="67"/>
      <c r="AE1269" s="67"/>
      <c r="AF1269" s="67"/>
      <c r="AG1269" s="67"/>
      <c r="AH1269" s="67"/>
    </row>
    <row r="1270" ht="12.0" hidden="1" customHeight="1">
      <c r="A1270" s="67"/>
      <c r="B1270" s="67"/>
      <c r="C1270" s="67"/>
      <c r="D1270" s="67"/>
      <c r="E1270" s="67"/>
      <c r="F1270" s="67"/>
      <c r="G1270" s="67"/>
      <c r="H1270" s="67"/>
      <c r="I1270" s="67"/>
      <c r="J1270" s="67"/>
      <c r="K1270" s="139"/>
      <c r="L1270" s="67"/>
      <c r="M1270" s="67"/>
      <c r="N1270" s="140"/>
      <c r="O1270" s="67"/>
      <c r="P1270" s="67"/>
      <c r="Q1270" s="67"/>
      <c r="R1270" s="67"/>
      <c r="S1270" s="140"/>
      <c r="T1270" s="67"/>
      <c r="U1270" s="67"/>
      <c r="V1270" s="67"/>
      <c r="W1270" s="67"/>
      <c r="X1270" s="67"/>
      <c r="Y1270" s="67"/>
      <c r="Z1270" s="67"/>
      <c r="AA1270" s="67"/>
      <c r="AB1270" s="67"/>
      <c r="AC1270" s="67"/>
      <c r="AD1270" s="67"/>
      <c r="AE1270" s="67"/>
      <c r="AF1270" s="67"/>
      <c r="AG1270" s="67"/>
      <c r="AH1270" s="67"/>
    </row>
    <row r="1271" ht="12.0" hidden="1" customHeight="1">
      <c r="A1271" s="67"/>
      <c r="B1271" s="67"/>
      <c r="C1271" s="67"/>
      <c r="D1271" s="67"/>
      <c r="E1271" s="67"/>
      <c r="F1271" s="67"/>
      <c r="G1271" s="67"/>
      <c r="H1271" s="67"/>
      <c r="I1271" s="67"/>
      <c r="J1271" s="67"/>
      <c r="K1271" s="139"/>
      <c r="L1271" s="67"/>
      <c r="M1271" s="67"/>
      <c r="N1271" s="140"/>
      <c r="O1271" s="67"/>
      <c r="P1271" s="67"/>
      <c r="Q1271" s="67"/>
      <c r="R1271" s="67"/>
      <c r="S1271" s="140"/>
      <c r="T1271" s="67"/>
      <c r="U1271" s="67"/>
      <c r="V1271" s="67"/>
      <c r="W1271" s="67"/>
      <c r="X1271" s="67"/>
      <c r="Y1271" s="67"/>
      <c r="Z1271" s="67"/>
      <c r="AA1271" s="67"/>
      <c r="AB1271" s="67"/>
      <c r="AC1271" s="67"/>
      <c r="AD1271" s="67"/>
      <c r="AE1271" s="67"/>
      <c r="AF1271" s="67"/>
      <c r="AG1271" s="67"/>
      <c r="AH1271" s="67"/>
    </row>
    <row r="1272" ht="12.0" hidden="1" customHeight="1">
      <c r="A1272" s="67"/>
      <c r="B1272" s="67"/>
      <c r="C1272" s="67"/>
      <c r="D1272" s="67"/>
      <c r="E1272" s="67"/>
      <c r="F1272" s="67"/>
      <c r="G1272" s="67"/>
      <c r="H1272" s="67"/>
      <c r="I1272" s="67"/>
      <c r="J1272" s="67"/>
      <c r="K1272" s="139"/>
      <c r="L1272" s="67"/>
      <c r="M1272" s="67"/>
      <c r="N1272" s="140"/>
      <c r="O1272" s="67"/>
      <c r="P1272" s="67"/>
      <c r="Q1272" s="67"/>
      <c r="R1272" s="67"/>
      <c r="S1272" s="140"/>
      <c r="T1272" s="67"/>
      <c r="U1272" s="67"/>
      <c r="V1272" s="67"/>
      <c r="W1272" s="67"/>
      <c r="X1272" s="67"/>
      <c r="Y1272" s="67"/>
      <c r="Z1272" s="67"/>
      <c r="AA1272" s="67"/>
      <c r="AB1272" s="67"/>
      <c r="AC1272" s="67"/>
      <c r="AD1272" s="67"/>
      <c r="AE1272" s="67"/>
      <c r="AF1272" s="67"/>
      <c r="AG1272" s="67"/>
      <c r="AH1272" s="67"/>
    </row>
    <row r="1273" ht="12.0" hidden="1" customHeight="1">
      <c r="A1273" s="67"/>
      <c r="B1273" s="67"/>
      <c r="C1273" s="67"/>
      <c r="D1273" s="67"/>
      <c r="E1273" s="67"/>
      <c r="F1273" s="67"/>
      <c r="G1273" s="67"/>
      <c r="H1273" s="67"/>
      <c r="I1273" s="67"/>
      <c r="J1273" s="67"/>
      <c r="K1273" s="139"/>
      <c r="L1273" s="67"/>
      <c r="M1273" s="67"/>
      <c r="N1273" s="140"/>
      <c r="O1273" s="67"/>
      <c r="P1273" s="67"/>
      <c r="Q1273" s="67"/>
      <c r="R1273" s="67"/>
      <c r="S1273" s="140"/>
      <c r="T1273" s="67"/>
      <c r="U1273" s="67"/>
      <c r="V1273" s="67"/>
      <c r="W1273" s="67"/>
      <c r="X1273" s="67"/>
      <c r="Y1273" s="67"/>
      <c r="Z1273" s="67"/>
      <c r="AA1273" s="67"/>
      <c r="AB1273" s="67"/>
      <c r="AC1273" s="67"/>
      <c r="AD1273" s="67"/>
      <c r="AE1273" s="67"/>
      <c r="AF1273" s="67"/>
      <c r="AG1273" s="67"/>
      <c r="AH1273" s="67"/>
    </row>
    <row r="1274" ht="12.0" hidden="1" customHeight="1">
      <c r="A1274" s="67"/>
      <c r="B1274" s="67"/>
      <c r="C1274" s="67"/>
      <c r="D1274" s="67"/>
      <c r="E1274" s="67"/>
      <c r="F1274" s="67"/>
      <c r="G1274" s="67"/>
      <c r="H1274" s="67"/>
      <c r="I1274" s="67"/>
      <c r="J1274" s="67"/>
      <c r="K1274" s="139"/>
      <c r="L1274" s="67"/>
      <c r="M1274" s="67"/>
      <c r="N1274" s="140"/>
      <c r="O1274" s="67"/>
      <c r="P1274" s="67"/>
      <c r="Q1274" s="67"/>
      <c r="R1274" s="67"/>
      <c r="S1274" s="140"/>
      <c r="T1274" s="67"/>
      <c r="U1274" s="67"/>
      <c r="V1274" s="67"/>
      <c r="W1274" s="67"/>
      <c r="X1274" s="67"/>
      <c r="Y1274" s="67"/>
      <c r="Z1274" s="67"/>
      <c r="AA1274" s="67"/>
      <c r="AB1274" s="67"/>
      <c r="AC1274" s="67"/>
      <c r="AD1274" s="67"/>
      <c r="AE1274" s="67"/>
      <c r="AF1274" s="67"/>
      <c r="AG1274" s="67"/>
      <c r="AH1274" s="67"/>
    </row>
    <row r="1275" ht="12.0" hidden="1" customHeight="1">
      <c r="A1275" s="67"/>
      <c r="B1275" s="67"/>
      <c r="C1275" s="67"/>
      <c r="D1275" s="67"/>
      <c r="E1275" s="67"/>
      <c r="F1275" s="67"/>
      <c r="G1275" s="67"/>
      <c r="H1275" s="67"/>
      <c r="I1275" s="67"/>
      <c r="J1275" s="67"/>
      <c r="K1275" s="139"/>
      <c r="L1275" s="67"/>
      <c r="M1275" s="67"/>
      <c r="N1275" s="140"/>
      <c r="O1275" s="67"/>
      <c r="P1275" s="67"/>
      <c r="Q1275" s="67"/>
      <c r="R1275" s="67"/>
      <c r="S1275" s="140"/>
      <c r="T1275" s="67"/>
      <c r="U1275" s="67"/>
      <c r="V1275" s="67"/>
      <c r="W1275" s="67"/>
      <c r="X1275" s="67"/>
      <c r="Y1275" s="67"/>
      <c r="Z1275" s="67"/>
      <c r="AA1275" s="67"/>
      <c r="AB1275" s="67"/>
      <c r="AC1275" s="67"/>
      <c r="AD1275" s="67"/>
      <c r="AE1275" s="67"/>
      <c r="AF1275" s="67"/>
      <c r="AG1275" s="67"/>
      <c r="AH1275" s="67"/>
    </row>
    <row r="1276" ht="12.0" hidden="1" customHeight="1">
      <c r="A1276" s="67"/>
      <c r="B1276" s="67"/>
      <c r="C1276" s="67"/>
      <c r="D1276" s="67"/>
      <c r="E1276" s="67"/>
      <c r="F1276" s="67"/>
      <c r="G1276" s="67"/>
      <c r="H1276" s="67"/>
      <c r="I1276" s="67"/>
      <c r="J1276" s="67"/>
      <c r="K1276" s="139"/>
      <c r="L1276" s="67"/>
      <c r="M1276" s="67"/>
      <c r="N1276" s="140"/>
      <c r="O1276" s="67"/>
      <c r="P1276" s="67"/>
      <c r="Q1276" s="67"/>
      <c r="R1276" s="67"/>
      <c r="S1276" s="140"/>
      <c r="T1276" s="67"/>
      <c r="U1276" s="67"/>
      <c r="V1276" s="67"/>
      <c r="W1276" s="67"/>
      <c r="X1276" s="67"/>
      <c r="Y1276" s="67"/>
      <c r="Z1276" s="67"/>
      <c r="AA1276" s="67"/>
      <c r="AB1276" s="67"/>
      <c r="AC1276" s="67"/>
      <c r="AD1276" s="67"/>
      <c r="AE1276" s="67"/>
      <c r="AF1276" s="67"/>
      <c r="AG1276" s="67"/>
      <c r="AH1276" s="67"/>
    </row>
    <row r="1277" ht="12.0" hidden="1" customHeight="1">
      <c r="A1277" s="67"/>
      <c r="B1277" s="67"/>
      <c r="C1277" s="67"/>
      <c r="D1277" s="67"/>
      <c r="E1277" s="67"/>
      <c r="F1277" s="67"/>
      <c r="G1277" s="67"/>
      <c r="H1277" s="67"/>
      <c r="I1277" s="67"/>
      <c r="J1277" s="67"/>
      <c r="K1277" s="139"/>
      <c r="L1277" s="67"/>
      <c r="M1277" s="67"/>
      <c r="N1277" s="140"/>
      <c r="O1277" s="67"/>
      <c r="P1277" s="67"/>
      <c r="Q1277" s="67"/>
      <c r="R1277" s="67"/>
      <c r="S1277" s="140"/>
      <c r="T1277" s="67"/>
      <c r="U1277" s="67"/>
      <c r="V1277" s="67"/>
      <c r="W1277" s="67"/>
      <c r="X1277" s="67"/>
      <c r="Y1277" s="67"/>
      <c r="Z1277" s="67"/>
      <c r="AA1277" s="67"/>
      <c r="AB1277" s="67"/>
      <c r="AC1277" s="67"/>
      <c r="AD1277" s="67"/>
      <c r="AE1277" s="67"/>
      <c r="AF1277" s="67"/>
      <c r="AG1277" s="67"/>
      <c r="AH1277" s="67"/>
    </row>
    <row r="1278" ht="12.0" hidden="1" customHeight="1">
      <c r="A1278" s="67"/>
      <c r="B1278" s="67"/>
      <c r="C1278" s="67"/>
      <c r="D1278" s="67"/>
      <c r="E1278" s="67"/>
      <c r="F1278" s="67"/>
      <c r="G1278" s="67"/>
      <c r="H1278" s="67"/>
      <c r="I1278" s="67"/>
      <c r="J1278" s="67"/>
      <c r="K1278" s="139"/>
      <c r="L1278" s="67"/>
      <c r="M1278" s="67"/>
      <c r="N1278" s="140"/>
      <c r="O1278" s="67"/>
      <c r="P1278" s="67"/>
      <c r="Q1278" s="67"/>
      <c r="R1278" s="67"/>
      <c r="S1278" s="140"/>
      <c r="T1278" s="67"/>
      <c r="U1278" s="67"/>
      <c r="V1278" s="67"/>
      <c r="W1278" s="67"/>
      <c r="X1278" s="67"/>
      <c r="Y1278" s="67"/>
      <c r="Z1278" s="67"/>
      <c r="AA1278" s="67"/>
      <c r="AB1278" s="67"/>
      <c r="AC1278" s="67"/>
      <c r="AD1278" s="67"/>
      <c r="AE1278" s="67"/>
      <c r="AF1278" s="67"/>
      <c r="AG1278" s="67"/>
      <c r="AH1278" s="67"/>
    </row>
    <row r="1279" ht="12.0" hidden="1" customHeight="1">
      <c r="A1279" s="67"/>
      <c r="B1279" s="67"/>
      <c r="C1279" s="67"/>
      <c r="D1279" s="67"/>
      <c r="E1279" s="67"/>
      <c r="F1279" s="67"/>
      <c r="G1279" s="67"/>
      <c r="H1279" s="67"/>
      <c r="I1279" s="67"/>
      <c r="J1279" s="67"/>
      <c r="K1279" s="139"/>
      <c r="L1279" s="67"/>
      <c r="M1279" s="67"/>
      <c r="N1279" s="140"/>
      <c r="O1279" s="67"/>
      <c r="P1279" s="67"/>
      <c r="Q1279" s="67"/>
      <c r="R1279" s="67"/>
      <c r="S1279" s="140"/>
      <c r="T1279" s="67"/>
      <c r="U1279" s="67"/>
      <c r="V1279" s="67"/>
      <c r="W1279" s="67"/>
      <c r="X1279" s="67"/>
      <c r="Y1279" s="67"/>
      <c r="Z1279" s="67"/>
      <c r="AA1279" s="67"/>
      <c r="AB1279" s="67"/>
      <c r="AC1279" s="67"/>
      <c r="AD1279" s="67"/>
      <c r="AE1279" s="67"/>
      <c r="AF1279" s="67"/>
      <c r="AG1279" s="67"/>
      <c r="AH1279" s="67"/>
    </row>
    <row r="1280" ht="12.0" hidden="1" customHeight="1">
      <c r="A1280" s="67"/>
      <c r="B1280" s="67"/>
      <c r="C1280" s="67"/>
      <c r="D1280" s="67"/>
      <c r="E1280" s="67"/>
      <c r="F1280" s="67"/>
      <c r="G1280" s="67"/>
      <c r="H1280" s="67"/>
      <c r="I1280" s="67"/>
      <c r="J1280" s="67"/>
      <c r="K1280" s="139"/>
      <c r="L1280" s="67"/>
      <c r="M1280" s="67"/>
      <c r="N1280" s="140"/>
      <c r="O1280" s="67"/>
      <c r="P1280" s="67"/>
      <c r="Q1280" s="67"/>
      <c r="R1280" s="67"/>
      <c r="S1280" s="140"/>
      <c r="T1280" s="67"/>
      <c r="U1280" s="67"/>
      <c r="V1280" s="67"/>
      <c r="W1280" s="67"/>
      <c r="X1280" s="67"/>
      <c r="Y1280" s="67"/>
      <c r="Z1280" s="67"/>
      <c r="AA1280" s="67"/>
      <c r="AB1280" s="67"/>
      <c r="AC1280" s="67"/>
      <c r="AD1280" s="67"/>
      <c r="AE1280" s="67"/>
      <c r="AF1280" s="67"/>
      <c r="AG1280" s="67"/>
      <c r="AH1280" s="67"/>
    </row>
    <row r="1281" ht="12.0" hidden="1" customHeight="1">
      <c r="A1281" s="67"/>
      <c r="B1281" s="67"/>
      <c r="C1281" s="67"/>
      <c r="D1281" s="67"/>
      <c r="E1281" s="67"/>
      <c r="F1281" s="67"/>
      <c r="G1281" s="67"/>
      <c r="H1281" s="67"/>
      <c r="I1281" s="67"/>
      <c r="J1281" s="67"/>
      <c r="K1281" s="139"/>
      <c r="L1281" s="67"/>
      <c r="M1281" s="67"/>
      <c r="N1281" s="140"/>
      <c r="O1281" s="67"/>
      <c r="P1281" s="67"/>
      <c r="Q1281" s="67"/>
      <c r="R1281" s="67"/>
      <c r="S1281" s="140"/>
      <c r="T1281" s="67"/>
      <c r="U1281" s="67"/>
      <c r="V1281" s="67"/>
      <c r="W1281" s="67"/>
      <c r="X1281" s="67"/>
      <c r="Y1281" s="67"/>
      <c r="Z1281" s="67"/>
      <c r="AA1281" s="67"/>
      <c r="AB1281" s="67"/>
      <c r="AC1281" s="67"/>
      <c r="AD1281" s="67"/>
      <c r="AE1281" s="67"/>
      <c r="AF1281" s="67"/>
      <c r="AG1281" s="67"/>
      <c r="AH1281" s="67"/>
    </row>
    <row r="1282" ht="12.0" hidden="1" customHeight="1">
      <c r="A1282" s="67"/>
      <c r="B1282" s="67"/>
      <c r="C1282" s="67"/>
      <c r="D1282" s="67"/>
      <c r="E1282" s="67"/>
      <c r="F1282" s="67"/>
      <c r="G1282" s="67"/>
      <c r="H1282" s="67"/>
      <c r="I1282" s="67"/>
      <c r="J1282" s="67"/>
      <c r="K1282" s="139"/>
      <c r="L1282" s="67"/>
      <c r="M1282" s="67"/>
      <c r="N1282" s="140"/>
      <c r="O1282" s="67"/>
      <c r="P1282" s="67"/>
      <c r="Q1282" s="67"/>
      <c r="R1282" s="67"/>
      <c r="S1282" s="140"/>
      <c r="T1282" s="67"/>
      <c r="U1282" s="67"/>
      <c r="V1282" s="67"/>
      <c r="W1282" s="67"/>
      <c r="X1282" s="67"/>
      <c r="Y1282" s="67"/>
      <c r="Z1282" s="67"/>
      <c r="AA1282" s="67"/>
      <c r="AB1282" s="67"/>
      <c r="AC1282" s="67"/>
      <c r="AD1282" s="67"/>
      <c r="AE1282" s="67"/>
      <c r="AF1282" s="67"/>
      <c r="AG1282" s="67"/>
      <c r="AH1282" s="67"/>
    </row>
    <row r="1283" ht="12.0" hidden="1" customHeight="1">
      <c r="A1283" s="67"/>
      <c r="B1283" s="67"/>
      <c r="C1283" s="67"/>
      <c r="D1283" s="67"/>
      <c r="E1283" s="67"/>
      <c r="F1283" s="67"/>
      <c r="G1283" s="67"/>
      <c r="H1283" s="67"/>
      <c r="I1283" s="67"/>
      <c r="J1283" s="67"/>
      <c r="K1283" s="139"/>
      <c r="L1283" s="67"/>
      <c r="M1283" s="67"/>
      <c r="N1283" s="140"/>
      <c r="O1283" s="67"/>
      <c r="P1283" s="67"/>
      <c r="Q1283" s="67"/>
      <c r="R1283" s="67"/>
      <c r="S1283" s="140"/>
      <c r="T1283" s="67"/>
      <c r="U1283" s="67"/>
      <c r="V1283" s="67"/>
      <c r="W1283" s="67"/>
      <c r="X1283" s="67"/>
      <c r="Y1283" s="67"/>
      <c r="Z1283" s="67"/>
      <c r="AA1283" s="67"/>
      <c r="AB1283" s="67"/>
      <c r="AC1283" s="67"/>
      <c r="AD1283" s="67"/>
      <c r="AE1283" s="67"/>
      <c r="AF1283" s="67"/>
      <c r="AG1283" s="67"/>
      <c r="AH1283" s="67"/>
    </row>
    <row r="1284" ht="12.0" hidden="1" customHeight="1">
      <c r="A1284" s="67"/>
      <c r="B1284" s="67"/>
      <c r="C1284" s="67"/>
      <c r="D1284" s="67"/>
      <c r="E1284" s="67"/>
      <c r="F1284" s="67"/>
      <c r="G1284" s="67"/>
      <c r="H1284" s="67"/>
      <c r="I1284" s="67"/>
      <c r="J1284" s="67"/>
      <c r="K1284" s="139"/>
      <c r="L1284" s="67"/>
      <c r="M1284" s="67"/>
      <c r="N1284" s="140"/>
      <c r="O1284" s="67"/>
      <c r="P1284" s="67"/>
      <c r="Q1284" s="67"/>
      <c r="R1284" s="67"/>
      <c r="S1284" s="140"/>
      <c r="T1284" s="67"/>
      <c r="U1284" s="67"/>
      <c r="V1284" s="67"/>
      <c r="W1284" s="67"/>
      <c r="X1284" s="67"/>
      <c r="Y1284" s="67"/>
      <c r="Z1284" s="67"/>
      <c r="AA1284" s="67"/>
      <c r="AB1284" s="67"/>
      <c r="AC1284" s="67"/>
      <c r="AD1284" s="67"/>
      <c r="AE1284" s="67"/>
      <c r="AF1284" s="67"/>
      <c r="AG1284" s="67"/>
      <c r="AH1284" s="67"/>
    </row>
    <row r="1285" ht="12.0" hidden="1" customHeight="1">
      <c r="A1285" s="67"/>
      <c r="B1285" s="67"/>
      <c r="C1285" s="67"/>
      <c r="D1285" s="67"/>
      <c r="E1285" s="67"/>
      <c r="F1285" s="67"/>
      <c r="G1285" s="67"/>
      <c r="H1285" s="67"/>
      <c r="I1285" s="67"/>
      <c r="J1285" s="67"/>
      <c r="K1285" s="139"/>
      <c r="L1285" s="67"/>
      <c r="M1285" s="67"/>
      <c r="N1285" s="140"/>
      <c r="O1285" s="67"/>
      <c r="P1285" s="67"/>
      <c r="Q1285" s="67"/>
      <c r="R1285" s="67"/>
      <c r="S1285" s="140"/>
      <c r="T1285" s="67"/>
      <c r="U1285" s="67"/>
      <c r="V1285" s="67"/>
      <c r="W1285" s="67"/>
      <c r="X1285" s="67"/>
      <c r="Y1285" s="67"/>
      <c r="Z1285" s="67"/>
      <c r="AA1285" s="67"/>
      <c r="AB1285" s="67"/>
      <c r="AC1285" s="67"/>
      <c r="AD1285" s="67"/>
      <c r="AE1285" s="67"/>
      <c r="AF1285" s="67"/>
      <c r="AG1285" s="67"/>
      <c r="AH1285" s="67"/>
    </row>
    <row r="1286" ht="12.0" hidden="1" customHeight="1">
      <c r="A1286" s="67"/>
      <c r="B1286" s="67"/>
      <c r="C1286" s="67"/>
      <c r="D1286" s="67"/>
      <c r="E1286" s="67"/>
      <c r="F1286" s="67"/>
      <c r="G1286" s="67"/>
      <c r="H1286" s="67"/>
      <c r="I1286" s="67"/>
      <c r="J1286" s="67"/>
      <c r="K1286" s="139"/>
      <c r="L1286" s="67"/>
      <c r="M1286" s="67"/>
      <c r="N1286" s="140"/>
      <c r="O1286" s="67"/>
      <c r="P1286" s="67"/>
      <c r="Q1286" s="67"/>
      <c r="R1286" s="67"/>
      <c r="S1286" s="140"/>
      <c r="T1286" s="67"/>
      <c r="U1286" s="67"/>
      <c r="V1286" s="67"/>
      <c r="W1286" s="67"/>
      <c r="X1286" s="67"/>
      <c r="Y1286" s="67"/>
      <c r="Z1286" s="67"/>
      <c r="AA1286" s="67"/>
      <c r="AB1286" s="67"/>
      <c r="AC1286" s="67"/>
      <c r="AD1286" s="67"/>
      <c r="AE1286" s="67"/>
      <c r="AF1286" s="67"/>
      <c r="AG1286" s="67"/>
      <c r="AH1286" s="67"/>
    </row>
    <row r="1287" ht="12.0" hidden="1" customHeight="1">
      <c r="A1287" s="67"/>
      <c r="B1287" s="67"/>
      <c r="C1287" s="67"/>
      <c r="D1287" s="67"/>
      <c r="E1287" s="67"/>
      <c r="F1287" s="67"/>
      <c r="G1287" s="67"/>
      <c r="H1287" s="67"/>
      <c r="I1287" s="67"/>
      <c r="J1287" s="67"/>
      <c r="K1287" s="139"/>
      <c r="L1287" s="67"/>
      <c r="M1287" s="67"/>
      <c r="N1287" s="140"/>
      <c r="O1287" s="67"/>
      <c r="P1287" s="67"/>
      <c r="Q1287" s="67"/>
      <c r="R1287" s="67"/>
      <c r="S1287" s="140"/>
      <c r="T1287" s="67"/>
      <c r="U1287" s="67"/>
      <c r="V1287" s="67"/>
      <c r="W1287" s="67"/>
      <c r="X1287" s="67"/>
      <c r="Y1287" s="67"/>
      <c r="Z1287" s="67"/>
      <c r="AA1287" s="67"/>
      <c r="AB1287" s="67"/>
      <c r="AC1287" s="67"/>
      <c r="AD1287" s="67"/>
      <c r="AE1287" s="67"/>
      <c r="AF1287" s="67"/>
      <c r="AG1287" s="67"/>
      <c r="AH1287" s="67"/>
    </row>
    <row r="1288" ht="12.0" hidden="1" customHeight="1">
      <c r="A1288" s="67"/>
      <c r="B1288" s="67"/>
      <c r="C1288" s="67"/>
      <c r="D1288" s="67"/>
      <c r="E1288" s="67"/>
      <c r="F1288" s="67"/>
      <c r="G1288" s="67"/>
      <c r="H1288" s="67"/>
      <c r="I1288" s="67"/>
      <c r="J1288" s="67"/>
      <c r="K1288" s="139"/>
      <c r="L1288" s="67"/>
      <c r="M1288" s="67"/>
      <c r="N1288" s="140"/>
      <c r="O1288" s="67"/>
      <c r="P1288" s="67"/>
      <c r="Q1288" s="67"/>
      <c r="R1288" s="67"/>
      <c r="S1288" s="140"/>
      <c r="T1288" s="67"/>
      <c r="U1288" s="67"/>
      <c r="V1288" s="67"/>
      <c r="W1288" s="67"/>
      <c r="X1288" s="67"/>
      <c r="Y1288" s="67"/>
      <c r="Z1288" s="67"/>
      <c r="AA1288" s="67"/>
      <c r="AB1288" s="67"/>
      <c r="AC1288" s="67"/>
      <c r="AD1288" s="67"/>
      <c r="AE1288" s="67"/>
      <c r="AF1288" s="67"/>
      <c r="AG1288" s="67"/>
      <c r="AH1288" s="67"/>
    </row>
    <row r="1289" ht="12.0" hidden="1" customHeight="1">
      <c r="A1289" s="67"/>
      <c r="B1289" s="67"/>
      <c r="C1289" s="67"/>
      <c r="D1289" s="67"/>
      <c r="E1289" s="67"/>
      <c r="F1289" s="67"/>
      <c r="G1289" s="67"/>
      <c r="H1289" s="67"/>
      <c r="I1289" s="67"/>
      <c r="J1289" s="67"/>
      <c r="K1289" s="139"/>
      <c r="L1289" s="67"/>
      <c r="M1289" s="67"/>
      <c r="N1289" s="140"/>
      <c r="O1289" s="67"/>
      <c r="P1289" s="67"/>
      <c r="Q1289" s="67"/>
      <c r="R1289" s="67"/>
      <c r="S1289" s="140"/>
      <c r="T1289" s="67"/>
      <c r="U1289" s="67"/>
      <c r="V1289" s="67"/>
      <c r="W1289" s="67"/>
      <c r="X1289" s="67"/>
      <c r="Y1289" s="67"/>
      <c r="Z1289" s="67"/>
      <c r="AA1289" s="67"/>
      <c r="AB1289" s="67"/>
      <c r="AC1289" s="67"/>
      <c r="AD1289" s="67"/>
      <c r="AE1289" s="67"/>
      <c r="AF1289" s="67"/>
      <c r="AG1289" s="67"/>
      <c r="AH1289" s="67"/>
    </row>
    <row r="1290" ht="12.0" hidden="1" customHeight="1">
      <c r="A1290" s="67"/>
      <c r="B1290" s="67"/>
      <c r="C1290" s="67"/>
      <c r="D1290" s="67"/>
      <c r="E1290" s="67"/>
      <c r="F1290" s="67"/>
      <c r="G1290" s="67"/>
      <c r="H1290" s="67"/>
      <c r="I1290" s="67"/>
      <c r="J1290" s="67"/>
      <c r="K1290" s="139"/>
      <c r="L1290" s="67"/>
      <c r="M1290" s="67"/>
      <c r="N1290" s="140"/>
      <c r="O1290" s="67"/>
      <c r="P1290" s="67"/>
      <c r="Q1290" s="67"/>
      <c r="R1290" s="67"/>
      <c r="S1290" s="140"/>
      <c r="T1290" s="67"/>
      <c r="U1290" s="67"/>
      <c r="V1290" s="67"/>
      <c r="W1290" s="67"/>
      <c r="X1290" s="67"/>
      <c r="Y1290" s="67"/>
      <c r="Z1290" s="67"/>
      <c r="AA1290" s="67"/>
      <c r="AB1290" s="67"/>
      <c r="AC1290" s="67"/>
      <c r="AD1290" s="67"/>
      <c r="AE1290" s="67"/>
      <c r="AF1290" s="67"/>
      <c r="AG1290" s="67"/>
      <c r="AH1290" s="67"/>
    </row>
    <row r="1291" ht="12.0" hidden="1" customHeight="1">
      <c r="A1291" s="67"/>
      <c r="B1291" s="67"/>
      <c r="C1291" s="67"/>
      <c r="D1291" s="67"/>
      <c r="E1291" s="67"/>
      <c r="F1291" s="67"/>
      <c r="G1291" s="67"/>
      <c r="H1291" s="67"/>
      <c r="I1291" s="67"/>
      <c r="J1291" s="67"/>
      <c r="K1291" s="139"/>
      <c r="L1291" s="67"/>
      <c r="M1291" s="67"/>
      <c r="N1291" s="140"/>
      <c r="O1291" s="67"/>
      <c r="P1291" s="67"/>
      <c r="Q1291" s="67"/>
      <c r="R1291" s="67"/>
      <c r="S1291" s="140"/>
      <c r="T1291" s="67"/>
      <c r="U1291" s="67"/>
      <c r="V1291" s="67"/>
      <c r="W1291" s="67"/>
      <c r="X1291" s="67"/>
      <c r="Y1291" s="67"/>
      <c r="Z1291" s="67"/>
      <c r="AA1291" s="67"/>
      <c r="AB1291" s="67"/>
      <c r="AC1291" s="67"/>
      <c r="AD1291" s="67"/>
      <c r="AE1291" s="67"/>
      <c r="AF1291" s="67"/>
      <c r="AG1291" s="67"/>
      <c r="AH1291" s="67"/>
    </row>
    <row r="1292" ht="12.0" hidden="1" customHeight="1">
      <c r="A1292" s="67"/>
      <c r="B1292" s="67"/>
      <c r="C1292" s="67"/>
      <c r="D1292" s="67"/>
      <c r="E1292" s="67"/>
      <c r="F1292" s="67"/>
      <c r="G1292" s="67"/>
      <c r="H1292" s="67"/>
      <c r="I1292" s="67"/>
      <c r="J1292" s="67"/>
      <c r="K1292" s="139"/>
      <c r="L1292" s="67"/>
      <c r="M1292" s="67"/>
      <c r="N1292" s="140"/>
      <c r="O1292" s="67"/>
      <c r="P1292" s="67"/>
      <c r="Q1292" s="67"/>
      <c r="R1292" s="67"/>
      <c r="S1292" s="140"/>
      <c r="T1292" s="67"/>
      <c r="U1292" s="67"/>
      <c r="V1292" s="67"/>
      <c r="W1292" s="67"/>
      <c r="X1292" s="67"/>
      <c r="Y1292" s="67"/>
      <c r="Z1292" s="67"/>
      <c r="AA1292" s="67"/>
      <c r="AB1292" s="67"/>
      <c r="AC1292" s="67"/>
      <c r="AD1292" s="67"/>
      <c r="AE1292" s="67"/>
      <c r="AF1292" s="67"/>
      <c r="AG1292" s="67"/>
      <c r="AH1292" s="67"/>
    </row>
    <row r="1293" ht="12.0" hidden="1" customHeight="1">
      <c r="A1293" s="67"/>
      <c r="B1293" s="67"/>
      <c r="C1293" s="67"/>
      <c r="D1293" s="67"/>
      <c r="E1293" s="67"/>
      <c r="F1293" s="67"/>
      <c r="G1293" s="67"/>
      <c r="H1293" s="67"/>
      <c r="I1293" s="67"/>
      <c r="J1293" s="67"/>
      <c r="K1293" s="139"/>
      <c r="L1293" s="67"/>
      <c r="M1293" s="67"/>
      <c r="N1293" s="140"/>
      <c r="O1293" s="67"/>
      <c r="P1293" s="67"/>
      <c r="Q1293" s="67"/>
      <c r="R1293" s="67"/>
      <c r="S1293" s="140"/>
      <c r="T1293" s="67"/>
      <c r="U1293" s="67"/>
      <c r="V1293" s="67"/>
      <c r="W1293" s="67"/>
      <c r="X1293" s="67"/>
      <c r="Y1293" s="67"/>
      <c r="Z1293" s="67"/>
      <c r="AA1293" s="67"/>
      <c r="AB1293" s="67"/>
      <c r="AC1293" s="67"/>
      <c r="AD1293" s="67"/>
      <c r="AE1293" s="67"/>
      <c r="AF1293" s="67"/>
      <c r="AG1293" s="67"/>
      <c r="AH1293" s="67"/>
    </row>
    <row r="1294" ht="12.0" hidden="1" customHeight="1">
      <c r="A1294" s="67"/>
      <c r="B1294" s="67"/>
      <c r="C1294" s="67"/>
      <c r="D1294" s="67"/>
      <c r="E1294" s="67"/>
      <c r="F1294" s="67"/>
      <c r="G1294" s="67"/>
      <c r="H1294" s="67"/>
      <c r="I1294" s="67"/>
      <c r="J1294" s="67"/>
      <c r="K1294" s="139"/>
      <c r="L1294" s="67"/>
      <c r="M1294" s="67"/>
      <c r="N1294" s="140"/>
      <c r="O1294" s="67"/>
      <c r="P1294" s="67"/>
      <c r="Q1294" s="67"/>
      <c r="R1294" s="67"/>
      <c r="S1294" s="140"/>
      <c r="T1294" s="67"/>
      <c r="U1294" s="67"/>
      <c r="V1294" s="67"/>
      <c r="W1294" s="67"/>
      <c r="X1294" s="67"/>
      <c r="Y1294" s="67"/>
      <c r="Z1294" s="67"/>
      <c r="AA1294" s="67"/>
      <c r="AB1294" s="67"/>
      <c r="AC1294" s="67"/>
      <c r="AD1294" s="67"/>
      <c r="AE1294" s="67"/>
      <c r="AF1294" s="67"/>
      <c r="AG1294" s="67"/>
      <c r="AH1294" s="67"/>
    </row>
    <row r="1295" ht="12.0" hidden="1" customHeight="1">
      <c r="A1295" s="67"/>
      <c r="B1295" s="67"/>
      <c r="C1295" s="67"/>
      <c r="D1295" s="67"/>
      <c r="E1295" s="67"/>
      <c r="F1295" s="67"/>
      <c r="G1295" s="67"/>
      <c r="H1295" s="67"/>
      <c r="I1295" s="67"/>
      <c r="J1295" s="67"/>
      <c r="K1295" s="139"/>
      <c r="L1295" s="67"/>
      <c r="M1295" s="67"/>
      <c r="N1295" s="140"/>
      <c r="O1295" s="67"/>
      <c r="P1295" s="67"/>
      <c r="Q1295" s="67"/>
      <c r="R1295" s="67"/>
      <c r="S1295" s="140"/>
      <c r="T1295" s="67"/>
      <c r="U1295" s="67"/>
      <c r="V1295" s="67"/>
      <c r="W1295" s="67"/>
      <c r="X1295" s="67"/>
      <c r="Y1295" s="67"/>
      <c r="Z1295" s="67"/>
      <c r="AA1295" s="67"/>
      <c r="AB1295" s="67"/>
      <c r="AC1295" s="67"/>
      <c r="AD1295" s="67"/>
      <c r="AE1295" s="67"/>
      <c r="AF1295" s="67"/>
      <c r="AG1295" s="67"/>
      <c r="AH1295" s="67"/>
    </row>
    <row r="1296" ht="12.0" hidden="1" customHeight="1">
      <c r="A1296" s="67"/>
      <c r="B1296" s="67"/>
      <c r="C1296" s="67"/>
      <c r="D1296" s="67"/>
      <c r="E1296" s="67"/>
      <c r="F1296" s="67"/>
      <c r="G1296" s="67"/>
      <c r="H1296" s="67"/>
      <c r="I1296" s="67"/>
      <c r="J1296" s="67"/>
      <c r="K1296" s="139"/>
      <c r="L1296" s="67"/>
      <c r="M1296" s="67"/>
      <c r="N1296" s="140"/>
      <c r="O1296" s="67"/>
      <c r="P1296" s="67"/>
      <c r="Q1296" s="67"/>
      <c r="R1296" s="67"/>
      <c r="S1296" s="140"/>
      <c r="T1296" s="67"/>
      <c r="U1296" s="67"/>
      <c r="V1296" s="67"/>
      <c r="W1296" s="67"/>
      <c r="X1296" s="67"/>
      <c r="Y1296" s="67"/>
      <c r="Z1296" s="67"/>
      <c r="AA1296" s="67"/>
      <c r="AB1296" s="67"/>
      <c r="AC1296" s="67"/>
      <c r="AD1296" s="67"/>
      <c r="AE1296" s="67"/>
      <c r="AF1296" s="67"/>
      <c r="AG1296" s="67"/>
      <c r="AH1296" s="67"/>
    </row>
    <row r="1297" ht="12.0" hidden="1" customHeight="1">
      <c r="A1297" s="67"/>
      <c r="B1297" s="67"/>
      <c r="C1297" s="67"/>
      <c r="D1297" s="67"/>
      <c r="E1297" s="67"/>
      <c r="F1297" s="67"/>
      <c r="G1297" s="67"/>
      <c r="H1297" s="67"/>
      <c r="I1297" s="67"/>
      <c r="J1297" s="67"/>
      <c r="K1297" s="139"/>
      <c r="L1297" s="67"/>
      <c r="M1297" s="67"/>
      <c r="N1297" s="140"/>
      <c r="O1297" s="67"/>
      <c r="P1297" s="67"/>
      <c r="Q1297" s="67"/>
      <c r="R1297" s="67"/>
      <c r="S1297" s="140"/>
      <c r="T1297" s="67"/>
      <c r="U1297" s="67"/>
      <c r="V1297" s="67"/>
      <c r="W1297" s="67"/>
      <c r="X1297" s="67"/>
      <c r="Y1297" s="67"/>
      <c r="Z1297" s="67"/>
      <c r="AA1297" s="67"/>
      <c r="AB1297" s="67"/>
      <c r="AC1297" s="67"/>
      <c r="AD1297" s="67"/>
      <c r="AE1297" s="67"/>
      <c r="AF1297" s="67"/>
      <c r="AG1297" s="67"/>
      <c r="AH1297" s="67"/>
    </row>
    <row r="1298" ht="12.0" hidden="1" customHeight="1">
      <c r="A1298" s="67"/>
      <c r="B1298" s="67"/>
      <c r="C1298" s="67"/>
      <c r="D1298" s="67"/>
      <c r="E1298" s="67"/>
      <c r="F1298" s="67"/>
      <c r="G1298" s="67"/>
      <c r="H1298" s="67"/>
      <c r="I1298" s="67"/>
      <c r="J1298" s="67"/>
      <c r="K1298" s="139"/>
      <c r="L1298" s="67"/>
      <c r="M1298" s="67"/>
      <c r="N1298" s="140"/>
      <c r="O1298" s="67"/>
      <c r="P1298" s="67"/>
      <c r="Q1298" s="67"/>
      <c r="R1298" s="67"/>
      <c r="S1298" s="140"/>
      <c r="T1298" s="67"/>
      <c r="U1298" s="67"/>
      <c r="V1298" s="67"/>
      <c r="W1298" s="67"/>
      <c r="X1298" s="67"/>
      <c r="Y1298" s="67"/>
      <c r="Z1298" s="67"/>
      <c r="AA1298" s="67"/>
      <c r="AB1298" s="67"/>
      <c r="AC1298" s="67"/>
      <c r="AD1298" s="67"/>
      <c r="AE1298" s="67"/>
      <c r="AF1298" s="67"/>
      <c r="AG1298" s="67"/>
      <c r="AH1298" s="67"/>
    </row>
    <row r="1299" ht="12.0" hidden="1" customHeight="1">
      <c r="A1299" s="67"/>
      <c r="B1299" s="67"/>
      <c r="C1299" s="67"/>
      <c r="D1299" s="67"/>
      <c r="E1299" s="67"/>
      <c r="F1299" s="67"/>
      <c r="G1299" s="67"/>
      <c r="H1299" s="67"/>
      <c r="I1299" s="67"/>
      <c r="J1299" s="67"/>
      <c r="K1299" s="139"/>
      <c r="L1299" s="67"/>
      <c r="M1299" s="67"/>
      <c r="N1299" s="140"/>
      <c r="O1299" s="67"/>
      <c r="P1299" s="67"/>
      <c r="Q1299" s="67"/>
      <c r="R1299" s="67"/>
      <c r="S1299" s="140"/>
      <c r="T1299" s="67"/>
      <c r="U1299" s="67"/>
      <c r="V1299" s="67"/>
      <c r="W1299" s="67"/>
      <c r="X1299" s="67"/>
      <c r="Y1299" s="67"/>
      <c r="Z1299" s="67"/>
      <c r="AA1299" s="67"/>
      <c r="AB1299" s="67"/>
      <c r="AC1299" s="67"/>
      <c r="AD1299" s="67"/>
      <c r="AE1299" s="67"/>
      <c r="AF1299" s="67"/>
      <c r="AG1299" s="67"/>
      <c r="AH1299" s="67"/>
    </row>
    <row r="1300" ht="12.0" hidden="1" customHeight="1">
      <c r="A1300" s="67"/>
      <c r="B1300" s="67"/>
      <c r="C1300" s="67"/>
      <c r="D1300" s="67"/>
      <c r="E1300" s="67"/>
      <c r="F1300" s="67"/>
      <c r="G1300" s="67"/>
      <c r="H1300" s="67"/>
      <c r="I1300" s="67"/>
      <c r="J1300" s="67"/>
      <c r="K1300" s="139"/>
      <c r="L1300" s="67"/>
      <c r="M1300" s="67"/>
      <c r="N1300" s="140"/>
      <c r="O1300" s="67"/>
      <c r="P1300" s="67"/>
      <c r="Q1300" s="67"/>
      <c r="R1300" s="67"/>
      <c r="S1300" s="140"/>
      <c r="T1300" s="67"/>
      <c r="U1300" s="67"/>
      <c r="V1300" s="67"/>
      <c r="W1300" s="67"/>
      <c r="X1300" s="67"/>
      <c r="Y1300" s="67"/>
      <c r="Z1300" s="67"/>
      <c r="AA1300" s="67"/>
      <c r="AB1300" s="67"/>
      <c r="AC1300" s="67"/>
      <c r="AD1300" s="67"/>
      <c r="AE1300" s="67"/>
      <c r="AF1300" s="67"/>
      <c r="AG1300" s="67"/>
      <c r="AH1300" s="67"/>
    </row>
    <row r="1301" ht="12.0" hidden="1" customHeight="1">
      <c r="A1301" s="67"/>
      <c r="B1301" s="67"/>
      <c r="C1301" s="67"/>
      <c r="D1301" s="67"/>
      <c r="E1301" s="67"/>
      <c r="F1301" s="67"/>
      <c r="G1301" s="67"/>
      <c r="H1301" s="67"/>
      <c r="I1301" s="67"/>
      <c r="J1301" s="67"/>
      <c r="K1301" s="139"/>
      <c r="L1301" s="67"/>
      <c r="M1301" s="67"/>
      <c r="N1301" s="140"/>
      <c r="O1301" s="67"/>
      <c r="P1301" s="67"/>
      <c r="Q1301" s="67"/>
      <c r="R1301" s="67"/>
      <c r="S1301" s="140"/>
      <c r="T1301" s="67"/>
      <c r="U1301" s="67"/>
      <c r="V1301" s="67"/>
      <c r="W1301" s="67"/>
      <c r="X1301" s="67"/>
      <c r="Y1301" s="67"/>
      <c r="Z1301" s="67"/>
      <c r="AA1301" s="67"/>
      <c r="AB1301" s="67"/>
      <c r="AC1301" s="67"/>
      <c r="AD1301" s="67"/>
      <c r="AE1301" s="67"/>
      <c r="AF1301" s="67"/>
      <c r="AG1301" s="67"/>
      <c r="AH1301" s="67"/>
    </row>
    <row r="1302" ht="12.0" hidden="1" customHeight="1">
      <c r="A1302" s="67"/>
      <c r="B1302" s="67"/>
      <c r="C1302" s="67"/>
      <c r="D1302" s="67"/>
      <c r="E1302" s="67"/>
      <c r="F1302" s="67"/>
      <c r="G1302" s="67"/>
      <c r="H1302" s="67"/>
      <c r="I1302" s="67"/>
      <c r="J1302" s="67"/>
      <c r="K1302" s="139"/>
      <c r="L1302" s="67"/>
      <c r="M1302" s="67"/>
      <c r="N1302" s="140"/>
      <c r="O1302" s="67"/>
      <c r="P1302" s="67"/>
      <c r="Q1302" s="67"/>
      <c r="R1302" s="67"/>
      <c r="S1302" s="140"/>
      <c r="T1302" s="67"/>
      <c r="U1302" s="67"/>
      <c r="V1302" s="67"/>
      <c r="W1302" s="67"/>
      <c r="X1302" s="67"/>
      <c r="Y1302" s="67"/>
      <c r="Z1302" s="67"/>
      <c r="AA1302" s="67"/>
      <c r="AB1302" s="67"/>
      <c r="AC1302" s="67"/>
      <c r="AD1302" s="67"/>
      <c r="AE1302" s="67"/>
      <c r="AF1302" s="67"/>
      <c r="AG1302" s="67"/>
      <c r="AH1302" s="67"/>
    </row>
    <row r="1303" ht="12.0" hidden="1" customHeight="1">
      <c r="A1303" s="67"/>
      <c r="B1303" s="67"/>
      <c r="C1303" s="67"/>
      <c r="D1303" s="67"/>
      <c r="E1303" s="67"/>
      <c r="F1303" s="67"/>
      <c r="G1303" s="67"/>
      <c r="H1303" s="67"/>
      <c r="I1303" s="67"/>
      <c r="J1303" s="67"/>
      <c r="K1303" s="139"/>
      <c r="L1303" s="67"/>
      <c r="M1303" s="67"/>
      <c r="N1303" s="140"/>
      <c r="O1303" s="67"/>
      <c r="P1303" s="67"/>
      <c r="Q1303" s="67"/>
      <c r="R1303" s="67"/>
      <c r="S1303" s="140"/>
      <c r="T1303" s="67"/>
      <c r="U1303" s="67"/>
      <c r="V1303" s="67"/>
      <c r="W1303" s="67"/>
      <c r="X1303" s="67"/>
      <c r="Y1303" s="67"/>
      <c r="Z1303" s="67"/>
      <c r="AA1303" s="67"/>
      <c r="AB1303" s="67"/>
      <c r="AC1303" s="67"/>
      <c r="AD1303" s="67"/>
      <c r="AE1303" s="67"/>
      <c r="AF1303" s="67"/>
      <c r="AG1303" s="67"/>
      <c r="AH1303" s="67"/>
    </row>
    <row r="1304" ht="12.0" hidden="1" customHeight="1">
      <c r="A1304" s="67"/>
      <c r="B1304" s="67"/>
      <c r="C1304" s="67"/>
      <c r="D1304" s="67"/>
      <c r="E1304" s="67"/>
      <c r="F1304" s="67"/>
      <c r="G1304" s="67"/>
      <c r="H1304" s="67"/>
      <c r="I1304" s="67"/>
      <c r="J1304" s="67"/>
      <c r="K1304" s="139"/>
      <c r="L1304" s="67"/>
      <c r="M1304" s="67"/>
      <c r="N1304" s="140"/>
      <c r="O1304" s="67"/>
      <c r="P1304" s="67"/>
      <c r="Q1304" s="67"/>
      <c r="R1304" s="67"/>
      <c r="S1304" s="140"/>
      <c r="T1304" s="67"/>
      <c r="U1304" s="67"/>
      <c r="V1304" s="67"/>
      <c r="W1304" s="67"/>
      <c r="X1304" s="67"/>
      <c r="Y1304" s="67"/>
      <c r="Z1304" s="67"/>
      <c r="AA1304" s="67"/>
      <c r="AB1304" s="67"/>
      <c r="AC1304" s="67"/>
      <c r="AD1304" s="67"/>
      <c r="AE1304" s="67"/>
      <c r="AF1304" s="67"/>
      <c r="AG1304" s="67"/>
      <c r="AH1304" s="67"/>
    </row>
    <row r="1305" ht="12.0" hidden="1" customHeight="1">
      <c r="A1305" s="67"/>
      <c r="B1305" s="67"/>
      <c r="C1305" s="67"/>
      <c r="D1305" s="67"/>
      <c r="E1305" s="67"/>
      <c r="F1305" s="67"/>
      <c r="G1305" s="67"/>
      <c r="H1305" s="67"/>
      <c r="I1305" s="67"/>
      <c r="J1305" s="67"/>
      <c r="K1305" s="139"/>
      <c r="L1305" s="67"/>
      <c r="M1305" s="67"/>
      <c r="N1305" s="140"/>
      <c r="O1305" s="67"/>
      <c r="P1305" s="67"/>
      <c r="Q1305" s="67"/>
      <c r="R1305" s="67"/>
      <c r="S1305" s="140"/>
      <c r="T1305" s="67"/>
      <c r="U1305" s="67"/>
      <c r="V1305" s="67"/>
      <c r="W1305" s="67"/>
      <c r="X1305" s="67"/>
      <c r="Y1305" s="67"/>
      <c r="Z1305" s="67"/>
      <c r="AA1305" s="67"/>
      <c r="AB1305" s="67"/>
      <c r="AC1305" s="67"/>
      <c r="AD1305" s="67"/>
      <c r="AE1305" s="67"/>
      <c r="AF1305" s="67"/>
      <c r="AG1305" s="67"/>
      <c r="AH1305" s="67"/>
    </row>
    <row r="1306" ht="12.0" hidden="1" customHeight="1">
      <c r="A1306" s="67"/>
      <c r="B1306" s="67"/>
      <c r="C1306" s="67"/>
      <c r="D1306" s="67"/>
      <c r="E1306" s="67"/>
      <c r="F1306" s="67"/>
      <c r="G1306" s="67"/>
      <c r="H1306" s="67"/>
      <c r="I1306" s="67"/>
      <c r="J1306" s="67"/>
      <c r="K1306" s="139"/>
      <c r="L1306" s="67"/>
      <c r="M1306" s="67"/>
      <c r="N1306" s="140"/>
      <c r="O1306" s="67"/>
      <c r="P1306" s="67"/>
      <c r="Q1306" s="67"/>
      <c r="R1306" s="67"/>
      <c r="S1306" s="140"/>
      <c r="T1306" s="67"/>
      <c r="U1306" s="67"/>
      <c r="V1306" s="67"/>
      <c r="W1306" s="67"/>
      <c r="X1306" s="67"/>
      <c r="Y1306" s="67"/>
      <c r="Z1306" s="67"/>
      <c r="AA1306" s="67"/>
      <c r="AB1306" s="67"/>
      <c r="AC1306" s="67"/>
      <c r="AD1306" s="67"/>
      <c r="AE1306" s="67"/>
      <c r="AF1306" s="67"/>
      <c r="AG1306" s="67"/>
      <c r="AH1306" s="67"/>
    </row>
    <row r="1307" ht="12.0" hidden="1" customHeight="1">
      <c r="A1307" s="67"/>
      <c r="B1307" s="67"/>
      <c r="C1307" s="67"/>
      <c r="D1307" s="67"/>
      <c r="E1307" s="67"/>
      <c r="F1307" s="67"/>
      <c r="G1307" s="67"/>
      <c r="H1307" s="67"/>
      <c r="I1307" s="67"/>
      <c r="J1307" s="67"/>
      <c r="K1307" s="139"/>
      <c r="L1307" s="67"/>
      <c r="M1307" s="67"/>
      <c r="N1307" s="140"/>
      <c r="O1307" s="67"/>
      <c r="P1307" s="67"/>
      <c r="Q1307" s="67"/>
      <c r="R1307" s="67"/>
      <c r="S1307" s="140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ht="12.0" hidden="1" customHeight="1">
      <c r="A1308" s="67"/>
      <c r="B1308" s="67"/>
      <c r="C1308" s="67"/>
      <c r="D1308" s="67"/>
      <c r="E1308" s="67"/>
      <c r="F1308" s="67"/>
      <c r="G1308" s="67"/>
      <c r="H1308" s="67"/>
      <c r="I1308" s="67"/>
      <c r="J1308" s="67"/>
      <c r="K1308" s="139"/>
      <c r="L1308" s="67"/>
      <c r="M1308" s="67"/>
      <c r="N1308" s="140"/>
      <c r="O1308" s="67"/>
      <c r="P1308" s="67"/>
      <c r="Q1308" s="67"/>
      <c r="R1308" s="67"/>
      <c r="S1308" s="140"/>
      <c r="T1308" s="67"/>
      <c r="U1308" s="67"/>
      <c r="V1308" s="67"/>
      <c r="W1308" s="67"/>
      <c r="X1308" s="67"/>
      <c r="Y1308" s="67"/>
      <c r="Z1308" s="67"/>
      <c r="AA1308" s="67"/>
      <c r="AB1308" s="67"/>
      <c r="AC1308" s="67"/>
      <c r="AD1308" s="67"/>
      <c r="AE1308" s="67"/>
      <c r="AF1308" s="67"/>
      <c r="AG1308" s="67"/>
      <c r="AH1308" s="67"/>
    </row>
    <row r="1309" ht="12.0" hidden="1" customHeight="1">
      <c r="A1309" s="67"/>
      <c r="B1309" s="67"/>
      <c r="C1309" s="67"/>
      <c r="D1309" s="67"/>
      <c r="E1309" s="67"/>
      <c r="F1309" s="67"/>
      <c r="G1309" s="67"/>
      <c r="H1309" s="67"/>
      <c r="I1309" s="67"/>
      <c r="J1309" s="67"/>
      <c r="K1309" s="139"/>
      <c r="L1309" s="67"/>
      <c r="M1309" s="67"/>
      <c r="N1309" s="140"/>
      <c r="O1309" s="67"/>
      <c r="P1309" s="67"/>
      <c r="Q1309" s="67"/>
      <c r="R1309" s="67"/>
      <c r="S1309" s="140"/>
      <c r="T1309" s="67"/>
      <c r="U1309" s="67"/>
      <c r="V1309" s="67"/>
      <c r="W1309" s="67"/>
      <c r="X1309" s="67"/>
      <c r="Y1309" s="67"/>
      <c r="Z1309" s="67"/>
      <c r="AA1309" s="67"/>
      <c r="AB1309" s="67"/>
      <c r="AC1309" s="67"/>
      <c r="AD1309" s="67"/>
      <c r="AE1309" s="67"/>
      <c r="AF1309" s="67"/>
      <c r="AG1309" s="67"/>
      <c r="AH1309" s="67"/>
    </row>
    <row r="1310" ht="12.0" hidden="1" customHeight="1">
      <c r="A1310" s="67"/>
      <c r="B1310" s="67"/>
      <c r="C1310" s="67"/>
      <c r="D1310" s="67"/>
      <c r="E1310" s="67"/>
      <c r="F1310" s="67"/>
      <c r="G1310" s="67"/>
      <c r="H1310" s="67"/>
      <c r="I1310" s="67"/>
      <c r="J1310" s="67"/>
      <c r="K1310" s="139"/>
      <c r="L1310" s="67"/>
      <c r="M1310" s="67"/>
      <c r="N1310" s="140"/>
      <c r="O1310" s="67"/>
      <c r="P1310" s="67"/>
      <c r="Q1310" s="67"/>
      <c r="R1310" s="67"/>
      <c r="S1310" s="140"/>
      <c r="T1310" s="67"/>
      <c r="U1310" s="67"/>
      <c r="V1310" s="67"/>
      <c r="W1310" s="67"/>
      <c r="X1310" s="67"/>
      <c r="Y1310" s="67"/>
      <c r="Z1310" s="67"/>
      <c r="AA1310" s="67"/>
      <c r="AB1310" s="67"/>
      <c r="AC1310" s="67"/>
      <c r="AD1310" s="67"/>
      <c r="AE1310" s="67"/>
      <c r="AF1310" s="67"/>
      <c r="AG1310" s="67"/>
      <c r="AH1310" s="67"/>
    </row>
    <row r="1311" ht="12.0" hidden="1" customHeight="1">
      <c r="A1311" s="67"/>
      <c r="B1311" s="67"/>
      <c r="C1311" s="67"/>
      <c r="D1311" s="67"/>
      <c r="E1311" s="67"/>
      <c r="F1311" s="67"/>
      <c r="G1311" s="67"/>
      <c r="H1311" s="67"/>
      <c r="I1311" s="67"/>
      <c r="J1311" s="67"/>
      <c r="K1311" s="139"/>
      <c r="L1311" s="67"/>
      <c r="M1311" s="67"/>
      <c r="N1311" s="140"/>
      <c r="O1311" s="67"/>
      <c r="P1311" s="67"/>
      <c r="Q1311" s="67"/>
      <c r="R1311" s="67"/>
      <c r="S1311" s="140"/>
      <c r="T1311" s="67"/>
      <c r="U1311" s="67"/>
      <c r="V1311" s="67"/>
      <c r="W1311" s="67"/>
      <c r="X1311" s="67"/>
      <c r="Y1311" s="67"/>
      <c r="Z1311" s="67"/>
      <c r="AA1311" s="67"/>
      <c r="AB1311" s="67"/>
      <c r="AC1311" s="67"/>
      <c r="AD1311" s="67"/>
      <c r="AE1311" s="67"/>
      <c r="AF1311" s="67"/>
      <c r="AG1311" s="67"/>
      <c r="AH1311" s="67"/>
    </row>
    <row r="1312" ht="12.0" hidden="1" customHeight="1">
      <c r="A1312" s="67"/>
      <c r="B1312" s="67"/>
      <c r="C1312" s="67"/>
      <c r="D1312" s="67"/>
      <c r="E1312" s="67"/>
      <c r="F1312" s="67"/>
      <c r="G1312" s="67"/>
      <c r="H1312" s="67"/>
      <c r="I1312" s="67"/>
      <c r="J1312" s="67"/>
      <c r="K1312" s="139"/>
      <c r="L1312" s="67"/>
      <c r="M1312" s="67"/>
      <c r="N1312" s="140"/>
      <c r="O1312" s="67"/>
      <c r="P1312" s="67"/>
      <c r="Q1312" s="67"/>
      <c r="R1312" s="67"/>
      <c r="S1312" s="140"/>
      <c r="T1312" s="67"/>
      <c r="U1312" s="67"/>
      <c r="V1312" s="67"/>
      <c r="W1312" s="67"/>
      <c r="X1312" s="67"/>
      <c r="Y1312" s="67"/>
      <c r="Z1312" s="67"/>
      <c r="AA1312" s="67"/>
      <c r="AB1312" s="67"/>
      <c r="AC1312" s="67"/>
      <c r="AD1312" s="67"/>
      <c r="AE1312" s="67"/>
      <c r="AF1312" s="67"/>
      <c r="AG1312" s="67"/>
      <c r="AH1312" s="67"/>
    </row>
    <row r="1313" ht="12.0" hidden="1" customHeight="1">
      <c r="A1313" s="67"/>
      <c r="B1313" s="67"/>
      <c r="C1313" s="67"/>
      <c r="D1313" s="67"/>
      <c r="E1313" s="67"/>
      <c r="F1313" s="67"/>
      <c r="G1313" s="67"/>
      <c r="H1313" s="67"/>
      <c r="I1313" s="67"/>
      <c r="J1313" s="67"/>
      <c r="K1313" s="139"/>
      <c r="L1313" s="67"/>
      <c r="M1313" s="67"/>
      <c r="N1313" s="140"/>
      <c r="O1313" s="67"/>
      <c r="P1313" s="67"/>
      <c r="Q1313" s="67"/>
      <c r="R1313" s="67"/>
      <c r="S1313" s="140"/>
      <c r="T1313" s="67"/>
      <c r="U1313" s="67"/>
      <c r="V1313" s="67"/>
      <c r="W1313" s="67"/>
      <c r="X1313" s="67"/>
      <c r="Y1313" s="67"/>
      <c r="Z1313" s="67"/>
      <c r="AA1313" s="67"/>
      <c r="AB1313" s="67"/>
      <c r="AC1313" s="67"/>
      <c r="AD1313" s="67"/>
      <c r="AE1313" s="67"/>
      <c r="AF1313" s="67"/>
      <c r="AG1313" s="67"/>
      <c r="AH1313" s="67"/>
    </row>
    <row r="1314" ht="12.0" hidden="1" customHeight="1">
      <c r="A1314" s="67"/>
      <c r="B1314" s="67"/>
      <c r="C1314" s="67"/>
      <c r="D1314" s="67"/>
      <c r="E1314" s="67"/>
      <c r="F1314" s="67"/>
      <c r="G1314" s="67"/>
      <c r="H1314" s="67"/>
      <c r="I1314" s="67"/>
      <c r="J1314" s="67"/>
      <c r="K1314" s="139"/>
      <c r="L1314" s="67"/>
      <c r="M1314" s="67"/>
      <c r="N1314" s="140"/>
      <c r="O1314" s="67"/>
      <c r="P1314" s="67"/>
      <c r="Q1314" s="67"/>
      <c r="R1314" s="67"/>
      <c r="S1314" s="140"/>
      <c r="T1314" s="67"/>
      <c r="U1314" s="67"/>
      <c r="V1314" s="67"/>
      <c r="W1314" s="67"/>
      <c r="X1314" s="67"/>
      <c r="Y1314" s="67"/>
      <c r="Z1314" s="67"/>
      <c r="AA1314" s="67"/>
      <c r="AB1314" s="67"/>
      <c r="AC1314" s="67"/>
      <c r="AD1314" s="67"/>
      <c r="AE1314" s="67"/>
      <c r="AF1314" s="67"/>
      <c r="AG1314" s="67"/>
      <c r="AH1314" s="67"/>
    </row>
    <row r="1315" ht="12.0" hidden="1" customHeight="1">
      <c r="A1315" s="67"/>
      <c r="B1315" s="67"/>
      <c r="C1315" s="67"/>
      <c r="D1315" s="67"/>
      <c r="E1315" s="67"/>
      <c r="F1315" s="67"/>
      <c r="G1315" s="67"/>
      <c r="H1315" s="67"/>
      <c r="I1315" s="67"/>
      <c r="J1315" s="67"/>
      <c r="K1315" s="139"/>
      <c r="L1315" s="67"/>
      <c r="M1315" s="67"/>
      <c r="N1315" s="140"/>
      <c r="O1315" s="67"/>
      <c r="P1315" s="67"/>
      <c r="Q1315" s="67"/>
      <c r="R1315" s="67"/>
      <c r="S1315" s="140"/>
      <c r="T1315" s="67"/>
      <c r="U1315" s="67"/>
      <c r="V1315" s="67"/>
      <c r="W1315" s="67"/>
      <c r="X1315" s="67"/>
      <c r="Y1315" s="67"/>
      <c r="Z1315" s="67"/>
      <c r="AA1315" s="67"/>
      <c r="AB1315" s="67"/>
      <c r="AC1315" s="67"/>
      <c r="AD1315" s="67"/>
      <c r="AE1315" s="67"/>
      <c r="AF1315" s="67"/>
      <c r="AG1315" s="67"/>
      <c r="AH1315" s="67"/>
    </row>
    <row r="1316" ht="12.0" hidden="1" customHeight="1">
      <c r="A1316" s="67"/>
      <c r="B1316" s="67"/>
      <c r="C1316" s="67"/>
      <c r="D1316" s="67"/>
      <c r="E1316" s="67"/>
      <c r="F1316" s="67"/>
      <c r="G1316" s="67"/>
      <c r="H1316" s="67"/>
      <c r="I1316" s="67"/>
      <c r="J1316" s="67"/>
      <c r="K1316" s="139"/>
      <c r="L1316" s="67"/>
      <c r="M1316" s="67"/>
      <c r="N1316" s="140"/>
      <c r="O1316" s="67"/>
      <c r="P1316" s="67"/>
      <c r="Q1316" s="67"/>
      <c r="R1316" s="67"/>
      <c r="S1316" s="140"/>
      <c r="T1316" s="67"/>
      <c r="U1316" s="67"/>
      <c r="V1316" s="67"/>
      <c r="W1316" s="67"/>
      <c r="X1316" s="67"/>
      <c r="Y1316" s="67"/>
      <c r="Z1316" s="67"/>
      <c r="AA1316" s="67"/>
      <c r="AB1316" s="67"/>
      <c r="AC1316" s="67"/>
      <c r="AD1316" s="67"/>
      <c r="AE1316" s="67"/>
      <c r="AF1316" s="67"/>
      <c r="AG1316" s="67"/>
      <c r="AH1316" s="67"/>
    </row>
    <row r="1317" ht="12.0" hidden="1" customHeight="1">
      <c r="A1317" s="67"/>
      <c r="B1317" s="67"/>
      <c r="C1317" s="67"/>
      <c r="D1317" s="67"/>
      <c r="E1317" s="67"/>
      <c r="F1317" s="67"/>
      <c r="G1317" s="67"/>
      <c r="H1317" s="67"/>
      <c r="I1317" s="67"/>
      <c r="J1317" s="67"/>
      <c r="K1317" s="139"/>
      <c r="L1317" s="67"/>
      <c r="M1317" s="67"/>
      <c r="N1317" s="140"/>
      <c r="O1317" s="67"/>
      <c r="P1317" s="67"/>
      <c r="Q1317" s="67"/>
      <c r="R1317" s="67"/>
      <c r="S1317" s="140"/>
      <c r="T1317" s="67"/>
      <c r="U1317" s="67"/>
      <c r="V1317" s="67"/>
      <c r="W1317" s="67"/>
      <c r="X1317" s="67"/>
      <c r="Y1317" s="67"/>
      <c r="Z1317" s="67"/>
      <c r="AA1317" s="67"/>
      <c r="AB1317" s="67"/>
      <c r="AC1317" s="67"/>
      <c r="AD1317" s="67"/>
      <c r="AE1317" s="67"/>
      <c r="AF1317" s="67"/>
      <c r="AG1317" s="67"/>
      <c r="AH1317" s="67"/>
    </row>
    <row r="1318" ht="12.0" hidden="1" customHeight="1">
      <c r="A1318" s="67"/>
      <c r="B1318" s="67"/>
      <c r="C1318" s="67"/>
      <c r="D1318" s="67"/>
      <c r="E1318" s="67"/>
      <c r="F1318" s="67"/>
      <c r="G1318" s="67"/>
      <c r="H1318" s="67"/>
      <c r="I1318" s="67"/>
      <c r="J1318" s="67"/>
      <c r="K1318" s="139"/>
      <c r="L1318" s="67"/>
      <c r="M1318" s="67"/>
      <c r="N1318" s="140"/>
      <c r="O1318" s="67"/>
      <c r="P1318" s="67"/>
      <c r="Q1318" s="67"/>
      <c r="R1318" s="67"/>
      <c r="S1318" s="140"/>
      <c r="T1318" s="67"/>
      <c r="U1318" s="67"/>
      <c r="V1318" s="67"/>
      <c r="W1318" s="67"/>
      <c r="X1318" s="67"/>
      <c r="Y1318" s="67"/>
      <c r="Z1318" s="67"/>
      <c r="AA1318" s="67"/>
      <c r="AB1318" s="67"/>
      <c r="AC1318" s="67"/>
      <c r="AD1318" s="67"/>
      <c r="AE1318" s="67"/>
      <c r="AF1318" s="67"/>
      <c r="AG1318" s="67"/>
      <c r="AH1318" s="67"/>
    </row>
    <row r="1319" ht="12.0" hidden="1" customHeight="1">
      <c r="A1319" s="67"/>
      <c r="B1319" s="67"/>
      <c r="C1319" s="67"/>
      <c r="D1319" s="67"/>
      <c r="E1319" s="67"/>
      <c r="F1319" s="67"/>
      <c r="G1319" s="67"/>
      <c r="H1319" s="67"/>
      <c r="I1319" s="67"/>
      <c r="J1319" s="67"/>
      <c r="K1319" s="139"/>
      <c r="L1319" s="67"/>
      <c r="M1319" s="67"/>
      <c r="N1319" s="140"/>
      <c r="O1319" s="67"/>
      <c r="P1319" s="67"/>
      <c r="Q1319" s="67"/>
      <c r="R1319" s="67"/>
      <c r="S1319" s="140"/>
      <c r="T1319" s="67"/>
      <c r="U1319" s="67"/>
      <c r="V1319" s="67"/>
      <c r="W1319" s="67"/>
      <c r="X1319" s="67"/>
      <c r="Y1319" s="67"/>
      <c r="Z1319" s="67"/>
      <c r="AA1319" s="67"/>
      <c r="AB1319" s="67"/>
      <c r="AC1319" s="67"/>
      <c r="AD1319" s="67"/>
      <c r="AE1319" s="67"/>
      <c r="AF1319" s="67"/>
      <c r="AG1319" s="67"/>
      <c r="AH1319" s="67"/>
    </row>
    <row r="1320" ht="12.0" hidden="1" customHeight="1">
      <c r="A1320" s="67"/>
      <c r="B1320" s="67"/>
      <c r="C1320" s="67"/>
      <c r="D1320" s="67"/>
      <c r="E1320" s="67"/>
      <c r="F1320" s="67"/>
      <c r="G1320" s="67"/>
      <c r="H1320" s="67"/>
      <c r="I1320" s="67"/>
      <c r="J1320" s="67"/>
      <c r="K1320" s="139"/>
      <c r="L1320" s="67"/>
      <c r="M1320" s="67"/>
      <c r="N1320" s="140"/>
      <c r="O1320" s="67"/>
      <c r="P1320" s="67"/>
      <c r="Q1320" s="67"/>
      <c r="R1320" s="67"/>
      <c r="S1320" s="140"/>
      <c r="T1320" s="67"/>
      <c r="U1320" s="67"/>
      <c r="V1320" s="67"/>
      <c r="W1320" s="67"/>
      <c r="X1320" s="67"/>
      <c r="Y1320" s="67"/>
      <c r="Z1320" s="67"/>
      <c r="AA1320" s="67"/>
      <c r="AB1320" s="67"/>
      <c r="AC1320" s="67"/>
      <c r="AD1320" s="67"/>
      <c r="AE1320" s="67"/>
      <c r="AF1320" s="67"/>
      <c r="AG1320" s="67"/>
      <c r="AH1320" s="67"/>
    </row>
    <row r="1321" ht="12.0" hidden="1" customHeight="1">
      <c r="A1321" s="67"/>
      <c r="B1321" s="67"/>
      <c r="C1321" s="67"/>
      <c r="D1321" s="67"/>
      <c r="E1321" s="67"/>
      <c r="F1321" s="67"/>
      <c r="G1321" s="67"/>
      <c r="H1321" s="67"/>
      <c r="I1321" s="67"/>
      <c r="J1321" s="67"/>
      <c r="K1321" s="139"/>
      <c r="L1321" s="67"/>
      <c r="M1321" s="67"/>
      <c r="N1321" s="140"/>
      <c r="O1321" s="67"/>
      <c r="P1321" s="67"/>
      <c r="Q1321" s="67"/>
      <c r="R1321" s="67"/>
      <c r="S1321" s="140"/>
      <c r="T1321" s="67"/>
      <c r="U1321" s="67"/>
      <c r="V1321" s="67"/>
      <c r="W1321" s="67"/>
      <c r="X1321" s="67"/>
      <c r="Y1321" s="67"/>
      <c r="Z1321" s="67"/>
      <c r="AA1321" s="67"/>
      <c r="AB1321" s="67"/>
      <c r="AC1321" s="67"/>
      <c r="AD1321" s="67"/>
      <c r="AE1321" s="67"/>
      <c r="AF1321" s="67"/>
      <c r="AG1321" s="67"/>
      <c r="AH1321" s="67"/>
    </row>
    <row r="1322" ht="12.0" hidden="1" customHeight="1">
      <c r="A1322" s="67"/>
      <c r="B1322" s="67"/>
      <c r="C1322" s="67"/>
      <c r="D1322" s="67"/>
      <c r="E1322" s="67"/>
      <c r="F1322" s="67"/>
      <c r="G1322" s="67"/>
      <c r="H1322" s="67"/>
      <c r="I1322" s="67"/>
      <c r="J1322" s="67"/>
      <c r="K1322" s="139"/>
      <c r="L1322" s="67"/>
      <c r="M1322" s="67"/>
      <c r="N1322" s="140"/>
      <c r="O1322" s="67"/>
      <c r="P1322" s="67"/>
      <c r="Q1322" s="67"/>
      <c r="R1322" s="67"/>
      <c r="S1322" s="140"/>
      <c r="T1322" s="67"/>
      <c r="U1322" s="67"/>
      <c r="V1322" s="67"/>
      <c r="W1322" s="67"/>
      <c r="X1322" s="67"/>
      <c r="Y1322" s="67"/>
      <c r="Z1322" s="67"/>
      <c r="AA1322" s="67"/>
      <c r="AB1322" s="67"/>
      <c r="AC1322" s="67"/>
      <c r="AD1322" s="67"/>
      <c r="AE1322" s="67"/>
      <c r="AF1322" s="67"/>
      <c r="AG1322" s="67"/>
      <c r="AH1322" s="67"/>
    </row>
    <row r="1323" ht="12.0" hidden="1" customHeight="1">
      <c r="A1323" s="67"/>
      <c r="B1323" s="67"/>
      <c r="C1323" s="67"/>
      <c r="D1323" s="67"/>
      <c r="E1323" s="67"/>
      <c r="F1323" s="67"/>
      <c r="G1323" s="67"/>
      <c r="H1323" s="67"/>
      <c r="I1323" s="67"/>
      <c r="J1323" s="67"/>
      <c r="K1323" s="139"/>
      <c r="L1323" s="67"/>
      <c r="M1323" s="67"/>
      <c r="N1323" s="140"/>
      <c r="O1323" s="67"/>
      <c r="P1323" s="67"/>
      <c r="Q1323" s="67"/>
      <c r="R1323" s="67"/>
      <c r="S1323" s="140"/>
      <c r="T1323" s="67"/>
      <c r="U1323" s="67"/>
      <c r="V1323" s="67"/>
      <c r="W1323" s="67"/>
      <c r="X1323" s="67"/>
      <c r="Y1323" s="67"/>
      <c r="Z1323" s="67"/>
      <c r="AA1323" s="67"/>
      <c r="AB1323" s="67"/>
      <c r="AC1323" s="67"/>
      <c r="AD1323" s="67"/>
      <c r="AE1323" s="67"/>
      <c r="AF1323" s="67"/>
      <c r="AG1323" s="67"/>
      <c r="AH1323" s="67"/>
    </row>
    <row r="1324" ht="12.0" hidden="1" customHeight="1">
      <c r="A1324" s="67"/>
      <c r="B1324" s="67"/>
      <c r="C1324" s="67"/>
      <c r="D1324" s="67"/>
      <c r="E1324" s="67"/>
      <c r="F1324" s="67"/>
      <c r="G1324" s="67"/>
      <c r="H1324" s="67"/>
      <c r="I1324" s="67"/>
      <c r="J1324" s="67"/>
      <c r="K1324" s="139"/>
      <c r="L1324" s="67"/>
      <c r="M1324" s="67"/>
      <c r="N1324" s="140"/>
      <c r="O1324" s="67"/>
      <c r="P1324" s="67"/>
      <c r="Q1324" s="67"/>
      <c r="R1324" s="67"/>
      <c r="S1324" s="140"/>
      <c r="T1324" s="67"/>
      <c r="U1324" s="67"/>
      <c r="V1324" s="67"/>
      <c r="W1324" s="67"/>
      <c r="X1324" s="67"/>
      <c r="Y1324" s="67"/>
      <c r="Z1324" s="67"/>
      <c r="AA1324" s="67"/>
      <c r="AB1324" s="67"/>
      <c r="AC1324" s="67"/>
      <c r="AD1324" s="67"/>
      <c r="AE1324" s="67"/>
      <c r="AF1324" s="67"/>
      <c r="AG1324" s="67"/>
      <c r="AH1324" s="67"/>
    </row>
    <row r="1325" ht="12.0" hidden="1" customHeight="1">
      <c r="A1325" s="67"/>
      <c r="B1325" s="67"/>
      <c r="C1325" s="67"/>
      <c r="D1325" s="67"/>
      <c r="E1325" s="67"/>
      <c r="F1325" s="67"/>
      <c r="G1325" s="67"/>
      <c r="H1325" s="67"/>
      <c r="I1325" s="67"/>
      <c r="J1325" s="67"/>
      <c r="K1325" s="139"/>
      <c r="L1325" s="67"/>
      <c r="M1325" s="67"/>
      <c r="N1325" s="140"/>
      <c r="O1325" s="67"/>
      <c r="P1325" s="67"/>
      <c r="Q1325" s="67"/>
      <c r="R1325" s="67"/>
      <c r="S1325" s="140"/>
      <c r="T1325" s="67"/>
      <c r="U1325" s="67"/>
      <c r="V1325" s="67"/>
      <c r="W1325" s="67"/>
      <c r="X1325" s="67"/>
      <c r="Y1325" s="67"/>
      <c r="Z1325" s="67"/>
      <c r="AA1325" s="67"/>
      <c r="AB1325" s="67"/>
      <c r="AC1325" s="67"/>
      <c r="AD1325" s="67"/>
      <c r="AE1325" s="67"/>
      <c r="AF1325" s="67"/>
      <c r="AG1325" s="67"/>
      <c r="AH1325" s="67"/>
    </row>
    <row r="1326" ht="12.0" hidden="1" customHeight="1">
      <c r="A1326" s="67"/>
      <c r="B1326" s="67"/>
      <c r="C1326" s="67"/>
      <c r="D1326" s="67"/>
      <c r="E1326" s="67"/>
      <c r="F1326" s="67"/>
      <c r="G1326" s="67"/>
      <c r="H1326" s="67"/>
      <c r="I1326" s="67"/>
      <c r="J1326" s="67"/>
      <c r="K1326" s="139"/>
      <c r="L1326" s="67"/>
      <c r="M1326" s="67"/>
      <c r="N1326" s="140"/>
      <c r="O1326" s="67"/>
      <c r="P1326" s="67"/>
      <c r="Q1326" s="67"/>
      <c r="R1326" s="67"/>
      <c r="S1326" s="140"/>
      <c r="T1326" s="67"/>
      <c r="U1326" s="67"/>
      <c r="V1326" s="67"/>
      <c r="W1326" s="67"/>
      <c r="X1326" s="67"/>
      <c r="Y1326" s="67"/>
      <c r="Z1326" s="67"/>
      <c r="AA1326" s="67"/>
      <c r="AB1326" s="67"/>
      <c r="AC1326" s="67"/>
      <c r="AD1326" s="67"/>
      <c r="AE1326" s="67"/>
      <c r="AF1326" s="67"/>
      <c r="AG1326" s="67"/>
      <c r="AH1326" s="67"/>
    </row>
    <row r="1327" ht="12.0" hidden="1" customHeight="1">
      <c r="A1327" s="67"/>
      <c r="B1327" s="67"/>
      <c r="C1327" s="67"/>
      <c r="D1327" s="67"/>
      <c r="E1327" s="67"/>
      <c r="F1327" s="67"/>
      <c r="G1327" s="67"/>
      <c r="H1327" s="67"/>
      <c r="I1327" s="67"/>
      <c r="J1327" s="67"/>
      <c r="K1327" s="139"/>
      <c r="L1327" s="67"/>
      <c r="M1327" s="67"/>
      <c r="N1327" s="140"/>
      <c r="O1327" s="67"/>
      <c r="P1327" s="67"/>
      <c r="Q1327" s="67"/>
      <c r="R1327" s="67"/>
      <c r="S1327" s="140"/>
      <c r="T1327" s="67"/>
      <c r="U1327" s="67"/>
      <c r="V1327" s="67"/>
      <c r="W1327" s="67"/>
      <c r="X1327" s="67"/>
      <c r="Y1327" s="67"/>
      <c r="Z1327" s="67"/>
      <c r="AA1327" s="67"/>
      <c r="AB1327" s="67"/>
      <c r="AC1327" s="67"/>
      <c r="AD1327" s="67"/>
      <c r="AE1327" s="67"/>
      <c r="AF1327" s="67"/>
      <c r="AG1327" s="67"/>
      <c r="AH1327" s="67"/>
    </row>
    <row r="1328" ht="12.0" hidden="1" customHeight="1">
      <c r="A1328" s="67"/>
      <c r="B1328" s="67"/>
      <c r="C1328" s="67"/>
      <c r="D1328" s="67"/>
      <c r="E1328" s="67"/>
      <c r="F1328" s="67"/>
      <c r="G1328" s="67"/>
      <c r="H1328" s="67"/>
      <c r="I1328" s="67"/>
      <c r="J1328" s="67"/>
      <c r="K1328" s="139"/>
      <c r="L1328" s="67"/>
      <c r="M1328" s="67"/>
      <c r="N1328" s="140"/>
      <c r="O1328" s="67"/>
      <c r="P1328" s="67"/>
      <c r="Q1328" s="67"/>
      <c r="R1328" s="67"/>
      <c r="S1328" s="140"/>
      <c r="T1328" s="67"/>
      <c r="U1328" s="67"/>
      <c r="V1328" s="67"/>
      <c r="W1328" s="67"/>
      <c r="X1328" s="67"/>
      <c r="Y1328" s="67"/>
      <c r="Z1328" s="67"/>
      <c r="AA1328" s="67"/>
      <c r="AB1328" s="67"/>
      <c r="AC1328" s="67"/>
      <c r="AD1328" s="67"/>
      <c r="AE1328" s="67"/>
      <c r="AF1328" s="67"/>
      <c r="AG1328" s="67"/>
      <c r="AH1328" s="67"/>
    </row>
    <row r="1329" ht="12.0" hidden="1" customHeight="1">
      <c r="A1329" s="67"/>
      <c r="B1329" s="67"/>
      <c r="C1329" s="67"/>
      <c r="D1329" s="67"/>
      <c r="E1329" s="67"/>
      <c r="F1329" s="67"/>
      <c r="G1329" s="67"/>
      <c r="H1329" s="67"/>
      <c r="I1329" s="67"/>
      <c r="J1329" s="67"/>
      <c r="K1329" s="139"/>
      <c r="L1329" s="67"/>
      <c r="M1329" s="67"/>
      <c r="N1329" s="140"/>
      <c r="O1329" s="67"/>
      <c r="P1329" s="67"/>
      <c r="Q1329" s="67"/>
      <c r="R1329" s="67"/>
      <c r="S1329" s="140"/>
      <c r="T1329" s="67"/>
      <c r="U1329" s="67"/>
      <c r="V1329" s="67"/>
      <c r="W1329" s="67"/>
      <c r="X1329" s="67"/>
      <c r="Y1329" s="67"/>
      <c r="Z1329" s="67"/>
      <c r="AA1329" s="67"/>
      <c r="AB1329" s="67"/>
      <c r="AC1329" s="67"/>
      <c r="AD1329" s="67"/>
      <c r="AE1329" s="67"/>
      <c r="AF1329" s="67"/>
      <c r="AG1329" s="67"/>
      <c r="AH1329" s="67"/>
    </row>
    <row r="1330" ht="12.0" hidden="1" customHeight="1">
      <c r="A1330" s="67"/>
      <c r="B1330" s="67"/>
      <c r="C1330" s="67"/>
      <c r="D1330" s="67"/>
      <c r="E1330" s="67"/>
      <c r="F1330" s="67"/>
      <c r="G1330" s="67"/>
      <c r="H1330" s="67"/>
      <c r="I1330" s="67"/>
      <c r="J1330" s="67"/>
      <c r="K1330" s="139"/>
      <c r="L1330" s="67"/>
      <c r="M1330" s="67"/>
      <c r="N1330" s="140"/>
      <c r="O1330" s="67"/>
      <c r="P1330" s="67"/>
      <c r="Q1330" s="67"/>
      <c r="R1330" s="67"/>
      <c r="S1330" s="140"/>
      <c r="T1330" s="67"/>
      <c r="U1330" s="67"/>
      <c r="V1330" s="67"/>
      <c r="W1330" s="67"/>
      <c r="X1330" s="67"/>
      <c r="Y1330" s="67"/>
      <c r="Z1330" s="67"/>
      <c r="AA1330" s="67"/>
      <c r="AB1330" s="67"/>
      <c r="AC1330" s="67"/>
      <c r="AD1330" s="67"/>
      <c r="AE1330" s="67"/>
      <c r="AF1330" s="67"/>
      <c r="AG1330" s="67"/>
      <c r="AH1330" s="67"/>
    </row>
    <row r="1331" ht="12.0" hidden="1" customHeight="1">
      <c r="A1331" s="67"/>
      <c r="B1331" s="67"/>
      <c r="C1331" s="67"/>
      <c r="D1331" s="67"/>
      <c r="E1331" s="67"/>
      <c r="F1331" s="67"/>
      <c r="G1331" s="67"/>
      <c r="H1331" s="67"/>
      <c r="I1331" s="67"/>
      <c r="J1331" s="67"/>
      <c r="K1331" s="139"/>
      <c r="L1331" s="67"/>
      <c r="M1331" s="67"/>
      <c r="N1331" s="140"/>
      <c r="O1331" s="67"/>
      <c r="P1331" s="67"/>
      <c r="Q1331" s="67"/>
      <c r="R1331" s="67"/>
      <c r="S1331" s="140"/>
      <c r="T1331" s="67"/>
      <c r="U1331" s="67"/>
      <c r="V1331" s="67"/>
      <c r="W1331" s="67"/>
      <c r="X1331" s="67"/>
      <c r="Y1331" s="67"/>
      <c r="Z1331" s="67"/>
      <c r="AA1331" s="67"/>
      <c r="AB1331" s="67"/>
      <c r="AC1331" s="67"/>
      <c r="AD1331" s="67"/>
      <c r="AE1331" s="67"/>
      <c r="AF1331" s="67"/>
      <c r="AG1331" s="67"/>
      <c r="AH1331" s="67"/>
    </row>
    <row r="1332" ht="12.0" hidden="1" customHeight="1">
      <c r="A1332" s="67"/>
      <c r="B1332" s="67"/>
      <c r="C1332" s="67"/>
      <c r="D1332" s="67"/>
      <c r="E1332" s="67"/>
      <c r="F1332" s="67"/>
      <c r="G1332" s="67"/>
      <c r="H1332" s="67"/>
      <c r="I1332" s="67"/>
      <c r="J1332" s="67"/>
      <c r="K1332" s="139"/>
      <c r="L1332" s="67"/>
      <c r="M1332" s="67"/>
      <c r="N1332" s="140"/>
      <c r="O1332" s="67"/>
      <c r="P1332" s="67"/>
      <c r="Q1332" s="67"/>
      <c r="R1332" s="67"/>
      <c r="S1332" s="140"/>
      <c r="T1332" s="67"/>
      <c r="U1332" s="67"/>
      <c r="V1332" s="67"/>
      <c r="W1332" s="67"/>
      <c r="X1332" s="67"/>
      <c r="Y1332" s="67"/>
      <c r="Z1332" s="67"/>
      <c r="AA1332" s="67"/>
      <c r="AB1332" s="67"/>
      <c r="AC1332" s="67"/>
      <c r="AD1332" s="67"/>
      <c r="AE1332" s="67"/>
      <c r="AF1332" s="67"/>
      <c r="AG1332" s="67"/>
      <c r="AH1332" s="67"/>
    </row>
    <row r="1333" ht="12.0" hidden="1" customHeight="1">
      <c r="A1333" s="67"/>
      <c r="B1333" s="67"/>
      <c r="C1333" s="67"/>
      <c r="D1333" s="67"/>
      <c r="E1333" s="67"/>
      <c r="F1333" s="67"/>
      <c r="G1333" s="67"/>
      <c r="H1333" s="67"/>
      <c r="I1333" s="67"/>
      <c r="J1333" s="67"/>
      <c r="K1333" s="139"/>
      <c r="L1333" s="67"/>
      <c r="M1333" s="67"/>
      <c r="N1333" s="140"/>
      <c r="O1333" s="67"/>
      <c r="P1333" s="67"/>
      <c r="Q1333" s="67"/>
      <c r="R1333" s="67"/>
      <c r="S1333" s="140"/>
      <c r="T1333" s="67"/>
      <c r="U1333" s="67"/>
      <c r="V1333" s="67"/>
      <c r="W1333" s="67"/>
      <c r="X1333" s="67"/>
      <c r="Y1333" s="67"/>
      <c r="Z1333" s="67"/>
      <c r="AA1333" s="67"/>
      <c r="AB1333" s="67"/>
      <c r="AC1333" s="67"/>
      <c r="AD1333" s="67"/>
      <c r="AE1333" s="67"/>
      <c r="AF1333" s="67"/>
      <c r="AG1333" s="67"/>
      <c r="AH1333" s="67"/>
    </row>
    <row r="1334" ht="12.0" hidden="1" customHeight="1">
      <c r="A1334" s="67"/>
      <c r="B1334" s="67"/>
      <c r="C1334" s="67"/>
      <c r="D1334" s="67"/>
      <c r="E1334" s="67"/>
      <c r="F1334" s="67"/>
      <c r="G1334" s="67"/>
      <c r="H1334" s="67"/>
      <c r="I1334" s="67"/>
      <c r="J1334" s="67"/>
      <c r="K1334" s="139"/>
      <c r="L1334" s="67"/>
      <c r="M1334" s="67"/>
      <c r="N1334" s="140"/>
      <c r="O1334" s="67"/>
      <c r="P1334" s="67"/>
      <c r="Q1334" s="67"/>
      <c r="R1334" s="67"/>
      <c r="S1334" s="140"/>
      <c r="T1334" s="67"/>
      <c r="U1334" s="67"/>
      <c r="V1334" s="67"/>
      <c r="W1334" s="67"/>
      <c r="X1334" s="67"/>
      <c r="Y1334" s="67"/>
      <c r="Z1334" s="67"/>
      <c r="AA1334" s="67"/>
      <c r="AB1334" s="67"/>
      <c r="AC1334" s="67"/>
      <c r="AD1334" s="67"/>
      <c r="AE1334" s="67"/>
      <c r="AF1334" s="67"/>
      <c r="AG1334" s="67"/>
      <c r="AH1334" s="67"/>
    </row>
    <row r="1335" ht="12.0" hidden="1" customHeight="1">
      <c r="A1335" s="67"/>
      <c r="B1335" s="67"/>
      <c r="C1335" s="67"/>
      <c r="D1335" s="67"/>
      <c r="E1335" s="67"/>
      <c r="F1335" s="67"/>
      <c r="G1335" s="67"/>
      <c r="H1335" s="67"/>
      <c r="I1335" s="67"/>
      <c r="J1335" s="67"/>
      <c r="K1335" s="139"/>
      <c r="L1335" s="67"/>
      <c r="M1335" s="67"/>
      <c r="N1335" s="140"/>
      <c r="O1335" s="67"/>
      <c r="P1335" s="67"/>
      <c r="Q1335" s="67"/>
      <c r="R1335" s="67"/>
      <c r="S1335" s="140"/>
      <c r="T1335" s="67"/>
      <c r="U1335" s="67"/>
      <c r="V1335" s="67"/>
      <c r="W1335" s="67"/>
      <c r="X1335" s="67"/>
      <c r="Y1335" s="67"/>
      <c r="Z1335" s="67"/>
      <c r="AA1335" s="67"/>
      <c r="AB1335" s="67"/>
      <c r="AC1335" s="67"/>
      <c r="AD1335" s="67"/>
      <c r="AE1335" s="67"/>
      <c r="AF1335" s="67"/>
      <c r="AG1335" s="67"/>
      <c r="AH1335" s="67"/>
    </row>
  </sheetData>
  <autoFilter ref="$A$1:$X$1335">
    <filterColumn colId="4">
      <filters>
        <filter val="N"/>
      </filters>
    </filterColumn>
    <sortState ref="A1:X1335">
      <sortCondition ref="J1:J1335"/>
      <sortCondition ref="K1:K1335"/>
      <sortCondition ref="A1:A1335"/>
      <sortCondition ref="B1:B1335"/>
      <sortCondition ref="C1:C1335"/>
      <sortCondition ref="D1:D1335"/>
      <sortCondition ref="G1:G1335"/>
    </sortState>
  </autoFilter>
  <customSheetViews>
    <customSheetView guid="{5FAE0136-8AC0-4D7B-A499-05A6A5796A7A}" filter="1" showAutoFilter="1">
      <autoFilter ref="$A$1:$X$591"/>
      <extLst>
        <ext uri="GoogleSheetsCustomDataVersion1">
          <go:sheetsCustomData xmlns:go="http://customooxmlschemas.google.com/" filterViewId="772191746"/>
        </ext>
      </extLst>
    </customSheetView>
  </customSheetViews>
  <conditionalFormatting sqref="A54:A62">
    <cfRule type="expression" dxfId="3" priority="1">
      <formula>#REF!="No"</formula>
    </cfRule>
  </conditionalFormatting>
  <conditionalFormatting sqref="A52:A53">
    <cfRule type="expression" dxfId="3" priority="2">
      <formula>#REF!="No"</formula>
    </cfRule>
  </conditionalFormatting>
  <conditionalFormatting sqref="D96:H99 I96 K96 O96:O99 P96">
    <cfRule type="expression" dxfId="3" priority="3">
      <formula>#REF!="No"</formula>
    </cfRule>
  </conditionalFormatting>
  <conditionalFormatting sqref="A2:A564 B2:B591 C2:C564 D2:N591 O2:X590 A566:A591 C566:C591">
    <cfRule type="expression" dxfId="4" priority="4">
      <formula>#REF!=0</formula>
    </cfRule>
  </conditionalFormatting>
  <conditionalFormatting sqref="A2:A564 B2:B591 C2:C564 D2:N591 O2:X590 A566:A591 C566:C591">
    <cfRule type="expression" dxfId="7" priority="5">
      <formula>$U2="Missing"</formula>
    </cfRule>
  </conditionalFormatting>
  <conditionalFormatting sqref="A2:A564 B2:B591 C2:C564 D2:N591 O2:X590 A566:A591 C566:C591">
    <cfRule type="expression" dxfId="5" priority="6">
      <formula>$U2="Lent"</formula>
    </cfRule>
  </conditionalFormatting>
  <conditionalFormatting sqref="A565">
    <cfRule type="expression" dxfId="5" priority="7">
      <formula>$U565="Lent"</formula>
    </cfRule>
  </conditionalFormatting>
  <conditionalFormatting sqref="A565">
    <cfRule type="expression" dxfId="6" priority="8">
      <formula>$U565="Missing"</formula>
    </cfRule>
  </conditionalFormatting>
  <conditionalFormatting sqref="A565">
    <cfRule type="expression" dxfId="4" priority="9">
      <formula>#REF!=0</formula>
    </cfRule>
  </conditionalFormatting>
  <conditionalFormatting sqref="C565">
    <cfRule type="expression" dxfId="5" priority="10">
      <formula>$U565="Lent"</formula>
    </cfRule>
  </conditionalFormatting>
  <conditionalFormatting sqref="C565">
    <cfRule type="expression" dxfId="6" priority="11">
      <formula>$U565="Missing"</formula>
    </cfRule>
  </conditionalFormatting>
  <conditionalFormatting sqref="C565">
    <cfRule type="expression" dxfId="4" priority="12">
      <formula>#REF!=0</formula>
    </cfRule>
  </conditionalFormatting>
  <conditionalFormatting sqref="J2:K591 O2:S590 N159:N166 M220:M225 L320">
    <cfRule type="containsBlanks" dxfId="8" priority="13">
      <formula>LEN(TRIM(J2))=0</formula>
    </cfRule>
  </conditionalFormatting>
  <conditionalFormatting sqref="G2:I591 O2:S590 J73:K79 M220:M225 L320">
    <cfRule type="expression" dxfId="8" priority="14">
      <formula>$F2="No"</formula>
    </cfRule>
  </conditionalFormatting>
  <dataValidations>
    <dataValidation type="list" allowBlank="1" showErrorMessage="1" sqref="F2:F13 F15:F591">
      <formula1>'Sheet Dynamics'!$B$5:$C$5</formula1>
    </dataValidation>
    <dataValidation type="list" allowBlank="1" showErrorMessage="1" sqref="U2:U13 U15:U591">
      <formula1>'Sheet Dynamics'!$B$2:$D$2</formula1>
    </dataValidation>
    <dataValidation type="list" allowBlank="1" showErrorMessage="1" sqref="T2:T13 T15:T591">
      <formula1>'Sheet Dynamics'!$B$4:$C$4</formula1>
    </dataValidation>
  </dataValidations>
  <hyperlinks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S59"/>
    <hyperlink r:id="rId59" ref="N60"/>
    <hyperlink r:id="rId60" ref="S60"/>
    <hyperlink r:id="rId61" ref="S61"/>
    <hyperlink r:id="rId62" ref="S62"/>
    <hyperlink r:id="rId63" ref="N63"/>
    <hyperlink r:id="rId64" ref="S63"/>
    <hyperlink r:id="rId65" ref="N64"/>
    <hyperlink r:id="rId66" ref="S64"/>
    <hyperlink r:id="rId67" ref="N65"/>
    <hyperlink r:id="rId68" ref="S65"/>
    <hyperlink r:id="rId69" ref="N66"/>
    <hyperlink r:id="rId70" ref="N67"/>
    <hyperlink r:id="rId71" ref="N68"/>
    <hyperlink r:id="rId72" ref="N69"/>
    <hyperlink r:id="rId73" ref="N70"/>
    <hyperlink r:id="rId74" ref="N71"/>
    <hyperlink r:id="rId75" ref="N72"/>
    <hyperlink r:id="rId76" ref="N73"/>
    <hyperlink r:id="rId77" ref="N74"/>
    <hyperlink r:id="rId78" ref="N75"/>
    <hyperlink r:id="rId79" ref="N76"/>
    <hyperlink r:id="rId80" ref="N77"/>
    <hyperlink r:id="rId81" ref="N78"/>
    <hyperlink r:id="rId82" ref="N79"/>
    <hyperlink r:id="rId83" ref="N80"/>
    <hyperlink r:id="rId84" ref="N81"/>
    <hyperlink r:id="rId85" ref="N82"/>
    <hyperlink r:id="rId86" ref="N83"/>
    <hyperlink r:id="rId87" ref="N89"/>
    <hyperlink r:id="rId88" ref="N90"/>
    <hyperlink r:id="rId89" ref="N91"/>
    <hyperlink r:id="rId90" ref="N92"/>
    <hyperlink r:id="rId91" ref="N93"/>
    <hyperlink r:id="rId92" ref="N94"/>
    <hyperlink r:id="rId93" ref="N95"/>
    <hyperlink r:id="rId94" ref="S95"/>
    <hyperlink r:id="rId95" ref="N96"/>
    <hyperlink r:id="rId96" ref="N97"/>
    <hyperlink r:id="rId97" ref="N98"/>
    <hyperlink r:id="rId98" ref="N99"/>
    <hyperlink r:id="rId99" ref="N100"/>
    <hyperlink r:id="rId100" ref="S100"/>
    <hyperlink r:id="rId101" ref="N101"/>
    <hyperlink r:id="rId102" ref="S101"/>
    <hyperlink r:id="rId103" ref="N102"/>
    <hyperlink r:id="rId104" ref="S102"/>
    <hyperlink r:id="rId105" ref="N103"/>
    <hyperlink r:id="rId106" ref="S103"/>
    <hyperlink r:id="rId107" ref="S104"/>
    <hyperlink r:id="rId108" ref="N105"/>
    <hyperlink r:id="rId109" ref="S105"/>
    <hyperlink r:id="rId110" ref="N106"/>
    <hyperlink r:id="rId111" ref="N107"/>
    <hyperlink r:id="rId112" ref="N108"/>
    <hyperlink r:id="rId113" ref="N109"/>
    <hyperlink r:id="rId114" ref="N110"/>
    <hyperlink r:id="rId115" ref="N111"/>
    <hyperlink r:id="rId116" ref="S111"/>
    <hyperlink r:id="rId117" ref="N112"/>
    <hyperlink r:id="rId118" ref="N113"/>
    <hyperlink r:id="rId119" ref="S113"/>
    <hyperlink r:id="rId120" ref="N114"/>
    <hyperlink r:id="rId121" ref="N115"/>
    <hyperlink r:id="rId122" ref="N116"/>
    <hyperlink r:id="rId123" ref="N117"/>
    <hyperlink r:id="rId124" ref="N119"/>
    <hyperlink r:id="rId125" ref="N120"/>
    <hyperlink r:id="rId126" ref="N125"/>
    <hyperlink r:id="rId127" ref="N126"/>
    <hyperlink r:id="rId128" ref="N127"/>
    <hyperlink r:id="rId129" ref="N128"/>
    <hyperlink r:id="rId130" ref="N129"/>
    <hyperlink r:id="rId131" ref="N130"/>
    <hyperlink r:id="rId132" ref="N131"/>
    <hyperlink r:id="rId133" ref="N132"/>
    <hyperlink r:id="rId134" ref="N133"/>
    <hyperlink r:id="rId135" ref="N134"/>
    <hyperlink r:id="rId136" ref="N135"/>
    <hyperlink r:id="rId137" ref="N136"/>
    <hyperlink r:id="rId138" ref="N137"/>
    <hyperlink r:id="rId139" ref="N138"/>
    <hyperlink r:id="rId140" ref="N139"/>
    <hyperlink r:id="rId141" ref="N140"/>
    <hyperlink r:id="rId142" ref="N141"/>
    <hyperlink r:id="rId143" ref="N142"/>
    <hyperlink r:id="rId144" ref="N143"/>
    <hyperlink r:id="rId145" ref="N144"/>
    <hyperlink r:id="rId146" ref="N145"/>
    <hyperlink r:id="rId147" ref="N146"/>
    <hyperlink r:id="rId148" ref="N147"/>
    <hyperlink r:id="rId149" ref="N154"/>
    <hyperlink r:id="rId150" ref="S154"/>
    <hyperlink r:id="rId151" ref="N155"/>
    <hyperlink r:id="rId152" ref="N156"/>
    <hyperlink r:id="rId153" ref="S156"/>
    <hyperlink r:id="rId154" ref="N157"/>
    <hyperlink r:id="rId155" ref="S157"/>
    <hyperlink r:id="rId156" ref="N160"/>
    <hyperlink r:id="rId157" ref="N161"/>
    <hyperlink r:id="rId158" ref="N162"/>
    <hyperlink r:id="rId159" ref="N163"/>
    <hyperlink r:id="rId160" ref="N164"/>
    <hyperlink r:id="rId161" ref="N165"/>
    <hyperlink r:id="rId162" ref="N168"/>
    <hyperlink r:id="rId163" ref="N169"/>
    <hyperlink r:id="rId164" ref="N170"/>
    <hyperlink r:id="rId165" ref="N171"/>
    <hyperlink r:id="rId166" ref="N172"/>
    <hyperlink r:id="rId167" ref="N173"/>
    <hyperlink r:id="rId168" ref="N181"/>
    <hyperlink r:id="rId169" ref="S181"/>
    <hyperlink r:id="rId170" ref="N184"/>
    <hyperlink r:id="rId171" ref="N185"/>
    <hyperlink r:id="rId172" ref="N186"/>
    <hyperlink r:id="rId173" ref="N187"/>
    <hyperlink r:id="rId174" ref="N188"/>
    <hyperlink r:id="rId175" ref="N189"/>
    <hyperlink r:id="rId176" ref="N190"/>
    <hyperlink r:id="rId177" ref="N194"/>
    <hyperlink r:id="rId178" ref="N197"/>
    <hyperlink r:id="rId179" ref="N198"/>
    <hyperlink r:id="rId180" ref="N199"/>
    <hyperlink r:id="rId181" ref="N200"/>
    <hyperlink r:id="rId182" ref="N203"/>
    <hyperlink r:id="rId183" ref="N206"/>
    <hyperlink r:id="rId184" ref="N207"/>
    <hyperlink r:id="rId185" ref="S207"/>
    <hyperlink r:id="rId186" ref="N208"/>
    <hyperlink r:id="rId187" ref="S208"/>
    <hyperlink r:id="rId188" ref="N209"/>
    <hyperlink r:id="rId189" ref="N210"/>
    <hyperlink r:id="rId190" ref="N211"/>
    <hyperlink r:id="rId191" ref="N212"/>
    <hyperlink r:id="rId192" ref="N213"/>
    <hyperlink r:id="rId193" ref="N214"/>
    <hyperlink r:id="rId194" ref="N215"/>
    <hyperlink r:id="rId195" ref="N216"/>
    <hyperlink r:id="rId196" ref="N217"/>
    <hyperlink r:id="rId197" ref="N218"/>
    <hyperlink r:id="rId198" ref="N219"/>
    <hyperlink r:id="rId199" ref="N220"/>
    <hyperlink r:id="rId200" ref="N221"/>
    <hyperlink r:id="rId201" ref="N222"/>
    <hyperlink r:id="rId202" ref="N223"/>
    <hyperlink r:id="rId203" ref="N225"/>
    <hyperlink r:id="rId204" ref="N226"/>
    <hyperlink r:id="rId205" ref="N227"/>
    <hyperlink r:id="rId206" ref="N228"/>
    <hyperlink r:id="rId207" ref="N229"/>
    <hyperlink r:id="rId208" ref="N232"/>
    <hyperlink r:id="rId209" ref="S232"/>
    <hyperlink r:id="rId210" ref="N233"/>
    <hyperlink r:id="rId211" ref="S233"/>
    <hyperlink r:id="rId212" ref="S238"/>
    <hyperlink r:id="rId213" ref="S239"/>
    <hyperlink r:id="rId214" ref="N240"/>
    <hyperlink r:id="rId215" ref="S240"/>
    <hyperlink r:id="rId216" ref="N241"/>
    <hyperlink r:id="rId217" ref="N242"/>
    <hyperlink r:id="rId218" ref="N243"/>
    <hyperlink r:id="rId219" ref="N244"/>
    <hyperlink r:id="rId220" ref="N245"/>
    <hyperlink r:id="rId221" ref="N246"/>
    <hyperlink r:id="rId222" ref="N247"/>
    <hyperlink r:id="rId223" ref="N248"/>
    <hyperlink r:id="rId224" ref="N249"/>
    <hyperlink r:id="rId225" ref="N250"/>
    <hyperlink r:id="rId226" ref="N251"/>
    <hyperlink r:id="rId227" ref="N252"/>
    <hyperlink r:id="rId228" ref="N253"/>
    <hyperlink r:id="rId229" ref="N254"/>
    <hyperlink r:id="rId230" ref="N255"/>
    <hyperlink r:id="rId231" ref="N256"/>
    <hyperlink r:id="rId232" ref="N257"/>
    <hyperlink r:id="rId233" ref="N258"/>
    <hyperlink r:id="rId234" ref="N259"/>
    <hyperlink r:id="rId235" ref="N260"/>
    <hyperlink r:id="rId236" ref="N261"/>
    <hyperlink r:id="rId237" ref="N262"/>
    <hyperlink r:id="rId238" ref="N263"/>
    <hyperlink r:id="rId239" ref="N264"/>
    <hyperlink r:id="rId240" ref="S267"/>
    <hyperlink r:id="rId241" ref="N268"/>
    <hyperlink r:id="rId242" ref="S268"/>
    <hyperlink r:id="rId243" ref="N269"/>
    <hyperlink r:id="rId244" ref="S269"/>
    <hyperlink r:id="rId245" ref="N270"/>
    <hyperlink r:id="rId246" ref="N271"/>
    <hyperlink r:id="rId247" ref="S271"/>
    <hyperlink r:id="rId248" ref="N274"/>
    <hyperlink r:id="rId249" ref="N275"/>
    <hyperlink r:id="rId250" ref="N276"/>
    <hyperlink r:id="rId251" ref="N277"/>
    <hyperlink r:id="rId252" ref="N278"/>
    <hyperlink r:id="rId253" ref="N279"/>
    <hyperlink r:id="rId254" ref="N285"/>
    <hyperlink r:id="rId255" ref="N286"/>
    <hyperlink r:id="rId256" ref="N287"/>
    <hyperlink r:id="rId257" ref="N288"/>
    <hyperlink r:id="rId258" ref="N289"/>
    <hyperlink r:id="rId259" ref="N290"/>
    <hyperlink r:id="rId260" ref="N291"/>
    <hyperlink r:id="rId261" ref="N298"/>
    <hyperlink r:id="rId262" ref="N299"/>
    <hyperlink r:id="rId263" ref="N300"/>
    <hyperlink r:id="rId264" ref="N303"/>
    <hyperlink r:id="rId265" ref="N304"/>
    <hyperlink r:id="rId266" ref="N305"/>
    <hyperlink r:id="rId267" ref="N306"/>
    <hyperlink r:id="rId268" ref="N307"/>
    <hyperlink r:id="rId269" ref="N308"/>
    <hyperlink r:id="rId270" ref="N309"/>
    <hyperlink r:id="rId271" ref="N311"/>
    <hyperlink r:id="rId272" ref="N312"/>
    <hyperlink r:id="rId273" ref="S312"/>
    <hyperlink r:id="rId274" ref="N313"/>
    <hyperlink r:id="rId275" ref="N314"/>
    <hyperlink r:id="rId276" ref="N315"/>
    <hyperlink r:id="rId277" ref="N316"/>
    <hyperlink r:id="rId278" ref="N317"/>
    <hyperlink r:id="rId279" ref="N318"/>
    <hyperlink r:id="rId280" ref="N319"/>
    <hyperlink r:id="rId281" ref="S319"/>
    <hyperlink r:id="rId282" ref="N320"/>
    <hyperlink r:id="rId283" ref="S320"/>
    <hyperlink r:id="rId284" ref="N321"/>
    <hyperlink r:id="rId285" ref="S321"/>
    <hyperlink r:id="rId286" ref="N322"/>
    <hyperlink r:id="rId287" ref="S322"/>
    <hyperlink r:id="rId288" ref="N323"/>
    <hyperlink r:id="rId289" ref="S323"/>
    <hyperlink r:id="rId290" ref="N324"/>
    <hyperlink r:id="rId291" ref="S324"/>
    <hyperlink r:id="rId292" ref="N325"/>
    <hyperlink r:id="rId293" ref="S325"/>
    <hyperlink r:id="rId294" ref="N326"/>
    <hyperlink r:id="rId295" ref="S326"/>
    <hyperlink r:id="rId296" ref="N327"/>
    <hyperlink r:id="rId297" ref="N328"/>
    <hyperlink r:id="rId298" ref="N329"/>
    <hyperlink r:id="rId299" ref="N330"/>
    <hyperlink r:id="rId300" ref="N331"/>
    <hyperlink r:id="rId301" ref="N332"/>
    <hyperlink r:id="rId302" ref="N333"/>
    <hyperlink r:id="rId303" ref="N334"/>
    <hyperlink r:id="rId304" ref="N335"/>
    <hyperlink r:id="rId305" ref="N336"/>
    <hyperlink r:id="rId306" ref="N337"/>
    <hyperlink r:id="rId307" ref="N338"/>
    <hyperlink r:id="rId308" ref="N339"/>
    <hyperlink r:id="rId309" ref="N340"/>
    <hyperlink r:id="rId310" ref="N341"/>
    <hyperlink r:id="rId311" ref="N342"/>
    <hyperlink r:id="rId312" ref="N343"/>
    <hyperlink r:id="rId313" ref="N344"/>
    <hyperlink r:id="rId314" ref="N345"/>
    <hyperlink r:id="rId315" ref="N346"/>
    <hyperlink r:id="rId316" ref="N347"/>
    <hyperlink r:id="rId317" ref="N348"/>
    <hyperlink r:id="rId318" ref="N349"/>
    <hyperlink r:id="rId319" ref="N350"/>
    <hyperlink r:id="rId320" ref="N351"/>
    <hyperlink r:id="rId321" ref="N354"/>
    <hyperlink r:id="rId322" ref="N355"/>
    <hyperlink r:id="rId323" ref="N356"/>
    <hyperlink r:id="rId324" ref="N357"/>
    <hyperlink r:id="rId325" ref="N358"/>
    <hyperlink r:id="rId326" ref="N359"/>
    <hyperlink r:id="rId327" ref="N360"/>
    <hyperlink r:id="rId328" ref="N361"/>
    <hyperlink r:id="rId329" ref="N362"/>
    <hyperlink r:id="rId330" ref="N370"/>
    <hyperlink r:id="rId331" ref="N371"/>
    <hyperlink r:id="rId332" ref="N372"/>
    <hyperlink r:id="rId333" ref="N373"/>
    <hyperlink r:id="rId334" ref="N374"/>
    <hyperlink r:id="rId335" ref="N375"/>
    <hyperlink r:id="rId336" ref="N376"/>
    <hyperlink r:id="rId337" ref="N377"/>
    <hyperlink r:id="rId338" ref="N378"/>
    <hyperlink r:id="rId339" ref="N379"/>
    <hyperlink r:id="rId340" ref="S379"/>
    <hyperlink r:id="rId341" ref="N380"/>
    <hyperlink r:id="rId342" ref="S380"/>
    <hyperlink r:id="rId343" ref="N381"/>
    <hyperlink r:id="rId344" ref="S381"/>
    <hyperlink r:id="rId345" ref="N382"/>
    <hyperlink r:id="rId346" ref="N383"/>
    <hyperlink r:id="rId347" ref="S383"/>
    <hyperlink r:id="rId348" ref="N384"/>
    <hyperlink r:id="rId349" ref="S384"/>
    <hyperlink r:id="rId350" ref="N386"/>
    <hyperlink r:id="rId351" ref="N387"/>
    <hyperlink r:id="rId352" ref="N388"/>
    <hyperlink r:id="rId353" ref="N389"/>
    <hyperlink r:id="rId354" ref="N390"/>
    <hyperlink r:id="rId355" ref="N391"/>
    <hyperlink r:id="rId356" ref="N392"/>
    <hyperlink r:id="rId357" ref="N393"/>
    <hyperlink r:id="rId358" ref="N394"/>
    <hyperlink r:id="rId359" ref="N396"/>
    <hyperlink r:id="rId360" ref="N397"/>
    <hyperlink r:id="rId361" ref="N398"/>
    <hyperlink r:id="rId362" ref="N399"/>
    <hyperlink r:id="rId363" ref="N400"/>
    <hyperlink r:id="rId364" ref="N408"/>
    <hyperlink r:id="rId365" ref="N409"/>
    <hyperlink r:id="rId366" ref="S409"/>
    <hyperlink r:id="rId367" ref="N410"/>
    <hyperlink r:id="rId368" ref="S410"/>
    <hyperlink r:id="rId369" ref="N412"/>
    <hyperlink r:id="rId370" ref="N413"/>
    <hyperlink r:id="rId371" ref="N419"/>
    <hyperlink r:id="rId372" ref="S419"/>
    <hyperlink r:id="rId373" ref="N423"/>
    <hyperlink r:id="rId374" ref="N426"/>
    <hyperlink r:id="rId375" ref="S426"/>
    <hyperlink r:id="rId376" ref="N427"/>
    <hyperlink r:id="rId377" ref="S427"/>
    <hyperlink r:id="rId378" ref="N428"/>
    <hyperlink r:id="rId379" ref="S428"/>
    <hyperlink r:id="rId380" ref="N431"/>
    <hyperlink r:id="rId381" ref="N432"/>
    <hyperlink r:id="rId382" ref="S432"/>
    <hyperlink r:id="rId383" ref="N433"/>
    <hyperlink r:id="rId384" ref="S433"/>
    <hyperlink r:id="rId385" ref="N436"/>
    <hyperlink r:id="rId386" ref="N442"/>
    <hyperlink r:id="rId387" ref="S442"/>
    <hyperlink r:id="rId388" ref="N443"/>
    <hyperlink r:id="rId389" ref="S443"/>
    <hyperlink r:id="rId390" ref="N444"/>
    <hyperlink r:id="rId391" ref="S444"/>
    <hyperlink r:id="rId392" ref="N445"/>
    <hyperlink r:id="rId393" ref="S445"/>
    <hyperlink r:id="rId394" ref="N446"/>
    <hyperlink r:id="rId395" ref="S446"/>
    <hyperlink r:id="rId396" ref="N447"/>
    <hyperlink r:id="rId397" ref="S447"/>
    <hyperlink r:id="rId398" ref="N448"/>
    <hyperlink r:id="rId399" ref="S448"/>
    <hyperlink r:id="rId400" ref="S449"/>
    <hyperlink r:id="rId401" ref="N450"/>
    <hyperlink r:id="rId402" ref="S450"/>
    <hyperlink r:id="rId403" ref="N451"/>
    <hyperlink r:id="rId404" ref="N452"/>
    <hyperlink r:id="rId405" ref="S452"/>
    <hyperlink r:id="rId406" ref="N453"/>
    <hyperlink r:id="rId407" ref="S453"/>
    <hyperlink r:id="rId408" ref="N454"/>
    <hyperlink r:id="rId409" ref="S454"/>
    <hyperlink r:id="rId410" ref="N455"/>
    <hyperlink r:id="rId411" ref="S455"/>
    <hyperlink r:id="rId412" ref="N456"/>
    <hyperlink r:id="rId413" ref="S456"/>
    <hyperlink r:id="rId414" ref="N460"/>
    <hyperlink r:id="rId415" ref="N462"/>
    <hyperlink r:id="rId416" ref="N463"/>
    <hyperlink r:id="rId417" ref="N467"/>
    <hyperlink r:id="rId418" ref="N468"/>
    <hyperlink r:id="rId419" ref="N469"/>
    <hyperlink r:id="rId420" ref="N470"/>
    <hyperlink r:id="rId421" ref="N471"/>
    <hyperlink r:id="rId422" ref="N472"/>
    <hyperlink r:id="rId423" ref="N473"/>
    <hyperlink r:id="rId424" ref="N474"/>
    <hyperlink r:id="rId425" ref="N475"/>
    <hyperlink r:id="rId426" ref="N476"/>
    <hyperlink r:id="rId427" ref="N477"/>
    <hyperlink r:id="rId428" ref="N478"/>
    <hyperlink r:id="rId429" ref="N479"/>
    <hyperlink r:id="rId430" ref="N480"/>
    <hyperlink r:id="rId431" ref="N481"/>
    <hyperlink r:id="rId432" ref="N482"/>
    <hyperlink r:id="rId433" ref="N483"/>
    <hyperlink r:id="rId434" ref="N484"/>
    <hyperlink r:id="rId435" ref="N485"/>
    <hyperlink r:id="rId436" ref="N486"/>
    <hyperlink r:id="rId437" ref="N487"/>
    <hyperlink r:id="rId438" ref="N488"/>
    <hyperlink r:id="rId439" ref="N489"/>
    <hyperlink r:id="rId440" ref="N490"/>
    <hyperlink r:id="rId441" ref="N491"/>
    <hyperlink r:id="rId442" ref="N492"/>
    <hyperlink r:id="rId443" ref="N493"/>
    <hyperlink r:id="rId444" ref="N494"/>
    <hyperlink r:id="rId445" ref="N495"/>
    <hyperlink r:id="rId446" ref="N496"/>
    <hyperlink r:id="rId447" ref="N497"/>
    <hyperlink r:id="rId448" ref="N498"/>
    <hyperlink r:id="rId449" ref="N499"/>
    <hyperlink r:id="rId450" ref="S499"/>
    <hyperlink r:id="rId451" ref="N500"/>
    <hyperlink r:id="rId452" ref="N501"/>
    <hyperlink r:id="rId453" ref="N504"/>
    <hyperlink r:id="rId454" ref="N505"/>
    <hyperlink r:id="rId455" ref="N517"/>
    <hyperlink r:id="rId456" ref="N518"/>
    <hyperlink r:id="rId457" ref="N519"/>
    <hyperlink r:id="rId458" ref="N520"/>
    <hyperlink r:id="rId459" ref="N521"/>
    <hyperlink r:id="rId460" ref="N522"/>
    <hyperlink r:id="rId461" ref="N531"/>
    <hyperlink r:id="rId462" ref="S531"/>
    <hyperlink r:id="rId463" ref="N532"/>
    <hyperlink r:id="rId464" ref="N533"/>
    <hyperlink r:id="rId465" ref="N534"/>
    <hyperlink r:id="rId466" ref="N535"/>
    <hyperlink r:id="rId467" ref="X535"/>
    <hyperlink r:id="rId468" ref="N536"/>
    <hyperlink r:id="rId469" ref="N537"/>
    <hyperlink r:id="rId470" ref="N538"/>
    <hyperlink r:id="rId471" ref="N539"/>
    <hyperlink r:id="rId472" ref="N540"/>
    <hyperlink r:id="rId473" ref="N541"/>
    <hyperlink r:id="rId474" ref="N542"/>
    <hyperlink r:id="rId475" ref="N543"/>
    <hyperlink r:id="rId476" ref="N544"/>
    <hyperlink r:id="rId477" ref="N545"/>
    <hyperlink r:id="rId478" ref="N546"/>
    <hyperlink r:id="rId479" ref="N547"/>
    <hyperlink r:id="rId480" ref="N548"/>
    <hyperlink r:id="rId481" ref="N549"/>
    <hyperlink r:id="rId482" ref="N550"/>
    <hyperlink r:id="rId483" ref="N551"/>
    <hyperlink r:id="rId484" ref="N552"/>
    <hyperlink r:id="rId485" ref="N554"/>
    <hyperlink r:id="rId486" ref="N557"/>
    <hyperlink r:id="rId487" ref="N558"/>
    <hyperlink r:id="rId488" ref="N559"/>
    <hyperlink r:id="rId489" ref="N560"/>
    <hyperlink r:id="rId490" ref="N561"/>
    <hyperlink r:id="rId491" ref="N562"/>
    <hyperlink r:id="rId492" ref="N563"/>
    <hyperlink r:id="rId493" ref="N564"/>
    <hyperlink r:id="rId494" ref="N565"/>
    <hyperlink r:id="rId495" ref="N566"/>
    <hyperlink r:id="rId496" ref="N567"/>
    <hyperlink r:id="rId497" ref="N568"/>
    <hyperlink r:id="rId498" ref="N569"/>
    <hyperlink r:id="rId499" ref="N570"/>
    <hyperlink r:id="rId500" ref="N571"/>
    <hyperlink r:id="rId501" ref="N572"/>
    <hyperlink r:id="rId502" ref="N573"/>
    <hyperlink r:id="rId503" ref="N574"/>
    <hyperlink r:id="rId504" ref="N575"/>
    <hyperlink r:id="rId505" ref="N576"/>
    <hyperlink r:id="rId506" ref="N577"/>
    <hyperlink r:id="rId507" ref="N578"/>
    <hyperlink r:id="rId508" ref="N579"/>
    <hyperlink r:id="rId509" ref="N580"/>
    <hyperlink r:id="rId510" ref="N581"/>
    <hyperlink r:id="rId511" ref="N582"/>
    <hyperlink r:id="rId512" ref="N583"/>
    <hyperlink r:id="rId513" ref="N584"/>
    <hyperlink r:id="rId514" ref="N585"/>
    <hyperlink r:id="rId515" ref="N586"/>
    <hyperlink r:id="rId516" ref="N587"/>
    <hyperlink r:id="rId517" ref="N588"/>
    <hyperlink r:id="rId518" ref="N589"/>
    <hyperlink r:id="rId519" ref="N590"/>
    <hyperlink r:id="rId520" ref="N591"/>
  </hyperlinks>
  <printOptions/>
  <pageMargins bottom="0.75" footer="0.0" header="0.0" left="0.7" right="0.7" top="0.75"/>
  <pageSetup orientation="portrait"/>
  <drawing r:id="rId521"/>
  <legacyDrawing r:id="rId5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42.43"/>
  </cols>
  <sheetData>
    <row r="1">
      <c r="A1" s="141" t="e">
        <v>#REF!</v>
      </c>
      <c r="E1" s="142" t="s">
        <v>3166</v>
      </c>
    </row>
    <row r="2">
      <c r="E2" s="142" t="s">
        <v>2059</v>
      </c>
      <c r="F2" s="142" t="s">
        <v>2040</v>
      </c>
    </row>
    <row r="3">
      <c r="E3" s="141" t="str">
        <f>IFERROR(__xludf.DUMMYFUNCTION("iferror(VALUE(REGEXEXTRACT($A3,""\(([0-9]+)\)$""))-if(C3=0,""L"",C3),"""")"),"")</f>
        <v/>
      </c>
      <c r="F3" s="141" t="str">
        <f>IFERROR(__xludf.DUMMYFUNCTION("iferror(VALUE(REGEXEXTRACT($A3,""\(([0-9]+)\)$""))-if(D3=0,""L"",D3),"""")"),"")</f>
        <v/>
      </c>
    </row>
    <row r="4">
      <c r="E4" s="141" t="str">
        <f>IFERROR(__xludf.DUMMYFUNCTION("iferror(VALUE(REGEXEXTRACT($A4,""\(([0-9]+)\)$""))-if(C4=0,""L"",C4),"""")"),"")</f>
        <v/>
      </c>
      <c r="F4" s="141" t="str">
        <f>IFERROR(__xludf.DUMMYFUNCTION("iferror(VALUE(REGEXEXTRACT($A4,""\(([0-9]+)\)$""))-if(D4=0,""L"",D4),"""")"),"")</f>
        <v/>
      </c>
    </row>
    <row r="5">
      <c r="E5" s="141" t="str">
        <f>IFERROR(__xludf.DUMMYFUNCTION("iferror(VALUE(REGEXEXTRACT($A5,""\(([0-9]+)\)$""))-if(C5=0,""L"",C5),"""")"),"")</f>
        <v/>
      </c>
      <c r="F5" s="141" t="str">
        <f>IFERROR(__xludf.DUMMYFUNCTION("iferror(VALUE(REGEXEXTRACT($A5,""\(([0-9]+)\)$""))-if(D5=0,""L"",D5),"""")"),"")</f>
        <v/>
      </c>
    </row>
    <row r="6">
      <c r="E6" s="141" t="str">
        <f>IFERROR(__xludf.DUMMYFUNCTION("iferror(VALUE(REGEXEXTRACT($A6,""\(([0-9]+)\)$""))-if(C6=0,""L"",C6),"""")"),"")</f>
        <v/>
      </c>
      <c r="F6" s="141" t="str">
        <f>IFERROR(__xludf.DUMMYFUNCTION("iferror(VALUE(REGEXEXTRACT($A6,""\(([0-9]+)\)$""))-if(D6=0,""L"",D6),"""")"),"")</f>
        <v/>
      </c>
    </row>
    <row r="7">
      <c r="E7" s="141" t="str">
        <f>IFERROR(__xludf.DUMMYFUNCTION("iferror(VALUE(REGEXEXTRACT($A7,""\(([0-9]+)\)$""))-if(C7=0,""L"",C7),"""")"),"")</f>
        <v/>
      </c>
      <c r="F7" s="141" t="str">
        <f>IFERROR(__xludf.DUMMYFUNCTION("iferror(VALUE(REGEXEXTRACT($A7,""\(([0-9]+)\)$""))-if(D7=0,""L"",D7),"""")"),"")</f>
        <v/>
      </c>
    </row>
    <row r="8">
      <c r="E8" s="141" t="str">
        <f>IFERROR(__xludf.DUMMYFUNCTION("iferror(VALUE(REGEXEXTRACT($A8,""\(([0-9]+)\)$""))-if(C8=0,""L"",C8),"""")"),"")</f>
        <v/>
      </c>
      <c r="F8" s="141" t="str">
        <f>IFERROR(__xludf.DUMMYFUNCTION("iferror(VALUE(REGEXEXTRACT($A8,""\(([0-9]+)\)$""))-if(D8=0,""L"",D8),"""")"),"")</f>
        <v/>
      </c>
    </row>
    <row r="9">
      <c r="E9" s="141" t="str">
        <f>IFERROR(__xludf.DUMMYFUNCTION("iferror(VALUE(REGEXEXTRACT($A9,""\(([0-9]+)\)$""))-if(C9=0,""L"",C9),"""")"),"")</f>
        <v/>
      </c>
      <c r="F9" s="141" t="str">
        <f>IFERROR(__xludf.DUMMYFUNCTION("iferror(VALUE(REGEXEXTRACT($A9,""\(([0-9]+)\)$""))-if(D9=0,""L"",D9),"""")"),"")</f>
        <v/>
      </c>
    </row>
    <row r="10">
      <c r="E10" s="141" t="str">
        <f>IFERROR(__xludf.DUMMYFUNCTION("iferror(VALUE(REGEXEXTRACT($A10,""\(([0-9]+)\)$""))-if(C10=0,""L"",C10),"""")"),"")</f>
        <v/>
      </c>
      <c r="F10" s="141" t="str">
        <f>IFERROR(__xludf.DUMMYFUNCTION("iferror(VALUE(REGEXEXTRACT($A10,""\(([0-9]+)\)$""))-if(D10=0,""L"",D10),"""")"),"")</f>
        <v/>
      </c>
    </row>
    <row r="11">
      <c r="E11" s="141" t="str">
        <f>IFERROR(__xludf.DUMMYFUNCTION("iferror(VALUE(REGEXEXTRACT($A11,""\(([0-9]+)\)$""))-if(C11=0,""L"",C11),"""")"),"")</f>
        <v/>
      </c>
      <c r="F11" s="141" t="str">
        <f>IFERROR(__xludf.DUMMYFUNCTION("iferror(VALUE(REGEXEXTRACT($A11,""\(([0-9]+)\)$""))-if(D11=0,""L"",D11),"""")"),"")</f>
        <v/>
      </c>
    </row>
    <row r="12">
      <c r="E12" s="141" t="str">
        <f>IFERROR(__xludf.DUMMYFUNCTION("iferror(VALUE(REGEXEXTRACT($A12,""\(([0-9]+)\)$""))-if(C12=0,""L"",C12),"""")"),"")</f>
        <v/>
      </c>
      <c r="F12" s="141" t="str">
        <f>IFERROR(__xludf.DUMMYFUNCTION("iferror(VALUE(REGEXEXTRACT($A12,""\(([0-9]+)\)$""))-if(D12=0,""L"",D12),"""")"),"")</f>
        <v/>
      </c>
    </row>
    <row r="13">
      <c r="E13" s="141" t="str">
        <f>IFERROR(__xludf.DUMMYFUNCTION("iferror(VALUE(REGEXEXTRACT($A13,""\(([0-9]+)\)$""))-if(C13=0,""L"",C13),"""")"),"")</f>
        <v/>
      </c>
      <c r="F13" s="141" t="str">
        <f>IFERROR(__xludf.DUMMYFUNCTION("iferror(VALUE(REGEXEXTRACT($A13,""\(([0-9]+)\)$""))-if(D13=0,""L"",D13),"""")"),"")</f>
        <v/>
      </c>
    </row>
    <row r="14">
      <c r="E14" s="141" t="str">
        <f>IFERROR(__xludf.DUMMYFUNCTION("iferror(VALUE(REGEXEXTRACT($A14,""\(([0-9]+)\)$""))-if(C14=0,""L"",C14),"""")"),"")</f>
        <v/>
      </c>
      <c r="F14" s="141" t="str">
        <f>IFERROR(__xludf.DUMMYFUNCTION("iferror(VALUE(REGEXEXTRACT($A14,""\(([0-9]+)\)$""))-if(D14=0,""L"",D14),"""")"),"")</f>
        <v/>
      </c>
    </row>
    <row r="15">
      <c r="E15" s="141" t="str">
        <f>IFERROR(__xludf.DUMMYFUNCTION("iferror(VALUE(REGEXEXTRACT($A15,""\(([0-9]+)\)$""))-if(C15=0,""L"",C15),"""")"),"")</f>
        <v/>
      </c>
      <c r="F15" s="141" t="str">
        <f>IFERROR(__xludf.DUMMYFUNCTION("iferror(VALUE(REGEXEXTRACT($A15,""\(([0-9]+)\)$""))-if(D15=0,""L"",D15),"""")"),"")</f>
        <v/>
      </c>
    </row>
    <row r="16">
      <c r="E16" s="141" t="str">
        <f>IFERROR(__xludf.DUMMYFUNCTION("iferror(VALUE(REGEXEXTRACT($A16,""\(([0-9]+)\)$""))-if(C16=0,""L"",C16),"""")"),"")</f>
        <v/>
      </c>
      <c r="F16" s="141" t="str">
        <f>IFERROR(__xludf.DUMMYFUNCTION("iferror(VALUE(REGEXEXTRACT($A16,""\(([0-9]+)\)$""))-if(D16=0,""L"",D16),"""")"),"")</f>
        <v/>
      </c>
    </row>
    <row r="17">
      <c r="E17" s="141" t="str">
        <f>IFERROR(__xludf.DUMMYFUNCTION("iferror(VALUE(REGEXEXTRACT($A17,""\(([0-9]+)\)$""))-if(C17=0,""L"",C17),"""")"),"")</f>
        <v/>
      </c>
      <c r="F17" s="141" t="str">
        <f>IFERROR(__xludf.DUMMYFUNCTION("iferror(VALUE(REGEXEXTRACT($A17,""\(([0-9]+)\)$""))-if(D17=0,""L"",D17),"""")"),"")</f>
        <v/>
      </c>
    </row>
    <row r="18">
      <c r="E18" s="141" t="str">
        <f>IFERROR(__xludf.DUMMYFUNCTION("iferror(VALUE(REGEXEXTRACT($A18,""\(([0-9]+)\)$""))-if(C18=0,""L"",C18),"""")"),"")</f>
        <v/>
      </c>
      <c r="F18" s="141" t="str">
        <f>IFERROR(__xludf.DUMMYFUNCTION("iferror(VALUE(REGEXEXTRACT($A18,""\(([0-9]+)\)$""))-if(D18=0,""L"",D18),"""")"),"")</f>
        <v/>
      </c>
    </row>
    <row r="19">
      <c r="E19" s="141" t="str">
        <f>IFERROR(__xludf.DUMMYFUNCTION("iferror(VALUE(REGEXEXTRACT($A19,""\(([0-9]+)\)$""))-if(C19=0,""L"",C19),"""")"),"")</f>
        <v/>
      </c>
      <c r="F19" s="141" t="str">
        <f>IFERROR(__xludf.DUMMYFUNCTION("iferror(VALUE(REGEXEXTRACT($A19,""\(([0-9]+)\)$""))-if(D19=0,""L"",D19),"""")"),"")</f>
        <v/>
      </c>
    </row>
    <row r="20">
      <c r="E20" s="141" t="str">
        <f>IFERROR(__xludf.DUMMYFUNCTION("iferror(VALUE(REGEXEXTRACT($A20,""\(([0-9]+)\)$""))-if(C20=0,""L"",C20),"""")"),"")</f>
        <v/>
      </c>
      <c r="F20" s="141" t="str">
        <f>IFERROR(__xludf.DUMMYFUNCTION("iferror(VALUE(REGEXEXTRACT($A20,""\(([0-9]+)\)$""))-if(D20=0,""L"",D20),"""")"),"")</f>
        <v/>
      </c>
    </row>
    <row r="21">
      <c r="E21" s="141" t="str">
        <f>IFERROR(__xludf.DUMMYFUNCTION("iferror(VALUE(REGEXEXTRACT($A21,""\(([0-9]+)\)$""))-if(C21=0,""L"",C21),"""")"),"")</f>
        <v/>
      </c>
      <c r="F21" s="141" t="str">
        <f>IFERROR(__xludf.DUMMYFUNCTION("iferror(VALUE(REGEXEXTRACT($A21,""\(([0-9]+)\)$""))-if(D21=0,""L"",D21),"""")"),"")</f>
        <v/>
      </c>
    </row>
    <row r="22">
      <c r="E22" s="141" t="str">
        <f>IFERROR(__xludf.DUMMYFUNCTION("iferror(VALUE(REGEXEXTRACT($A22,""\(([0-9]+)\)$""))-if(C22=0,""L"",C22),"""")"),"")</f>
        <v/>
      </c>
      <c r="F22" s="141" t="str">
        <f>IFERROR(__xludf.DUMMYFUNCTION("iferror(VALUE(REGEXEXTRACT($A22,""\(([0-9]+)\)$""))-if(D22=0,""L"",D22),"""")"),"")</f>
        <v/>
      </c>
    </row>
    <row r="23">
      <c r="E23" s="141" t="str">
        <f>IFERROR(__xludf.DUMMYFUNCTION("iferror(VALUE(REGEXEXTRACT($A23,""\(([0-9]+)\)$""))-if(C23=0,""L"",C23),"""")"),"")</f>
        <v/>
      </c>
      <c r="F23" s="141" t="str">
        <f>IFERROR(__xludf.DUMMYFUNCTION("iferror(VALUE(REGEXEXTRACT($A23,""\(([0-9]+)\)$""))-if(D23=0,""L"",D23),"""")"),"")</f>
        <v/>
      </c>
    </row>
    <row r="24">
      <c r="E24" s="141" t="str">
        <f>IFERROR(__xludf.DUMMYFUNCTION("iferror(VALUE(REGEXEXTRACT($A24,""\(([0-9]+)\)$""))-if(C24=0,""L"",C24),"""")"),"")</f>
        <v/>
      </c>
      <c r="F24" s="141" t="str">
        <f>IFERROR(__xludf.DUMMYFUNCTION("iferror(VALUE(REGEXEXTRACT($A24,""\(([0-9]+)\)$""))-if(D24=0,""L"",D24),"""")"),"")</f>
        <v/>
      </c>
    </row>
    <row r="25">
      <c r="E25" s="141" t="str">
        <f>IFERROR(__xludf.DUMMYFUNCTION("iferror(VALUE(REGEXEXTRACT($A25,""\(([0-9]+)\)$""))-if(C25=0,""L"",C25),"""")"),"")</f>
        <v/>
      </c>
      <c r="F25" s="141" t="str">
        <f>IFERROR(__xludf.DUMMYFUNCTION("iferror(VALUE(REGEXEXTRACT($A25,""\(([0-9]+)\)$""))-if(D25=0,""L"",D25),"""")"),"")</f>
        <v/>
      </c>
    </row>
    <row r="26">
      <c r="E26" s="141" t="str">
        <f>IFERROR(__xludf.DUMMYFUNCTION("iferror(VALUE(REGEXEXTRACT($A26,""\(([0-9]+)\)$""))-if(C26=0,""L"",C26),"""")"),"")</f>
        <v/>
      </c>
      <c r="F26" s="141" t="str">
        <f>IFERROR(__xludf.DUMMYFUNCTION("iferror(VALUE(REGEXEXTRACT($A26,""\(([0-9]+)\)$""))-if(D26=0,""L"",D26),"""")"),"")</f>
        <v/>
      </c>
    </row>
    <row r="27">
      <c r="E27" s="141" t="str">
        <f>IFERROR(__xludf.DUMMYFUNCTION("iferror(VALUE(REGEXEXTRACT($A27,""\(([0-9]+)\)$""))-if(C27=0,""L"",C27),"""")"),"")</f>
        <v/>
      </c>
      <c r="F27" s="141" t="str">
        <f>IFERROR(__xludf.DUMMYFUNCTION("iferror(VALUE(REGEXEXTRACT($A27,""\(([0-9]+)\)$""))-if(D27=0,""L"",D27),"""")"),"")</f>
        <v/>
      </c>
    </row>
    <row r="28">
      <c r="E28" s="141" t="str">
        <f>IFERROR(__xludf.DUMMYFUNCTION("iferror(VALUE(REGEXEXTRACT($A28,""\(([0-9]+)\)$""))-if(C28=0,""L"",C28),"""")"),"")</f>
        <v/>
      </c>
      <c r="F28" s="141" t="str">
        <f>IFERROR(__xludf.DUMMYFUNCTION("iferror(VALUE(REGEXEXTRACT($A28,""\(([0-9]+)\)$""))-if(D28=0,""L"",D28),"""")"),"")</f>
        <v/>
      </c>
    </row>
    <row r="29">
      <c r="E29" s="141" t="str">
        <f>IFERROR(__xludf.DUMMYFUNCTION("iferror(VALUE(REGEXEXTRACT($A29,""\(([0-9]+)\)$""))-if(C29=0,""L"",C29),"""")"),"")</f>
        <v/>
      </c>
      <c r="F29" s="141" t="str">
        <f>IFERROR(__xludf.DUMMYFUNCTION("iferror(VALUE(REGEXEXTRACT($A29,""\(([0-9]+)\)$""))-if(D29=0,""L"",D29),"""")"),"")</f>
        <v/>
      </c>
    </row>
    <row r="30">
      <c r="E30" s="141" t="str">
        <f>IFERROR(__xludf.DUMMYFUNCTION("iferror(VALUE(REGEXEXTRACT($A30,""\(([0-9]+)\)$""))-if(C30=0,""L"",C30),"""")"),"")</f>
        <v/>
      </c>
      <c r="F30" s="141" t="str">
        <f>IFERROR(__xludf.DUMMYFUNCTION("iferror(VALUE(REGEXEXTRACT($A30,""\(([0-9]+)\)$""))-if(D30=0,""L"",D30),"""")"),"")</f>
        <v/>
      </c>
    </row>
    <row r="31">
      <c r="E31" s="141" t="str">
        <f>IFERROR(__xludf.DUMMYFUNCTION("iferror(VALUE(REGEXEXTRACT($A31,""\(([0-9]+)\)$""))-if(C31=0,""L"",C31),"""")"),"")</f>
        <v/>
      </c>
      <c r="F31" s="141" t="str">
        <f>IFERROR(__xludf.DUMMYFUNCTION("iferror(VALUE(REGEXEXTRACT($A31,""\(([0-9]+)\)$""))-if(D31=0,""L"",D31),"""")"),"")</f>
        <v/>
      </c>
    </row>
    <row r="32">
      <c r="E32" s="141" t="str">
        <f>IFERROR(__xludf.DUMMYFUNCTION("iferror(VALUE(REGEXEXTRACT($A32,""\(([0-9]+)\)$""))-if(C32=0,""L"",C32),"""")"),"")</f>
        <v/>
      </c>
      <c r="F32" s="141" t="str">
        <f>IFERROR(__xludf.DUMMYFUNCTION("iferror(VALUE(REGEXEXTRACT($A32,""\(([0-9]+)\)$""))-if(D32=0,""L"",D32),"""")"),"")</f>
        <v/>
      </c>
    </row>
    <row r="33">
      <c r="E33" s="141" t="str">
        <f>IFERROR(__xludf.DUMMYFUNCTION("iferror(VALUE(REGEXEXTRACT($A33,""\(([0-9]+)\)$""))-if(C33=0,""L"",C33),"""")"),"")</f>
        <v/>
      </c>
      <c r="F33" s="141" t="str">
        <f>IFERROR(__xludf.DUMMYFUNCTION("iferror(VALUE(REGEXEXTRACT($A33,""\(([0-9]+)\)$""))-if(D33=0,""L"",D33),"""")"),"")</f>
        <v/>
      </c>
    </row>
    <row r="34">
      <c r="E34" s="141" t="str">
        <f>IFERROR(__xludf.DUMMYFUNCTION("iferror(VALUE(REGEXEXTRACT($A34,""\(([0-9]+)\)$""))-if(C34=0,""L"",C34),"""")"),"")</f>
        <v/>
      </c>
      <c r="F34" s="141" t="str">
        <f>IFERROR(__xludf.DUMMYFUNCTION("iferror(VALUE(REGEXEXTRACT($A34,""\(([0-9]+)\)$""))-if(D34=0,""L"",D34),"""")"),"")</f>
        <v/>
      </c>
    </row>
    <row r="35">
      <c r="E35" s="141" t="str">
        <f>IFERROR(__xludf.DUMMYFUNCTION("iferror(VALUE(REGEXEXTRACT($A35,""\(([0-9]+)\)$""))-if(C35=0,""L"",C35),"""")"),"")</f>
        <v/>
      </c>
      <c r="F35" s="141" t="str">
        <f>IFERROR(__xludf.DUMMYFUNCTION("iferror(VALUE(REGEXEXTRACT($A35,""\(([0-9]+)\)$""))-if(D35=0,""L"",D35),"""")"),"")</f>
        <v/>
      </c>
    </row>
    <row r="36">
      <c r="E36" s="141" t="str">
        <f>IFERROR(__xludf.DUMMYFUNCTION("iferror(VALUE(REGEXEXTRACT($A36,""\(([0-9]+)\)$""))-if(C36=0,""L"",C36),"""")"),"")</f>
        <v/>
      </c>
      <c r="F36" s="141" t="str">
        <f>IFERROR(__xludf.DUMMYFUNCTION("iferror(VALUE(REGEXEXTRACT($A36,""\(([0-9]+)\)$""))-if(D36=0,""L"",D36),"""")"),"")</f>
        <v/>
      </c>
    </row>
    <row r="37">
      <c r="E37" s="141" t="str">
        <f>IFERROR(__xludf.DUMMYFUNCTION("iferror(VALUE(REGEXEXTRACT($A37,""\(([0-9]+)\)$""))-if(C37=0,""L"",C37),"""")"),"")</f>
        <v/>
      </c>
      <c r="F37" s="141" t="str">
        <f>IFERROR(__xludf.DUMMYFUNCTION("iferror(VALUE(REGEXEXTRACT($A37,""\(([0-9]+)\)$""))-if(D37=0,""L"",D37),"""")"),"")</f>
        <v/>
      </c>
    </row>
    <row r="38">
      <c r="E38" s="141" t="str">
        <f>IFERROR(__xludf.DUMMYFUNCTION("iferror(VALUE(REGEXEXTRACT($A38,""\(([0-9]+)\)$""))-if(C38=0,""L"",C38),"""")"),"")</f>
        <v/>
      </c>
      <c r="F38" s="141" t="str">
        <f>IFERROR(__xludf.DUMMYFUNCTION("iferror(VALUE(REGEXEXTRACT($A38,""\(([0-9]+)\)$""))-if(D38=0,""L"",D38),"""")"),"")</f>
        <v/>
      </c>
    </row>
    <row r="39">
      <c r="E39" s="141" t="str">
        <f>IFERROR(__xludf.DUMMYFUNCTION("iferror(VALUE(REGEXEXTRACT($A39,""\(([0-9]+)\)$""))-if(C39=0,""L"",C39),"""")"),"")</f>
        <v/>
      </c>
      <c r="F39" s="141" t="str">
        <f>IFERROR(__xludf.DUMMYFUNCTION("iferror(VALUE(REGEXEXTRACT($A39,""\(([0-9]+)\)$""))-if(D39=0,""L"",D39),"""")"),"")</f>
        <v/>
      </c>
    </row>
    <row r="40">
      <c r="E40" s="141" t="str">
        <f>IFERROR(__xludf.DUMMYFUNCTION("iferror(VALUE(REGEXEXTRACT($A40,""\(([0-9]+)\)$""))-if(C40=0,""L"",C40),"""")"),"")</f>
        <v/>
      </c>
      <c r="F40" s="141" t="str">
        <f>IFERROR(__xludf.DUMMYFUNCTION("iferror(VALUE(REGEXEXTRACT($A40,""\(([0-9]+)\)$""))-if(D40=0,""L"",D40),"""")"),"")</f>
        <v/>
      </c>
    </row>
    <row r="41">
      <c r="E41" s="141" t="str">
        <f>IFERROR(__xludf.DUMMYFUNCTION("iferror(VALUE(REGEXEXTRACT($A41,""\(([0-9]+)\)$""))-if(C41=0,""L"",C41),"""")"),"")</f>
        <v/>
      </c>
      <c r="F41" s="141" t="str">
        <f>IFERROR(__xludf.DUMMYFUNCTION("iferror(VALUE(REGEXEXTRACT($A41,""\(([0-9]+)\)$""))-if(D41=0,""L"",D41),"""")"),"")</f>
        <v/>
      </c>
    </row>
    <row r="42">
      <c r="E42" s="141" t="str">
        <f>IFERROR(__xludf.DUMMYFUNCTION("iferror(VALUE(REGEXEXTRACT($A42,""\(([0-9]+)\)$""))-if(C42=0,""L"",C42),"""")"),"")</f>
        <v/>
      </c>
      <c r="F42" s="141" t="str">
        <f>IFERROR(__xludf.DUMMYFUNCTION("iferror(VALUE(REGEXEXTRACT($A42,""\(([0-9]+)\)$""))-if(D42=0,""L"",D42),"""")"),"")</f>
        <v/>
      </c>
    </row>
    <row r="43">
      <c r="E43" s="141" t="str">
        <f>IFERROR(__xludf.DUMMYFUNCTION("iferror(VALUE(REGEXEXTRACT($A43,""\(([0-9]+)\)$""))-if(C43=0,""L"",C43),"""")"),"")</f>
        <v/>
      </c>
      <c r="F43" s="141" t="str">
        <f>IFERROR(__xludf.DUMMYFUNCTION("iferror(VALUE(REGEXEXTRACT($A43,""\(([0-9]+)\)$""))-if(D43=0,""L"",D43),"""")"),"")</f>
        <v/>
      </c>
    </row>
    <row r="44">
      <c r="E44" s="141" t="str">
        <f>IFERROR(__xludf.DUMMYFUNCTION("iferror(VALUE(REGEXEXTRACT($A44,""\(([0-9]+)\)$""))-if(C44=0,""L"",C44),"""")"),"")</f>
        <v/>
      </c>
      <c r="F44" s="141" t="str">
        <f>IFERROR(__xludf.DUMMYFUNCTION("iferror(VALUE(REGEXEXTRACT($A44,""\(([0-9]+)\)$""))-if(D44=0,""L"",D44),"""")"),"")</f>
        <v/>
      </c>
    </row>
    <row r="45">
      <c r="E45" s="141" t="str">
        <f>IFERROR(__xludf.DUMMYFUNCTION("iferror(VALUE(REGEXEXTRACT($A45,""\(([0-9]+)\)$""))-if(C45=0,""L"",C45),"""")"),"")</f>
        <v/>
      </c>
      <c r="F45" s="141" t="str">
        <f>IFERROR(__xludf.DUMMYFUNCTION("iferror(VALUE(REGEXEXTRACT($A45,""\(([0-9]+)\)$""))-if(D45=0,""L"",D45),"""")"),"")</f>
        <v/>
      </c>
    </row>
    <row r="46">
      <c r="E46" s="141" t="str">
        <f>IFERROR(__xludf.DUMMYFUNCTION("iferror(VALUE(REGEXEXTRACT($A46,""\(([0-9]+)\)$""))-if(C46=0,""L"",C46),"""")"),"")</f>
        <v/>
      </c>
      <c r="F46" s="141" t="str">
        <f>IFERROR(__xludf.DUMMYFUNCTION("iferror(VALUE(REGEXEXTRACT($A46,""\(([0-9]+)\)$""))-if(D46=0,""L"",D46),"""")"),"")</f>
        <v/>
      </c>
    </row>
    <row r="47">
      <c r="E47" s="141" t="str">
        <f>IFERROR(__xludf.DUMMYFUNCTION("iferror(VALUE(REGEXEXTRACT($A47,""\(([0-9]+)\)$""))-if(C47=0,""L"",C47),"""")"),"")</f>
        <v/>
      </c>
      <c r="F47" s="141" t="str">
        <f>IFERROR(__xludf.DUMMYFUNCTION("iferror(VALUE(REGEXEXTRACT($A47,""\(([0-9]+)\)$""))-if(D47=0,""L"",D47),"""")"),"")</f>
        <v/>
      </c>
    </row>
    <row r="48">
      <c r="E48" s="141" t="str">
        <f>IFERROR(__xludf.DUMMYFUNCTION("iferror(VALUE(REGEXEXTRACT($A48,""\(([0-9]+)\)$""))-if(C48=0,""L"",C48),"""")"),"")</f>
        <v/>
      </c>
      <c r="F48" s="141" t="str">
        <f>IFERROR(__xludf.DUMMYFUNCTION("iferror(VALUE(REGEXEXTRACT($A48,""\(([0-9]+)\)$""))-if(D48=0,""L"",D48),"""")"),"")</f>
        <v/>
      </c>
    </row>
    <row r="49">
      <c r="E49" s="141" t="str">
        <f>IFERROR(__xludf.DUMMYFUNCTION("iferror(VALUE(REGEXEXTRACT($A49,""\(([0-9]+)\)$""))-if(C49=0,""L"",C49),"""")"),"")</f>
        <v/>
      </c>
      <c r="F49" s="141" t="str">
        <f>IFERROR(__xludf.DUMMYFUNCTION("iferror(VALUE(REGEXEXTRACT($A49,""\(([0-9]+)\)$""))-if(D49=0,""L"",D49),"""")"),"")</f>
        <v/>
      </c>
    </row>
    <row r="50">
      <c r="E50" s="141" t="str">
        <f>IFERROR(__xludf.DUMMYFUNCTION("iferror(VALUE(REGEXEXTRACT($A50,""\(([0-9]+)\)$""))-if(C50=0,""L"",C50),"""")"),"")</f>
        <v/>
      </c>
      <c r="F50" s="141" t="str">
        <f>IFERROR(__xludf.DUMMYFUNCTION("iferror(VALUE(REGEXEXTRACT($A50,""\(([0-9]+)\)$""))-if(D50=0,""L"",D50),"""")"),"")</f>
        <v/>
      </c>
    </row>
    <row r="51">
      <c r="E51" s="141" t="str">
        <f>IFERROR(__xludf.DUMMYFUNCTION("iferror(VALUE(REGEXEXTRACT($A51,""\(([0-9]+)\)$""))-if(C51=0,""L"",C51),"""")"),"")</f>
        <v/>
      </c>
      <c r="F51" s="141" t="str">
        <f>IFERROR(__xludf.DUMMYFUNCTION("iferror(VALUE(REGEXEXTRACT($A51,""\(([0-9]+)\)$""))-if(D51=0,""L"",D51),"""")"),"")</f>
        <v/>
      </c>
    </row>
    <row r="52">
      <c r="E52" s="141" t="str">
        <f>IFERROR(__xludf.DUMMYFUNCTION("iferror(VALUE(REGEXEXTRACT($A52,""\(([0-9]+)\)$""))-if(C52=0,""L"",C52),"""")"),"")</f>
        <v/>
      </c>
      <c r="F52" s="141" t="str">
        <f>IFERROR(__xludf.DUMMYFUNCTION("iferror(VALUE(REGEXEXTRACT($A52,""\(([0-9]+)\)$""))-if(D52=0,""L"",D52),"""")"),"")</f>
        <v/>
      </c>
    </row>
    <row r="53">
      <c r="E53" s="141" t="str">
        <f>IFERROR(__xludf.DUMMYFUNCTION("iferror(VALUE(REGEXEXTRACT($A53,""\(([0-9]+)\)$""))-if(C53=0,""L"",C53),"""")"),"")</f>
        <v/>
      </c>
      <c r="F53" s="141" t="str">
        <f>IFERROR(__xludf.DUMMYFUNCTION("iferror(VALUE(REGEXEXTRACT($A53,""\(([0-9]+)\)$""))-if(D53=0,""L"",D53),"""")"),"")</f>
        <v/>
      </c>
    </row>
    <row r="54">
      <c r="E54" s="141" t="str">
        <f>IFERROR(__xludf.DUMMYFUNCTION("iferror(VALUE(REGEXEXTRACT($A54,""\(([0-9]+)\)$""))-if(C54=0,""L"",C54),"""")"),"")</f>
        <v/>
      </c>
      <c r="F54" s="141" t="str">
        <f>IFERROR(__xludf.DUMMYFUNCTION("iferror(VALUE(REGEXEXTRACT($A54,""\(([0-9]+)\)$""))-if(D54=0,""L"",D54),"""")"),"")</f>
        <v/>
      </c>
    </row>
    <row r="55">
      <c r="E55" s="141" t="str">
        <f>IFERROR(__xludf.DUMMYFUNCTION("iferror(VALUE(REGEXEXTRACT($A55,""\(([0-9]+)\)$""))-if(C55=0,""L"",C55),"""")"),"")</f>
        <v/>
      </c>
      <c r="F55" s="141" t="str">
        <f>IFERROR(__xludf.DUMMYFUNCTION("iferror(VALUE(REGEXEXTRACT($A55,""\(([0-9]+)\)$""))-if(D55=0,""L"",D55),"""")"),"")</f>
        <v/>
      </c>
    </row>
    <row r="56">
      <c r="E56" s="141" t="str">
        <f>IFERROR(__xludf.DUMMYFUNCTION("iferror(VALUE(REGEXEXTRACT($A56,""\(([0-9]+)\)$""))-if(C56=0,""L"",C56),"""")"),"")</f>
        <v/>
      </c>
      <c r="F56" s="141" t="str">
        <f>IFERROR(__xludf.DUMMYFUNCTION("iferror(VALUE(REGEXEXTRACT($A56,""\(([0-9]+)\)$""))-if(D56=0,""L"",D56),"""")"),"")</f>
        <v/>
      </c>
    </row>
    <row r="57">
      <c r="E57" s="141" t="str">
        <f>IFERROR(__xludf.DUMMYFUNCTION("iferror(VALUE(REGEXEXTRACT($A57,""\(([0-9]+)\)$""))-if(C57=0,""L"",C57),"""")"),"")</f>
        <v/>
      </c>
      <c r="F57" s="141" t="str">
        <f>IFERROR(__xludf.DUMMYFUNCTION("iferror(VALUE(REGEXEXTRACT($A57,""\(([0-9]+)\)$""))-if(D57=0,""L"",D57),"""")"),"")</f>
        <v/>
      </c>
    </row>
    <row r="58">
      <c r="E58" s="141" t="str">
        <f>IFERROR(__xludf.DUMMYFUNCTION("iferror(VALUE(REGEXEXTRACT($A58,""\(([0-9]+)\)$""))-if(C58=0,""L"",C58),"""")"),"")</f>
        <v/>
      </c>
      <c r="F58" s="141" t="str">
        <f>IFERROR(__xludf.DUMMYFUNCTION("iferror(VALUE(REGEXEXTRACT($A58,""\(([0-9]+)\)$""))-if(D58=0,""L"",D58),"""")"),"")</f>
        <v/>
      </c>
    </row>
    <row r="59">
      <c r="E59" s="141" t="str">
        <f>IFERROR(__xludf.DUMMYFUNCTION("iferror(VALUE(REGEXEXTRACT($A59,""\(([0-9]+)\)$""))-if(C59=0,""L"",C59),"""")"),"")</f>
        <v/>
      </c>
      <c r="F59" s="141" t="str">
        <f>IFERROR(__xludf.DUMMYFUNCTION("iferror(VALUE(REGEXEXTRACT($A59,""\(([0-9]+)\)$""))-if(D59=0,""L"",D59),"""")"),"")</f>
        <v/>
      </c>
    </row>
    <row r="60">
      <c r="E60" s="141" t="str">
        <f>IFERROR(__xludf.DUMMYFUNCTION("iferror(VALUE(REGEXEXTRACT($A60,""\(([0-9]+)\)$""))-if(C60=0,""L"",C60),"""")"),"")</f>
        <v/>
      </c>
      <c r="F60" s="141" t="str">
        <f>IFERROR(__xludf.DUMMYFUNCTION("iferror(VALUE(REGEXEXTRACT($A60,""\(([0-9]+)\)$""))-if(D60=0,""L"",D60),"""")"),"")</f>
        <v/>
      </c>
    </row>
    <row r="61">
      <c r="E61" s="141" t="str">
        <f>IFERROR(__xludf.DUMMYFUNCTION("iferror(VALUE(REGEXEXTRACT($A61,""\(([0-9]+)\)$""))-if(C61=0,""L"",C61),"""")"),"")</f>
        <v/>
      </c>
      <c r="F61" s="141" t="str">
        <f>IFERROR(__xludf.DUMMYFUNCTION("iferror(VALUE(REGEXEXTRACT($A61,""\(([0-9]+)\)$""))-if(D61=0,""L"",D61),"""")"),"")</f>
        <v/>
      </c>
    </row>
    <row r="62">
      <c r="E62" s="141" t="str">
        <f>IFERROR(__xludf.DUMMYFUNCTION("iferror(VALUE(REGEXEXTRACT($A62,""\(([0-9]+)\)$""))-if(C62=0,""L"",C62),"""")"),"")</f>
        <v/>
      </c>
      <c r="F62" s="141" t="str">
        <f>IFERROR(__xludf.DUMMYFUNCTION("iferror(VALUE(REGEXEXTRACT($A62,""\(([0-9]+)\)$""))-if(D62=0,""L"",D62),"""")"),"")</f>
        <v/>
      </c>
    </row>
    <row r="63">
      <c r="E63" s="141" t="str">
        <f>IFERROR(__xludf.DUMMYFUNCTION("iferror(VALUE(REGEXEXTRACT($A63,""\(([0-9]+)\)$""))-if(C63=0,""L"",C63),"""")"),"")</f>
        <v/>
      </c>
      <c r="F63" s="141" t="str">
        <f>IFERROR(__xludf.DUMMYFUNCTION("iferror(VALUE(REGEXEXTRACT($A63,""\(([0-9]+)\)$""))-if(D63=0,""L"",D63),"""")"),"")</f>
        <v/>
      </c>
    </row>
    <row r="64">
      <c r="E64" s="141" t="str">
        <f>IFERROR(__xludf.DUMMYFUNCTION("iferror(VALUE(REGEXEXTRACT($A64,""\(([0-9]+)\)$""))-if(C64=0,""L"",C64),"""")"),"")</f>
        <v/>
      </c>
      <c r="F64" s="141" t="str">
        <f>IFERROR(__xludf.DUMMYFUNCTION("iferror(VALUE(REGEXEXTRACT($A64,""\(([0-9]+)\)$""))-if(D64=0,""L"",D64),"""")"),"")</f>
        <v/>
      </c>
    </row>
    <row r="65">
      <c r="E65" s="141" t="str">
        <f>IFERROR(__xludf.DUMMYFUNCTION("iferror(VALUE(REGEXEXTRACT($A65,""\(([0-9]+)\)$""))-if(C65=0,""L"",C65),"""")"),"")</f>
        <v/>
      </c>
      <c r="F65" s="141" t="str">
        <f>IFERROR(__xludf.DUMMYFUNCTION("iferror(VALUE(REGEXEXTRACT($A65,""\(([0-9]+)\)$""))-if(D65=0,""L"",D65),"""")"),"")</f>
        <v/>
      </c>
    </row>
    <row r="66">
      <c r="E66" s="141" t="str">
        <f>IFERROR(__xludf.DUMMYFUNCTION("iferror(VALUE(REGEXEXTRACT($A66,""\(([0-9]+)\)$""))-if(C66=0,""L"",C66),"""")"),"")</f>
        <v/>
      </c>
      <c r="F66" s="141" t="str">
        <f>IFERROR(__xludf.DUMMYFUNCTION("iferror(VALUE(REGEXEXTRACT($A66,""\(([0-9]+)\)$""))-if(D66=0,""L"",D66),"""")"),"")</f>
        <v/>
      </c>
    </row>
    <row r="67">
      <c r="E67" s="141" t="str">
        <f>IFERROR(__xludf.DUMMYFUNCTION("iferror(VALUE(REGEXEXTRACT($A67,""\(([0-9]+)\)$""))-if(C67=0,""L"",C67),"""")"),"")</f>
        <v/>
      </c>
      <c r="F67" s="141" t="str">
        <f>IFERROR(__xludf.DUMMYFUNCTION("iferror(VALUE(REGEXEXTRACT($A67,""\(([0-9]+)\)$""))-if(D67=0,""L"",D67),"""")"),"")</f>
        <v/>
      </c>
    </row>
    <row r="68">
      <c r="E68" s="141" t="str">
        <f>IFERROR(__xludf.DUMMYFUNCTION("iferror(VALUE(REGEXEXTRACT($A68,""\(([0-9]+)\)$""))-if(C68=0,""L"",C68),"""")"),"")</f>
        <v/>
      </c>
      <c r="F68" s="141" t="str">
        <f>IFERROR(__xludf.DUMMYFUNCTION("iferror(VALUE(REGEXEXTRACT($A68,""\(([0-9]+)\)$""))-if(D68=0,""L"",D68),"""")"),"")</f>
        <v/>
      </c>
    </row>
    <row r="69">
      <c r="E69" s="141" t="str">
        <f>IFERROR(__xludf.DUMMYFUNCTION("iferror(VALUE(REGEXEXTRACT($A69,""\(([0-9]+)\)$""))-if(C69=0,""L"",C69),"""")"),"")</f>
        <v/>
      </c>
      <c r="F69" s="141" t="str">
        <f>IFERROR(__xludf.DUMMYFUNCTION("iferror(VALUE(REGEXEXTRACT($A69,""\(([0-9]+)\)$""))-if(D69=0,""L"",D69),"""")"),"")</f>
        <v/>
      </c>
    </row>
    <row r="70">
      <c r="E70" s="141" t="str">
        <f>IFERROR(__xludf.DUMMYFUNCTION("iferror(VALUE(REGEXEXTRACT($A70,""\(([0-9]+)\)$""))-if(C70=0,""L"",C70),"""")"),"")</f>
        <v/>
      </c>
      <c r="F70" s="141" t="str">
        <f>IFERROR(__xludf.DUMMYFUNCTION("iferror(VALUE(REGEXEXTRACT($A70,""\(([0-9]+)\)$""))-if(D70=0,""L"",D70),"""")"),"")</f>
        <v/>
      </c>
    </row>
    <row r="71">
      <c r="E71" s="141" t="str">
        <f>IFERROR(__xludf.DUMMYFUNCTION("iferror(VALUE(REGEXEXTRACT($A71,""\(([0-9]+)\)$""))-if(C71=0,""L"",C71),"""")"),"")</f>
        <v/>
      </c>
      <c r="F71" s="141" t="str">
        <f>IFERROR(__xludf.DUMMYFUNCTION("iferror(VALUE(REGEXEXTRACT($A71,""\(([0-9]+)\)$""))-if(D71=0,""L"",D71),"""")"),"")</f>
        <v/>
      </c>
    </row>
    <row r="72">
      <c r="E72" s="141" t="str">
        <f>IFERROR(__xludf.DUMMYFUNCTION("iferror(VALUE(REGEXEXTRACT($A72,""\(([0-9]+)\)$""))-if(C72=0,""L"",C72),"""")"),"")</f>
        <v/>
      </c>
      <c r="F72" s="141" t="str">
        <f>IFERROR(__xludf.DUMMYFUNCTION("iferror(VALUE(REGEXEXTRACT($A72,""\(([0-9]+)\)$""))-if(D72=0,""L"",D72),"""")"),"")</f>
        <v/>
      </c>
    </row>
    <row r="73">
      <c r="E73" s="141" t="str">
        <f>IFERROR(__xludf.DUMMYFUNCTION("iferror(VALUE(REGEXEXTRACT($A73,""\(([0-9]+)\)$""))-if(C73=0,""L"",C73),"""")"),"")</f>
        <v/>
      </c>
      <c r="F73" s="141" t="str">
        <f>IFERROR(__xludf.DUMMYFUNCTION("iferror(VALUE(REGEXEXTRACT($A73,""\(([0-9]+)\)$""))-if(D73=0,""L"",D73),"""")"),"")</f>
        <v/>
      </c>
    </row>
    <row r="74">
      <c r="E74" s="141" t="str">
        <f>IFERROR(__xludf.DUMMYFUNCTION("iferror(VALUE(REGEXEXTRACT($A74,""\(([0-9]+)\)$""))-if(C74=0,""L"",C74),"""")"),"")</f>
        <v/>
      </c>
      <c r="F74" s="141" t="str">
        <f>IFERROR(__xludf.DUMMYFUNCTION("iferror(VALUE(REGEXEXTRACT($A74,""\(([0-9]+)\)$""))-if(D74=0,""L"",D74),"""")"),"")</f>
        <v/>
      </c>
    </row>
    <row r="75">
      <c r="E75" s="141" t="str">
        <f>IFERROR(__xludf.DUMMYFUNCTION("iferror(VALUE(REGEXEXTRACT($A75,""\(([0-9]+)\)$""))-if(C75=0,""L"",C75),"""")"),"")</f>
        <v/>
      </c>
      <c r="F75" s="141" t="str">
        <f>IFERROR(__xludf.DUMMYFUNCTION("iferror(VALUE(REGEXEXTRACT($A75,""\(([0-9]+)\)$""))-if(D75=0,""L"",D75),"""")"),"")</f>
        <v/>
      </c>
    </row>
    <row r="76">
      <c r="E76" s="141" t="str">
        <f>IFERROR(__xludf.DUMMYFUNCTION("iferror(VALUE(REGEXEXTRACT($A76,""\(([0-9]+)\)$""))-if(C76=0,""L"",C76),"""")"),"")</f>
        <v/>
      </c>
      <c r="F76" s="141" t="str">
        <f>IFERROR(__xludf.DUMMYFUNCTION("iferror(VALUE(REGEXEXTRACT($A76,""\(([0-9]+)\)$""))-if(D76=0,""L"",D76),"""")"),"")</f>
        <v/>
      </c>
    </row>
    <row r="77">
      <c r="E77" s="141" t="str">
        <f>IFERROR(__xludf.DUMMYFUNCTION("iferror(VALUE(REGEXEXTRACT($A77,""\(([0-9]+)\)$""))-if(C77=0,""L"",C77),"""")"),"")</f>
        <v/>
      </c>
      <c r="F77" s="141" t="str">
        <f>IFERROR(__xludf.DUMMYFUNCTION("iferror(VALUE(REGEXEXTRACT($A77,""\(([0-9]+)\)$""))-if(D77=0,""L"",D77),"""")"),"")</f>
        <v/>
      </c>
    </row>
    <row r="78">
      <c r="E78" s="141" t="str">
        <f>IFERROR(__xludf.DUMMYFUNCTION("iferror(VALUE(REGEXEXTRACT($A78,""\(([0-9]+)\)$""))-if(C78=0,""L"",C78),"""")"),"")</f>
        <v/>
      </c>
      <c r="F78" s="141" t="str">
        <f>IFERROR(__xludf.DUMMYFUNCTION("iferror(VALUE(REGEXEXTRACT($A78,""\(([0-9]+)\)$""))-if(D78=0,""L"",D78),"""")"),"")</f>
        <v/>
      </c>
    </row>
    <row r="79">
      <c r="E79" s="141" t="str">
        <f>IFERROR(__xludf.DUMMYFUNCTION("iferror(VALUE(REGEXEXTRACT($A79,""\(([0-9]+)\)$""))-if(C79=0,""L"",C79),"""")"),"")</f>
        <v/>
      </c>
      <c r="F79" s="141" t="str">
        <f>IFERROR(__xludf.DUMMYFUNCTION("iferror(VALUE(REGEXEXTRACT($A79,""\(([0-9]+)\)$""))-if(D79=0,""L"",D79),"""")"),"")</f>
        <v/>
      </c>
    </row>
    <row r="80">
      <c r="E80" s="141" t="str">
        <f>IFERROR(__xludf.DUMMYFUNCTION("iferror(VALUE(REGEXEXTRACT($A80,""\(([0-9]+)\)$""))-if(C80=0,""L"",C80),"""")"),"")</f>
        <v/>
      </c>
      <c r="F80" s="141" t="str">
        <f>IFERROR(__xludf.DUMMYFUNCTION("iferror(VALUE(REGEXEXTRACT($A80,""\(([0-9]+)\)$""))-if(D80=0,""L"",D80),"""")"),"")</f>
        <v/>
      </c>
    </row>
    <row r="81">
      <c r="E81" s="141" t="str">
        <f>IFERROR(__xludf.DUMMYFUNCTION("iferror(VALUE(REGEXEXTRACT($A81,""\(([0-9]+)\)$""))-if(C81=0,""L"",C81),"""")"),"")</f>
        <v/>
      </c>
      <c r="F81" s="141" t="str">
        <f>IFERROR(__xludf.DUMMYFUNCTION("iferror(VALUE(REGEXEXTRACT($A81,""\(([0-9]+)\)$""))-if(D81=0,""L"",D81),"""")"),"")</f>
        <v/>
      </c>
    </row>
    <row r="82">
      <c r="E82" s="141" t="str">
        <f>IFERROR(__xludf.DUMMYFUNCTION("iferror(VALUE(REGEXEXTRACT($A82,""\(([0-9]+)\)$""))-if(C82=0,""L"",C82),"""")"),"")</f>
        <v/>
      </c>
      <c r="F82" s="141" t="str">
        <f>IFERROR(__xludf.DUMMYFUNCTION("iferror(VALUE(REGEXEXTRACT($A82,""\(([0-9]+)\)$""))-if(D82=0,""L"",D82),"""")"),"")</f>
        <v/>
      </c>
    </row>
    <row r="83">
      <c r="E83" s="141" t="str">
        <f>IFERROR(__xludf.DUMMYFUNCTION("iferror(VALUE(REGEXEXTRACT($A83,""\(([0-9]+)\)$""))-if(C83=0,""L"",C83),"""")"),"")</f>
        <v/>
      </c>
      <c r="F83" s="141" t="str">
        <f>IFERROR(__xludf.DUMMYFUNCTION("iferror(VALUE(REGEXEXTRACT($A83,""\(([0-9]+)\)$""))-if(D83=0,""L"",D83),"""")"),"")</f>
        <v/>
      </c>
    </row>
    <row r="84">
      <c r="E84" s="141" t="str">
        <f>IFERROR(__xludf.DUMMYFUNCTION("iferror(VALUE(REGEXEXTRACT($A84,""\(([0-9]+)\)$""))-if(C84=0,""L"",C84),"""")"),"")</f>
        <v/>
      </c>
      <c r="F84" s="141" t="str">
        <f>IFERROR(__xludf.DUMMYFUNCTION("iferror(VALUE(REGEXEXTRACT($A84,""\(([0-9]+)\)$""))-if(D84=0,""L"",D84),"""")"),"")</f>
        <v/>
      </c>
    </row>
    <row r="85">
      <c r="E85" s="141" t="str">
        <f>IFERROR(__xludf.DUMMYFUNCTION("iferror(VALUE(REGEXEXTRACT($A85,""\(([0-9]+)\)$""))-if(C85=0,""L"",C85),"""")"),"")</f>
        <v/>
      </c>
      <c r="F85" s="141" t="str">
        <f>IFERROR(__xludf.DUMMYFUNCTION("iferror(VALUE(REGEXEXTRACT($A85,""\(([0-9]+)\)$""))-if(D85=0,""L"",D85),"""")"),"")</f>
        <v/>
      </c>
    </row>
    <row r="86">
      <c r="E86" s="141" t="str">
        <f>IFERROR(__xludf.DUMMYFUNCTION("iferror(VALUE(REGEXEXTRACT($A86,""\(([0-9]+)\)$""))-if(C86=0,""L"",C86),"""")"),"")</f>
        <v/>
      </c>
      <c r="F86" s="141" t="str">
        <f>IFERROR(__xludf.DUMMYFUNCTION("iferror(VALUE(REGEXEXTRACT($A86,""\(([0-9]+)\)$""))-if(D86=0,""L"",D86),"""")"),"")</f>
        <v/>
      </c>
    </row>
    <row r="87">
      <c r="E87" s="141" t="str">
        <f>IFERROR(__xludf.DUMMYFUNCTION("iferror(VALUE(REGEXEXTRACT($A87,""\(([0-9]+)\)$""))-if(C87=0,""L"",C87),"""")"),"")</f>
        <v/>
      </c>
      <c r="F87" s="141" t="str">
        <f>IFERROR(__xludf.DUMMYFUNCTION("iferror(VALUE(REGEXEXTRACT($A87,""\(([0-9]+)\)$""))-if(D87=0,""L"",D87),"""")"),"")</f>
        <v/>
      </c>
    </row>
    <row r="88">
      <c r="E88" s="141" t="str">
        <f>IFERROR(__xludf.DUMMYFUNCTION("iferror(VALUE(REGEXEXTRACT($A88,""\(([0-9]+)\)$""))-if(C88=0,""L"",C88),"""")"),"")</f>
        <v/>
      </c>
      <c r="F88" s="141" t="str">
        <f>IFERROR(__xludf.DUMMYFUNCTION("iferror(VALUE(REGEXEXTRACT($A88,""\(([0-9]+)\)$""))-if(D88=0,""L"",D88),"""")"),"")</f>
        <v/>
      </c>
    </row>
    <row r="89">
      <c r="E89" s="141" t="str">
        <f>IFERROR(__xludf.DUMMYFUNCTION("iferror(VALUE(REGEXEXTRACT($A89,""\(([0-9]+)\)$""))-if(C89=0,""L"",C89),"""")"),"")</f>
        <v/>
      </c>
      <c r="F89" s="141" t="str">
        <f>IFERROR(__xludf.DUMMYFUNCTION("iferror(VALUE(REGEXEXTRACT($A89,""\(([0-9]+)\)$""))-if(D89=0,""L"",D89),"""")"),"")</f>
        <v/>
      </c>
    </row>
    <row r="90">
      <c r="E90" s="141" t="str">
        <f>IFERROR(__xludf.DUMMYFUNCTION("iferror(VALUE(REGEXEXTRACT($A90,""\(([0-9]+)\)$""))-if(C90=0,""L"",C90),"""")"),"")</f>
        <v/>
      </c>
      <c r="F90" s="141" t="str">
        <f>IFERROR(__xludf.DUMMYFUNCTION("iferror(VALUE(REGEXEXTRACT($A90,""\(([0-9]+)\)$""))-if(D90=0,""L"",D90),"""")"),"")</f>
        <v/>
      </c>
    </row>
    <row r="91">
      <c r="E91" s="141" t="str">
        <f>IFERROR(__xludf.DUMMYFUNCTION("iferror(VALUE(REGEXEXTRACT($A91,""\(([0-9]+)\)$""))-if(C91=0,""L"",C91),"""")"),"")</f>
        <v/>
      </c>
      <c r="F91" s="141" t="str">
        <f>IFERROR(__xludf.DUMMYFUNCTION("iferror(VALUE(REGEXEXTRACT($A91,""\(([0-9]+)\)$""))-if(D91=0,""L"",D91),"""")"),"")</f>
        <v/>
      </c>
    </row>
    <row r="92">
      <c r="E92" s="141" t="str">
        <f>IFERROR(__xludf.DUMMYFUNCTION("iferror(VALUE(REGEXEXTRACT($A92,""\(([0-9]+)\)$""))-if(C92=0,""L"",C92),"""")"),"")</f>
        <v/>
      </c>
      <c r="F92" s="141" t="str">
        <f>IFERROR(__xludf.DUMMYFUNCTION("iferror(VALUE(REGEXEXTRACT($A92,""\(([0-9]+)\)$""))-if(D92=0,""L"",D92),"""")"),"")</f>
        <v/>
      </c>
    </row>
    <row r="93">
      <c r="E93" s="141" t="str">
        <f>IFERROR(__xludf.DUMMYFUNCTION("iferror(VALUE(REGEXEXTRACT($A93,""\(([0-9]+)\)$""))-if(C93=0,""L"",C93),"""")"),"")</f>
        <v/>
      </c>
      <c r="F93" s="141" t="str">
        <f>IFERROR(__xludf.DUMMYFUNCTION("iferror(VALUE(REGEXEXTRACT($A93,""\(([0-9]+)\)$""))-if(D93=0,""L"",D93),"""")"),"")</f>
        <v/>
      </c>
    </row>
    <row r="94">
      <c r="E94" s="141" t="str">
        <f>IFERROR(__xludf.DUMMYFUNCTION("iferror(VALUE(REGEXEXTRACT($A94,""\(([0-9]+)\)$""))-if(C94=0,""L"",C94),"""")"),"")</f>
        <v/>
      </c>
      <c r="F94" s="141" t="str">
        <f>IFERROR(__xludf.DUMMYFUNCTION("iferror(VALUE(REGEXEXTRACT($A94,""\(([0-9]+)\)$""))-if(D94=0,""L"",D94),"""")"),"")</f>
        <v/>
      </c>
    </row>
    <row r="95">
      <c r="E95" s="141" t="str">
        <f>IFERROR(__xludf.DUMMYFUNCTION("iferror(VALUE(REGEXEXTRACT($A95,""\(([0-9]+)\)$""))-if(C95=0,""L"",C95),"""")"),"")</f>
        <v/>
      </c>
      <c r="F95" s="141" t="str">
        <f>IFERROR(__xludf.DUMMYFUNCTION("iferror(VALUE(REGEXEXTRACT($A95,""\(([0-9]+)\)$""))-if(D95=0,""L"",D95),"""")"),"")</f>
        <v/>
      </c>
    </row>
    <row r="96">
      <c r="E96" s="141" t="str">
        <f>IFERROR(__xludf.DUMMYFUNCTION("iferror(VALUE(REGEXEXTRACT($A96,""\(([0-9]+)\)$""))-if(C96=0,""L"",C96),"""")"),"")</f>
        <v/>
      </c>
      <c r="F96" s="141" t="str">
        <f>IFERROR(__xludf.DUMMYFUNCTION("iferror(VALUE(REGEXEXTRACT($A96,""\(([0-9]+)\)$""))-if(D96=0,""L"",D96),"""")"),"")</f>
        <v/>
      </c>
    </row>
    <row r="97">
      <c r="E97" s="141" t="str">
        <f>IFERROR(__xludf.DUMMYFUNCTION("iferror(VALUE(REGEXEXTRACT($A97,""\(([0-9]+)\)$""))-if(C97=0,""L"",C97),"""")"),"")</f>
        <v/>
      </c>
      <c r="F97" s="141" t="str">
        <f>IFERROR(__xludf.DUMMYFUNCTION("iferror(VALUE(REGEXEXTRACT($A97,""\(([0-9]+)\)$""))-if(D97=0,""L"",D97),"""")"),"")</f>
        <v/>
      </c>
    </row>
    <row r="98">
      <c r="E98" s="141" t="str">
        <f>IFERROR(__xludf.DUMMYFUNCTION("iferror(VALUE(REGEXEXTRACT(B98,""\(([0-9]+)\)$""))-$C98,"""")"),"")</f>
        <v/>
      </c>
      <c r="F98" s="141" t="str">
        <f>IFERROR(__xludf.DUMMYFUNCTION("iferror(VALUE(REGEXEXTRACT(C98,""\(([0-9]+)\)$""))-$C98,"""")"),"")</f>
        <v/>
      </c>
    </row>
    <row r="99">
      <c r="E99" s="141" t="str">
        <f>IFERROR(__xludf.DUMMYFUNCTION("iferror(VALUE(REGEXEXTRACT(B99,""\(([0-9]+)\)$""))-$C99,"""")"),"")</f>
        <v/>
      </c>
      <c r="F99" s="141" t="str">
        <f>IFERROR(__xludf.DUMMYFUNCTION("iferror(VALUE(REGEXEXTRACT(C99,""\(([0-9]+)\)$""))-$C99,"""")"),"")</f>
        <v/>
      </c>
    </row>
    <row r="100">
      <c r="E100" s="141" t="str">
        <f>IFERROR(__xludf.DUMMYFUNCTION("iferror(VALUE(REGEXEXTRACT(B100,""\(([0-9]+)\)$""))-$C100,"""")"),"")</f>
        <v/>
      </c>
      <c r="F100" s="141" t="str">
        <f>IFERROR(__xludf.DUMMYFUNCTION("iferror(VALUE(REGEXEXTRACT(C100,""\(([0-9]+)\)$""))-$C100,"""")"),"")</f>
        <v/>
      </c>
    </row>
    <row r="101">
      <c r="E101" s="141" t="str">
        <f>IFERROR(__xludf.DUMMYFUNCTION("iferror(VALUE(REGEXEXTRACT(B101,""\(([0-9]+)\)$""))-$C101,"""")"),"")</f>
        <v/>
      </c>
      <c r="F101" s="141" t="str">
        <f>IFERROR(__xludf.DUMMYFUNCTION("iferror(VALUE(REGEXEXTRACT(C101,""\(([0-9]+)\)$""))-$C101,"""")"),"")</f>
        <v/>
      </c>
    </row>
    <row r="102">
      <c r="E102" s="141" t="str">
        <f>IFERROR(__xludf.DUMMYFUNCTION("iferror(VALUE(REGEXEXTRACT(B102,""\(([0-9]+)\)$""))-$C102,"""")"),"")</f>
        <v/>
      </c>
      <c r="F102" s="141" t="str">
        <f>IFERROR(__xludf.DUMMYFUNCTION("iferror(VALUE(REGEXEXTRACT(C102,""\(([0-9]+)\)$""))-$C102,"""")"),"")</f>
        <v/>
      </c>
    </row>
    <row r="103">
      <c r="E103" s="141" t="str">
        <f>IFERROR(__xludf.DUMMYFUNCTION("iferror(VALUE(REGEXEXTRACT(B103,""\(([0-9]+)\)$""))-$C103,"""")"),"")</f>
        <v/>
      </c>
      <c r="F103" s="141" t="str">
        <f>IFERROR(__xludf.DUMMYFUNCTION("iferror(VALUE(REGEXEXTRACT(C103,""\(([0-9]+)\)$""))-$C103,"""")"),"")</f>
        <v/>
      </c>
    </row>
    <row r="104">
      <c r="E104" s="141" t="str">
        <f>IFERROR(__xludf.DUMMYFUNCTION("iferror(VALUE(REGEXEXTRACT(B104,""\(([0-9]+)\)$""))-$C104,"""")"),"")</f>
        <v/>
      </c>
      <c r="F104" s="141" t="str">
        <f>IFERROR(__xludf.DUMMYFUNCTION("iferror(VALUE(REGEXEXTRACT(C104,""\(([0-9]+)\)$""))-$C104,"""")"),"")</f>
        <v/>
      </c>
    </row>
    <row r="105">
      <c r="E105" s="141" t="str">
        <f>IFERROR(__xludf.DUMMYFUNCTION("iferror(VALUE(REGEXEXTRACT(B105,""\(([0-9]+)\)$""))-$C105,"""")"),"")</f>
        <v/>
      </c>
      <c r="F105" s="141" t="str">
        <f>IFERROR(__xludf.DUMMYFUNCTION("iferror(VALUE(REGEXEXTRACT(C105,""\(([0-9]+)\)$""))-$C105,"""")"),"")</f>
        <v/>
      </c>
    </row>
    <row r="106">
      <c r="E106" s="141" t="str">
        <f>IFERROR(__xludf.DUMMYFUNCTION("iferror(VALUE(REGEXEXTRACT(B106,""\(([0-9]+)\)$""))-$C106,"""")"),"")</f>
        <v/>
      </c>
      <c r="F106" s="141" t="str">
        <f>IFERROR(__xludf.DUMMYFUNCTION("iferror(VALUE(REGEXEXTRACT(C106,""\(([0-9]+)\)$""))-$C106,"""")"),"")</f>
        <v/>
      </c>
    </row>
    <row r="107">
      <c r="E107" s="141" t="str">
        <f>IFERROR(__xludf.DUMMYFUNCTION("iferror(VALUE(REGEXEXTRACT(B107,""\(([0-9]+)\)$""))-$C107,"""")"),"")</f>
        <v/>
      </c>
      <c r="F107" s="141" t="str">
        <f>IFERROR(__xludf.DUMMYFUNCTION("iferror(VALUE(REGEXEXTRACT(C107,""\(([0-9]+)\)$""))-$C107,"""")"),"")</f>
        <v/>
      </c>
    </row>
    <row r="108">
      <c r="E108" s="141" t="str">
        <f>IFERROR(__xludf.DUMMYFUNCTION("iferror(VALUE(REGEXEXTRACT(B108,""\(([0-9]+)\)$""))-$C108,"""")"),"")</f>
        <v/>
      </c>
      <c r="F108" s="141" t="str">
        <f>IFERROR(__xludf.DUMMYFUNCTION("iferror(VALUE(REGEXEXTRACT(C108,""\(([0-9]+)\)$""))-$C108,"""")"),"")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3" t="s">
        <v>3167</v>
      </c>
    </row>
    <row r="2">
      <c r="A2" s="141" t="e">
        <v>#REF!</v>
      </c>
    </row>
    <row r="4">
      <c r="H4" s="144"/>
    </row>
    <row r="5">
      <c r="H5" s="144"/>
    </row>
    <row r="6">
      <c r="H6" s="144"/>
    </row>
    <row r="7">
      <c r="H7" s="144"/>
    </row>
    <row r="8">
      <c r="H8" s="144"/>
    </row>
    <row r="9">
      <c r="H9" s="144"/>
    </row>
    <row r="10">
      <c r="H10" s="144"/>
    </row>
    <row r="11">
      <c r="H11" s="144"/>
    </row>
    <row r="12">
      <c r="H12" s="144"/>
    </row>
    <row r="13">
      <c r="H13" s="144"/>
    </row>
    <row r="14">
      <c r="H14" s="144"/>
    </row>
    <row r="15">
      <c r="H15" s="144"/>
    </row>
    <row r="16">
      <c r="H16" s="144"/>
    </row>
    <row r="17">
      <c r="H17" s="144"/>
    </row>
    <row r="18">
      <c r="H18" s="145"/>
    </row>
    <row r="32">
      <c r="A32" s="143" t="s">
        <v>3168</v>
      </c>
    </row>
    <row r="34">
      <c r="A34" s="12" t="s">
        <v>2295</v>
      </c>
      <c r="B34" s="143">
        <v>23.0</v>
      </c>
      <c r="C34" s="143" t="s">
        <v>3169</v>
      </c>
    </row>
    <row r="35">
      <c r="A35" s="12" t="s">
        <v>2326</v>
      </c>
      <c r="B35" s="12">
        <v>16.0</v>
      </c>
      <c r="C35" s="143" t="s">
        <v>3170</v>
      </c>
    </row>
    <row r="44">
      <c r="A44" s="143" t="s">
        <v>3171</v>
      </c>
      <c r="B44" s="146" t="s">
        <v>3172</v>
      </c>
    </row>
    <row r="45">
      <c r="A45" s="141" t="s">
        <v>2380</v>
      </c>
      <c r="B45" s="144">
        <v>0.11111111111111116</v>
      </c>
    </row>
    <row r="46">
      <c r="A46" s="141" t="s">
        <v>2187</v>
      </c>
      <c r="B46" s="144">
        <v>0.1923076923076923</v>
      </c>
    </row>
    <row r="47">
      <c r="A47" s="141" t="s">
        <v>2007</v>
      </c>
      <c r="B47" s="144">
        <v>0.2857142857142857</v>
      </c>
    </row>
    <row r="48">
      <c r="A48" s="141" t="s">
        <v>2134</v>
      </c>
      <c r="B48" s="144">
        <v>0.339622641509434</v>
      </c>
    </row>
    <row r="49">
      <c r="A49" s="141" t="s">
        <v>2051</v>
      </c>
      <c r="B49" s="144">
        <v>0.36</v>
      </c>
    </row>
    <row r="50">
      <c r="A50" s="141" t="s">
        <v>2058</v>
      </c>
      <c r="B50" s="144">
        <v>0.42105263157894735</v>
      </c>
    </row>
    <row r="51">
      <c r="A51" s="141" t="s">
        <v>2416</v>
      </c>
      <c r="B51" s="144">
        <v>0.4285714285714286</v>
      </c>
    </row>
    <row r="52">
      <c r="A52" s="141" t="s">
        <v>2609</v>
      </c>
      <c r="B52" s="144">
        <v>0.45945945945945943</v>
      </c>
    </row>
    <row r="53">
      <c r="A53" s="141" t="s">
        <v>1650</v>
      </c>
      <c r="B53" s="144">
        <v>0.4782608695652174</v>
      </c>
    </row>
    <row r="54">
      <c r="A54" s="141" t="s">
        <v>2000</v>
      </c>
      <c r="B54" s="144">
        <v>0.6666666666666667</v>
      </c>
    </row>
    <row r="55">
      <c r="A55" s="141" t="s">
        <v>2162</v>
      </c>
      <c r="B55" s="144">
        <v>0.6842105263157895</v>
      </c>
    </row>
    <row r="56">
      <c r="A56" s="141" t="s">
        <v>2016</v>
      </c>
      <c r="B56" s="144">
        <v>1.0</v>
      </c>
    </row>
    <row r="57">
      <c r="A57" s="141" t="s">
        <v>2036</v>
      </c>
      <c r="B57" s="144">
        <v>1.0</v>
      </c>
    </row>
    <row r="58">
      <c r="A58" s="141" t="s">
        <v>2091</v>
      </c>
      <c r="B58" s="144">
        <v>1.0</v>
      </c>
    </row>
  </sheetData>
  <autoFilter ref="$A$44:$B$58">
    <sortState ref="A44:B58">
      <sortCondition ref="B44:B58"/>
    </sortState>
  </autoFilter>
  <conditionalFormatting sqref="A34:A35 B35">
    <cfRule type="expression" dxfId="4" priority="1">
      <formula>#REF!=0</formula>
    </cfRule>
  </conditionalFormatting>
  <conditionalFormatting sqref="A34:A35 B35">
    <cfRule type="expression" dxfId="7" priority="2">
      <formula>$U34="Missing"</formula>
    </cfRule>
  </conditionalFormatting>
  <conditionalFormatting sqref="A34:A35 B35">
    <cfRule type="expression" dxfId="5" priority="3">
      <formula>$U34="Lent"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7.0"/>
    <col customWidth="1" min="3" max="3" width="17.86"/>
    <col customWidth="1" min="4" max="20" width="12.14"/>
    <col customWidth="1" min="21" max="21" width="9.14"/>
    <col customWidth="1" min="22" max="22" width="8.71"/>
    <col customWidth="1" min="23" max="23" width="11.0"/>
    <col customWidth="1" min="24" max="26" width="9.14"/>
  </cols>
  <sheetData>
    <row r="1" ht="12.0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0" customHeight="1">
      <c r="A2" s="10"/>
      <c r="B2" s="147" t="s">
        <v>3173</v>
      </c>
      <c r="C2" s="148">
        <v>52.0</v>
      </c>
      <c r="D2" s="148"/>
      <c r="E2" s="148" t="s">
        <v>3174</v>
      </c>
      <c r="F2" s="149">
        <v>43465.0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 t="s">
        <v>3175</v>
      </c>
      <c r="W2" s="150">
        <v>43101.0</v>
      </c>
      <c r="X2" s="10"/>
      <c r="Y2" s="10"/>
      <c r="Z2" s="10"/>
    </row>
    <row r="3" ht="12.0" customHeight="1">
      <c r="A3" s="10"/>
      <c r="B3" s="40" t="s">
        <v>3176</v>
      </c>
      <c r="C3" s="151">
        <v>12.0</v>
      </c>
      <c r="D3" s="151"/>
      <c r="E3" s="151" t="s">
        <v>3177</v>
      </c>
      <c r="F3" s="152">
        <f>TODAY()</f>
        <v>46081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 t="s">
        <v>3178</v>
      </c>
      <c r="W3" s="153">
        <f>MAX((F3-W2)/(F2-W2),0)</f>
        <v>8.186813187</v>
      </c>
      <c r="X3" s="10"/>
      <c r="Y3" s="10"/>
      <c r="Z3" s="10"/>
    </row>
    <row r="4" ht="12.0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0"/>
      <c r="C5" s="154" t="s">
        <v>3179</v>
      </c>
      <c r="D5" s="155">
        <v>2.0</v>
      </c>
      <c r="E5" s="155">
        <v>1.0</v>
      </c>
      <c r="F5" s="155">
        <v>4.0</v>
      </c>
      <c r="G5" s="155">
        <v>1.0</v>
      </c>
      <c r="H5" s="155">
        <v>8.0</v>
      </c>
      <c r="I5" s="155">
        <v>4.0</v>
      </c>
      <c r="J5" s="155">
        <v>2.0</v>
      </c>
      <c r="K5" s="155">
        <v>2.0</v>
      </c>
      <c r="L5" s="155">
        <v>6.0</v>
      </c>
      <c r="M5" s="155">
        <v>26.0</v>
      </c>
      <c r="N5" s="155">
        <v>8.0</v>
      </c>
      <c r="O5" s="155">
        <v>4.0</v>
      </c>
      <c r="P5" s="155">
        <v>3.0</v>
      </c>
      <c r="Q5" s="155">
        <v>22.0</v>
      </c>
      <c r="R5" s="155">
        <v>3.0</v>
      </c>
      <c r="S5" s="155">
        <v>4.0</v>
      </c>
      <c r="T5" s="156">
        <v>52.0</v>
      </c>
      <c r="U5" s="10"/>
      <c r="V5" s="10"/>
      <c r="W5" s="10"/>
      <c r="X5" s="10"/>
      <c r="Y5" s="10"/>
      <c r="Z5" s="10"/>
    </row>
    <row r="6" ht="12.0" customHeight="1">
      <c r="A6" s="10"/>
      <c r="B6" s="10"/>
      <c r="C6" s="157" t="s">
        <v>3180</v>
      </c>
      <c r="D6" s="158">
        <f t="shared" ref="D6:T6" si="1">ROUNDDOWN(D5*$W$3,0)</f>
        <v>16</v>
      </c>
      <c r="E6" s="158">
        <f t="shared" si="1"/>
        <v>8</v>
      </c>
      <c r="F6" s="158">
        <f t="shared" si="1"/>
        <v>32</v>
      </c>
      <c r="G6" s="158">
        <f t="shared" si="1"/>
        <v>8</v>
      </c>
      <c r="H6" s="158">
        <f t="shared" si="1"/>
        <v>65</v>
      </c>
      <c r="I6" s="158">
        <f t="shared" si="1"/>
        <v>32</v>
      </c>
      <c r="J6" s="158">
        <f t="shared" si="1"/>
        <v>16</v>
      </c>
      <c r="K6" s="158">
        <f t="shared" si="1"/>
        <v>16</v>
      </c>
      <c r="L6" s="158">
        <f t="shared" si="1"/>
        <v>49</v>
      </c>
      <c r="M6" s="158">
        <f t="shared" si="1"/>
        <v>212</v>
      </c>
      <c r="N6" s="158">
        <f t="shared" si="1"/>
        <v>65</v>
      </c>
      <c r="O6" s="158">
        <f t="shared" si="1"/>
        <v>32</v>
      </c>
      <c r="P6" s="158">
        <f t="shared" si="1"/>
        <v>24</v>
      </c>
      <c r="Q6" s="158">
        <f t="shared" si="1"/>
        <v>180</v>
      </c>
      <c r="R6" s="158">
        <f t="shared" si="1"/>
        <v>24</v>
      </c>
      <c r="S6" s="158">
        <f t="shared" si="1"/>
        <v>32</v>
      </c>
      <c r="T6" s="159">
        <f t="shared" si="1"/>
        <v>425</v>
      </c>
      <c r="U6" s="10"/>
      <c r="V6" s="10"/>
      <c r="W6" s="10"/>
      <c r="X6" s="10"/>
      <c r="Y6" s="10"/>
      <c r="Z6" s="10"/>
    </row>
    <row r="7" ht="12.0" customHeight="1">
      <c r="A7" s="10"/>
      <c r="B7" s="10"/>
      <c r="C7" s="160" t="s">
        <v>3181</v>
      </c>
      <c r="D7" s="161">
        <f t="shared" ref="D7:T7" si="2">COUNTIF(D10:D26,1)</f>
        <v>2</v>
      </c>
      <c r="E7" s="161">
        <f t="shared" si="2"/>
        <v>1</v>
      </c>
      <c r="F7" s="161">
        <f t="shared" si="2"/>
        <v>0</v>
      </c>
      <c r="G7" s="161">
        <f t="shared" si="2"/>
        <v>0</v>
      </c>
      <c r="H7" s="161">
        <f t="shared" si="2"/>
        <v>0</v>
      </c>
      <c r="I7" s="161">
        <f t="shared" si="2"/>
        <v>0</v>
      </c>
      <c r="J7" s="161">
        <f t="shared" si="2"/>
        <v>0</v>
      </c>
      <c r="K7" s="161">
        <f t="shared" si="2"/>
        <v>0</v>
      </c>
      <c r="L7" s="161">
        <f t="shared" si="2"/>
        <v>1</v>
      </c>
      <c r="M7" s="161">
        <f t="shared" si="2"/>
        <v>8</v>
      </c>
      <c r="N7" s="161">
        <f t="shared" si="2"/>
        <v>1</v>
      </c>
      <c r="O7" s="161">
        <f t="shared" si="2"/>
        <v>1</v>
      </c>
      <c r="P7" s="161">
        <f t="shared" si="2"/>
        <v>1</v>
      </c>
      <c r="Q7" s="161">
        <f t="shared" si="2"/>
        <v>3</v>
      </c>
      <c r="R7" s="161">
        <f t="shared" si="2"/>
        <v>0</v>
      </c>
      <c r="S7" s="161">
        <f t="shared" si="2"/>
        <v>0</v>
      </c>
      <c r="T7" s="162">
        <f t="shared" si="2"/>
        <v>9</v>
      </c>
      <c r="U7" s="10"/>
      <c r="V7" s="10"/>
      <c r="W7" s="10"/>
      <c r="X7" s="10"/>
      <c r="Y7" s="10"/>
      <c r="Z7" s="10"/>
    </row>
    <row r="8" ht="12.0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163"/>
      <c r="B9" s="164" t="s">
        <v>3182</v>
      </c>
      <c r="C9" s="165" t="s">
        <v>3183</v>
      </c>
      <c r="D9" s="166" t="s">
        <v>3184</v>
      </c>
      <c r="E9" s="167" t="s">
        <v>3185</v>
      </c>
      <c r="F9" s="168" t="s">
        <v>3186</v>
      </c>
      <c r="G9" s="169" t="s">
        <v>3187</v>
      </c>
      <c r="H9" s="169" t="s">
        <v>3188</v>
      </c>
      <c r="I9" s="170" t="s">
        <v>3189</v>
      </c>
      <c r="J9" s="170" t="s">
        <v>3190</v>
      </c>
      <c r="K9" s="170" t="s">
        <v>3191</v>
      </c>
      <c r="L9" s="171" t="s">
        <v>3192</v>
      </c>
      <c r="M9" s="172" t="s">
        <v>3193</v>
      </c>
      <c r="N9" s="173" t="s">
        <v>3194</v>
      </c>
      <c r="O9" s="173" t="s">
        <v>3195</v>
      </c>
      <c r="P9" s="174" t="s">
        <v>3196</v>
      </c>
      <c r="Q9" s="175" t="s">
        <v>3197</v>
      </c>
      <c r="R9" s="176" t="s">
        <v>3198</v>
      </c>
      <c r="S9" s="177" t="s">
        <v>3199</v>
      </c>
      <c r="T9" s="178" t="s">
        <v>3200</v>
      </c>
      <c r="U9" s="163"/>
      <c r="V9" s="163"/>
      <c r="W9" s="163"/>
      <c r="X9" s="163"/>
      <c r="Y9" s="163"/>
      <c r="Z9" s="163"/>
    </row>
    <row r="10" ht="12.0" customHeight="1">
      <c r="A10" s="10"/>
      <c r="B10" s="147">
        <v>1.0</v>
      </c>
      <c r="C10" s="179" t="s">
        <v>1232</v>
      </c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>
        <v>1.0</v>
      </c>
      <c r="O10" s="148"/>
      <c r="P10" s="148"/>
      <c r="Q10" s="148">
        <v>1.0</v>
      </c>
      <c r="R10" s="148"/>
      <c r="S10" s="148"/>
      <c r="T10" s="179"/>
      <c r="U10" s="10"/>
      <c r="V10" s="10"/>
      <c r="W10" s="10"/>
      <c r="X10" s="10"/>
      <c r="Y10" s="10"/>
      <c r="Z10" s="10"/>
    </row>
    <row r="11" ht="12.0" customHeight="1">
      <c r="A11" s="10"/>
      <c r="B11" s="180">
        <f t="shared" ref="B11:B26" si="3">INDIRECT(ADDRESS(ROW()-1,COLUMN()))+1</f>
        <v>2</v>
      </c>
      <c r="C11" s="181" t="s">
        <v>3201</v>
      </c>
      <c r="D11" s="10"/>
      <c r="E11" s="10"/>
      <c r="F11" s="10"/>
      <c r="G11" s="10"/>
      <c r="H11" s="10"/>
      <c r="I11" s="10"/>
      <c r="J11" s="10"/>
      <c r="K11" s="10"/>
      <c r="L11" s="10"/>
      <c r="M11" s="10">
        <v>1.0</v>
      </c>
      <c r="N11" s="10"/>
      <c r="O11" s="10"/>
      <c r="P11" s="10"/>
      <c r="Q11" s="10"/>
      <c r="R11" s="10"/>
      <c r="S11" s="10"/>
      <c r="T11" s="181">
        <v>1.0</v>
      </c>
      <c r="U11" s="10"/>
      <c r="V11" s="10"/>
      <c r="W11" s="10"/>
      <c r="X11" s="10"/>
      <c r="Y11" s="10"/>
      <c r="Z11" s="10"/>
    </row>
    <row r="12" ht="12.0" customHeight="1">
      <c r="A12" s="10"/>
      <c r="B12" s="180">
        <f t="shared" si="3"/>
        <v>3</v>
      </c>
      <c r="C12" s="181" t="s">
        <v>3202</v>
      </c>
      <c r="D12" s="10"/>
      <c r="E12" s="10">
        <v>1.0</v>
      </c>
      <c r="F12" s="10"/>
      <c r="G12" s="10"/>
      <c r="H12" s="10"/>
      <c r="I12" s="10"/>
      <c r="J12" s="10"/>
      <c r="K12" s="10"/>
      <c r="L12" s="10"/>
      <c r="M12" s="10">
        <v>1.0</v>
      </c>
      <c r="N12" s="10"/>
      <c r="O12" s="10"/>
      <c r="P12" s="10"/>
      <c r="Q12" s="10"/>
      <c r="R12" s="10"/>
      <c r="S12" s="10"/>
      <c r="T12" s="181">
        <v>1.0</v>
      </c>
      <c r="U12" s="10"/>
      <c r="V12" s="10"/>
      <c r="W12" s="10"/>
      <c r="X12" s="10"/>
      <c r="Y12" s="10"/>
      <c r="Z12" s="10"/>
    </row>
    <row r="13" ht="12.0" customHeight="1">
      <c r="A13" s="10"/>
      <c r="B13" s="180">
        <f t="shared" si="3"/>
        <v>4</v>
      </c>
      <c r="C13" s="181" t="s">
        <v>3203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81">
        <v>1.0</v>
      </c>
      <c r="U13" s="10"/>
      <c r="V13" s="10"/>
      <c r="W13" s="10"/>
      <c r="X13" s="10"/>
      <c r="Y13" s="10"/>
      <c r="Z13" s="10"/>
    </row>
    <row r="14" ht="12.0" customHeight="1">
      <c r="A14" s="10"/>
      <c r="B14" s="180">
        <f t="shared" si="3"/>
        <v>5</v>
      </c>
      <c r="C14" s="181" t="s">
        <v>3204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81">
        <v>1.0</v>
      </c>
      <c r="U14" s="10"/>
      <c r="V14" s="10"/>
      <c r="W14" s="10"/>
      <c r="X14" s="10"/>
      <c r="Y14" s="10"/>
      <c r="Z14" s="10"/>
    </row>
    <row r="15" ht="12.0" customHeight="1">
      <c r="A15" s="10"/>
      <c r="B15" s="180">
        <f t="shared" si="3"/>
        <v>6</v>
      </c>
      <c r="C15" s="181" t="s">
        <v>3205</v>
      </c>
      <c r="D15" s="10"/>
      <c r="E15" s="10"/>
      <c r="F15" s="10"/>
      <c r="G15" s="10"/>
      <c r="H15" s="10"/>
      <c r="I15" s="10"/>
      <c r="J15" s="10"/>
      <c r="K15" s="10"/>
      <c r="L15" s="10"/>
      <c r="M15" s="10">
        <v>1.0</v>
      </c>
      <c r="N15" s="10"/>
      <c r="O15" s="10"/>
      <c r="P15" s="10"/>
      <c r="Q15" s="10"/>
      <c r="R15" s="10"/>
      <c r="S15" s="10"/>
      <c r="T15" s="181">
        <v>1.0</v>
      </c>
      <c r="U15" s="10"/>
      <c r="V15" s="10"/>
      <c r="W15" s="10"/>
      <c r="X15" s="10"/>
      <c r="Y15" s="10"/>
      <c r="Z15" s="10"/>
    </row>
    <row r="16" ht="12.0" customHeight="1">
      <c r="A16" s="10"/>
      <c r="B16" s="180">
        <f t="shared" si="3"/>
        <v>7</v>
      </c>
      <c r="C16" s="181" t="s">
        <v>782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>
        <v>1.0</v>
      </c>
      <c r="R16" s="10"/>
      <c r="S16" s="10"/>
      <c r="T16" s="181"/>
      <c r="U16" s="10"/>
      <c r="V16" s="10"/>
      <c r="W16" s="10"/>
      <c r="X16" s="10"/>
      <c r="Y16" s="10"/>
      <c r="Z16" s="10"/>
    </row>
    <row r="17" ht="12.0" customHeight="1">
      <c r="A17" s="10"/>
      <c r="B17" s="180">
        <f t="shared" si="3"/>
        <v>8</v>
      </c>
      <c r="C17" s="181" t="s">
        <v>136</v>
      </c>
      <c r="D17" s="10">
        <v>1.0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81"/>
      <c r="U17" s="10"/>
      <c r="V17" s="10"/>
      <c r="W17" s="10"/>
      <c r="X17" s="10"/>
      <c r="Y17" s="10"/>
      <c r="Z17" s="10"/>
    </row>
    <row r="18" ht="12.0" customHeight="1">
      <c r="A18" s="10"/>
      <c r="B18" s="180">
        <f t="shared" si="3"/>
        <v>9</v>
      </c>
      <c r="C18" s="181" t="s">
        <v>3206</v>
      </c>
      <c r="D18" s="10"/>
      <c r="E18" s="10"/>
      <c r="F18" s="10"/>
      <c r="G18" s="10"/>
      <c r="H18" s="10"/>
      <c r="I18" s="10"/>
      <c r="J18" s="10"/>
      <c r="K18" s="10"/>
      <c r="L18" s="10"/>
      <c r="M18" s="10">
        <v>1.0</v>
      </c>
      <c r="N18" s="10"/>
      <c r="O18" s="10"/>
      <c r="P18" s="10"/>
      <c r="Q18" s="10"/>
      <c r="R18" s="10"/>
      <c r="S18" s="10"/>
      <c r="T18" s="181"/>
      <c r="U18" s="10"/>
      <c r="V18" s="10"/>
      <c r="W18" s="10"/>
      <c r="X18" s="10"/>
      <c r="Y18" s="10"/>
      <c r="Z18" s="10"/>
    </row>
    <row r="19" ht="12.0" customHeight="1">
      <c r="A19" s="10"/>
      <c r="B19" s="180">
        <f t="shared" si="3"/>
        <v>10</v>
      </c>
      <c r="C19" s="181" t="s">
        <v>1022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1.0</v>
      </c>
      <c r="R19" s="10"/>
      <c r="S19" s="10"/>
      <c r="T19" s="181"/>
      <c r="U19" s="10"/>
      <c r="V19" s="10"/>
      <c r="W19" s="10"/>
      <c r="X19" s="10"/>
      <c r="Y19" s="10"/>
      <c r="Z19" s="10"/>
    </row>
    <row r="20" ht="12.0" customHeight="1">
      <c r="A20" s="10"/>
      <c r="B20" s="180">
        <f t="shared" si="3"/>
        <v>11</v>
      </c>
      <c r="C20" s="181" t="s">
        <v>3207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1.0</v>
      </c>
      <c r="Q20" s="10"/>
      <c r="R20" s="10"/>
      <c r="S20" s="10"/>
      <c r="T20" s="181"/>
      <c r="U20" s="10"/>
      <c r="V20" s="10"/>
      <c r="W20" s="10"/>
      <c r="X20" s="10"/>
      <c r="Y20" s="10"/>
      <c r="Z20" s="10"/>
    </row>
    <row r="21" ht="12.0" customHeight="1">
      <c r="A21" s="10"/>
      <c r="B21" s="180">
        <f t="shared" si="3"/>
        <v>12</v>
      </c>
      <c r="C21" s="181" t="s">
        <v>3208</v>
      </c>
      <c r="D21" s="10">
        <v>1.0</v>
      </c>
      <c r="E21" s="10"/>
      <c r="F21" s="10"/>
      <c r="G21" s="10"/>
      <c r="H21" s="10"/>
      <c r="I21" s="10"/>
      <c r="J21" s="10"/>
      <c r="K21" s="10"/>
      <c r="L21" s="10">
        <v>1.0</v>
      </c>
      <c r="M21" s="10"/>
      <c r="N21" s="10"/>
      <c r="O21" s="10">
        <v>1.0</v>
      </c>
      <c r="P21" s="10"/>
      <c r="Q21" s="10"/>
      <c r="R21" s="10"/>
      <c r="S21" s="10"/>
      <c r="T21" s="181"/>
      <c r="U21" s="10"/>
      <c r="V21" s="10"/>
      <c r="W21" s="10"/>
      <c r="X21" s="10"/>
      <c r="Y21" s="10"/>
      <c r="Z21" s="10"/>
    </row>
    <row r="22" ht="12.0" customHeight="1">
      <c r="A22" s="10"/>
      <c r="B22" s="180">
        <f t="shared" si="3"/>
        <v>13</v>
      </c>
      <c r="C22" s="181" t="s">
        <v>3209</v>
      </c>
      <c r="D22" s="10"/>
      <c r="E22" s="10"/>
      <c r="F22" s="10"/>
      <c r="G22" s="10"/>
      <c r="H22" s="10"/>
      <c r="I22" s="10"/>
      <c r="J22" s="10"/>
      <c r="K22" s="10"/>
      <c r="L22" s="10"/>
      <c r="M22" s="10">
        <v>1.0</v>
      </c>
      <c r="N22" s="10"/>
      <c r="O22" s="10"/>
      <c r="P22" s="10"/>
      <c r="Q22" s="10"/>
      <c r="R22" s="10"/>
      <c r="S22" s="10"/>
      <c r="T22" s="181">
        <v>1.0</v>
      </c>
      <c r="U22" s="10"/>
      <c r="V22" s="10"/>
      <c r="W22" s="10"/>
      <c r="X22" s="10"/>
      <c r="Y22" s="10"/>
      <c r="Z22" s="10"/>
    </row>
    <row r="23" ht="12.0" customHeight="1">
      <c r="A23" s="10"/>
      <c r="B23" s="180">
        <f t="shared" si="3"/>
        <v>14</v>
      </c>
      <c r="C23" s="181" t="s">
        <v>3210</v>
      </c>
      <c r="D23" s="10"/>
      <c r="E23" s="10"/>
      <c r="F23" s="10"/>
      <c r="G23" s="10"/>
      <c r="H23" s="10"/>
      <c r="I23" s="10"/>
      <c r="J23" s="10"/>
      <c r="K23" s="10"/>
      <c r="L23" s="10"/>
      <c r="M23" s="10">
        <v>1.0</v>
      </c>
      <c r="N23" s="10"/>
      <c r="O23" s="10"/>
      <c r="P23" s="10"/>
      <c r="Q23" s="10"/>
      <c r="R23" s="10"/>
      <c r="S23" s="10"/>
      <c r="T23" s="181">
        <v>1.0</v>
      </c>
      <c r="U23" s="10"/>
      <c r="V23" s="10"/>
      <c r="W23" s="10"/>
      <c r="X23" s="10"/>
      <c r="Y23" s="10"/>
      <c r="Z23" s="10"/>
    </row>
    <row r="24" ht="12.0" customHeight="1">
      <c r="A24" s="10"/>
      <c r="B24" s="180">
        <f t="shared" si="3"/>
        <v>15</v>
      </c>
      <c r="C24" s="181" t="s">
        <v>3211</v>
      </c>
      <c r="D24" s="10"/>
      <c r="E24" s="10"/>
      <c r="F24" s="10"/>
      <c r="G24" s="10"/>
      <c r="H24" s="10"/>
      <c r="I24" s="10"/>
      <c r="J24" s="10"/>
      <c r="K24" s="10"/>
      <c r="L24" s="10"/>
      <c r="M24" s="10">
        <v>1.0</v>
      </c>
      <c r="N24" s="10"/>
      <c r="O24" s="10"/>
      <c r="P24" s="10"/>
      <c r="Q24" s="10"/>
      <c r="R24" s="10"/>
      <c r="S24" s="10"/>
      <c r="T24" s="181">
        <v>1.0</v>
      </c>
      <c r="U24" s="10"/>
      <c r="V24" s="10"/>
      <c r="W24" s="10"/>
      <c r="X24" s="10"/>
      <c r="Y24" s="10"/>
      <c r="Z24" s="10"/>
    </row>
    <row r="25" ht="12.0" customHeight="1">
      <c r="A25" s="10"/>
      <c r="B25" s="180">
        <f t="shared" si="3"/>
        <v>16</v>
      </c>
      <c r="C25" s="181" t="s">
        <v>3212</v>
      </c>
      <c r="D25" s="10"/>
      <c r="E25" s="10"/>
      <c r="F25" s="10"/>
      <c r="G25" s="10"/>
      <c r="H25" s="10"/>
      <c r="I25" s="10"/>
      <c r="J25" s="10"/>
      <c r="K25" s="10"/>
      <c r="L25" s="10"/>
      <c r="M25" s="10">
        <v>1.0</v>
      </c>
      <c r="N25" s="10"/>
      <c r="O25" s="10"/>
      <c r="P25" s="10"/>
      <c r="Q25" s="10"/>
      <c r="R25" s="10"/>
      <c r="S25" s="10"/>
      <c r="T25" s="181">
        <v>1.0</v>
      </c>
      <c r="U25" s="10"/>
      <c r="V25" s="10"/>
      <c r="W25" s="10"/>
      <c r="X25" s="10"/>
      <c r="Y25" s="10"/>
      <c r="Z25" s="10"/>
    </row>
    <row r="26" ht="12.0" customHeight="1">
      <c r="A26" s="10"/>
      <c r="B26" s="40">
        <f t="shared" si="3"/>
        <v>17</v>
      </c>
      <c r="C26" s="182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82"/>
      <c r="U26" s="10"/>
      <c r="V26" s="10"/>
      <c r="W26" s="10"/>
      <c r="X26" s="10"/>
      <c r="Y26" s="10"/>
      <c r="Z26" s="10"/>
    </row>
    <row r="27" ht="12.0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0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0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0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0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0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0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0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D10:T26">
    <cfRule type="cellIs" dxfId="9" priority="1" operator="equal">
      <formula>1</formula>
    </cfRule>
  </conditionalFormatting>
  <conditionalFormatting sqref="D7:T7">
    <cfRule type="cellIs" dxfId="10" priority="2" operator="greaterThan">
      <formula>D6</formula>
    </cfRule>
  </conditionalFormatting>
  <conditionalFormatting sqref="D7:T7">
    <cfRule type="cellIs" dxfId="11" priority="3" operator="lessThan">
      <formula>D6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7.71"/>
    <col customWidth="1" min="3" max="3" width="11.43"/>
    <col customWidth="1" min="4" max="4" width="5.71"/>
    <col customWidth="1" min="5" max="5" width="9.86"/>
    <col customWidth="1" min="6" max="6" width="13.14"/>
    <col customWidth="1" min="7" max="7" width="13.57"/>
    <col customWidth="1" min="8" max="8" width="15.14"/>
    <col customWidth="1" min="9" max="9" width="3.86"/>
    <col customWidth="1" min="10" max="10" width="7.57"/>
    <col customWidth="1" min="11" max="11" width="10.71"/>
    <col customWidth="1" min="12" max="12" width="5.57"/>
    <col customWidth="1" min="13" max="13" width="11.0"/>
    <col customWidth="1" min="14" max="14" width="5.14"/>
    <col customWidth="1" min="15" max="16" width="10.14"/>
    <col customWidth="1" min="17" max="17" width="14.29"/>
    <col customWidth="1" min="18" max="18" width="8.86"/>
    <col customWidth="1" min="19" max="19" width="14.86"/>
    <col customWidth="1" min="20" max="20" width="10.14"/>
    <col customWidth="1" min="21" max="21" width="5.0"/>
  </cols>
  <sheetData>
    <row r="1">
      <c r="B1" s="143" t="s">
        <v>2007</v>
      </c>
      <c r="C1" s="143" t="s">
        <v>3213</v>
      </c>
      <c r="D1" s="143" t="s">
        <v>3214</v>
      </c>
      <c r="E1" s="143" t="s">
        <v>2058</v>
      </c>
      <c r="F1" s="143" t="s">
        <v>2057</v>
      </c>
      <c r="G1" s="143" t="s">
        <v>3215</v>
      </c>
      <c r="H1" s="143" t="s">
        <v>2074</v>
      </c>
      <c r="I1" s="143" t="s">
        <v>2230</v>
      </c>
      <c r="J1" s="143" t="s">
        <v>3216</v>
      </c>
      <c r="K1" s="143" t="s">
        <v>2791</v>
      </c>
      <c r="L1" s="143" t="s">
        <v>2512</v>
      </c>
      <c r="M1" s="143" t="s">
        <v>2162</v>
      </c>
      <c r="N1" s="143" t="s">
        <v>3217</v>
      </c>
      <c r="O1" s="143" t="s">
        <v>2656</v>
      </c>
      <c r="P1" s="143" t="s">
        <v>2873</v>
      </c>
      <c r="Q1" s="143" t="s">
        <v>3218</v>
      </c>
      <c r="R1" s="143" t="s">
        <v>2196</v>
      </c>
      <c r="S1" s="143" t="s">
        <v>3219</v>
      </c>
      <c r="T1" s="143" t="s">
        <v>3220</v>
      </c>
      <c r="U1" s="143" t="s">
        <v>3221</v>
      </c>
    </row>
    <row r="2">
      <c r="A2" s="143">
        <v>2001.0</v>
      </c>
      <c r="B2" s="183">
        <v>1.0</v>
      </c>
      <c r="C2" s="184"/>
      <c r="D2" s="184"/>
      <c r="E2" s="143">
        <v>1.0</v>
      </c>
      <c r="F2" s="184"/>
      <c r="G2" s="184"/>
      <c r="H2" s="184"/>
      <c r="I2" s="184"/>
      <c r="J2" s="184"/>
      <c r="K2" s="184"/>
      <c r="L2" s="184"/>
      <c r="M2" s="143">
        <v>1.0</v>
      </c>
      <c r="N2" s="184"/>
      <c r="O2" s="184"/>
      <c r="P2" s="183">
        <v>1.0</v>
      </c>
      <c r="Q2" s="184"/>
      <c r="R2" s="184"/>
      <c r="S2" s="183">
        <v>1.0</v>
      </c>
      <c r="T2" s="184"/>
      <c r="U2" s="184"/>
    </row>
    <row r="3">
      <c r="B3" s="143">
        <v>2.0</v>
      </c>
      <c r="C3" s="184"/>
      <c r="D3" s="184"/>
      <c r="E3" s="183">
        <v>2.0</v>
      </c>
      <c r="F3" s="184"/>
      <c r="G3" s="184"/>
      <c r="H3" s="184"/>
      <c r="I3" s="184"/>
      <c r="J3" s="184"/>
      <c r="K3" s="184"/>
      <c r="L3" s="184"/>
      <c r="M3" s="143">
        <v>2.0</v>
      </c>
      <c r="N3" s="184"/>
      <c r="O3" s="184"/>
      <c r="P3" s="183">
        <v>2.0</v>
      </c>
      <c r="Q3" s="184"/>
      <c r="R3" s="184"/>
      <c r="S3" s="143">
        <v>2.0</v>
      </c>
      <c r="T3" s="184"/>
      <c r="U3" s="184"/>
    </row>
    <row r="4">
      <c r="A4" s="143">
        <v>2002.0</v>
      </c>
      <c r="B4" s="143">
        <v>3.0</v>
      </c>
      <c r="C4" s="184"/>
      <c r="D4" s="184"/>
      <c r="E4" s="143">
        <v>3.0</v>
      </c>
      <c r="F4" s="184"/>
      <c r="G4" s="184"/>
      <c r="H4" s="184"/>
      <c r="I4" s="184"/>
      <c r="J4" s="184"/>
      <c r="K4" s="184"/>
      <c r="L4" s="184"/>
      <c r="M4" s="143">
        <v>3.0</v>
      </c>
      <c r="N4" s="184"/>
      <c r="O4" s="184"/>
      <c r="P4" s="143" t="s">
        <v>1961</v>
      </c>
      <c r="Q4" s="184"/>
      <c r="R4" s="184"/>
      <c r="S4" s="143">
        <v>3.0</v>
      </c>
      <c r="T4" s="184"/>
      <c r="U4" s="184"/>
    </row>
    <row r="5">
      <c r="B5" s="143">
        <v>4.0</v>
      </c>
      <c r="C5" s="184"/>
      <c r="D5" s="184"/>
      <c r="E5" s="183">
        <v>4.0</v>
      </c>
      <c r="F5" s="184"/>
      <c r="G5" s="184"/>
      <c r="H5" s="184"/>
      <c r="I5" s="184"/>
      <c r="J5" s="184"/>
      <c r="K5" s="184"/>
      <c r="L5" s="184"/>
      <c r="M5" s="143">
        <v>4.0</v>
      </c>
      <c r="N5" s="184"/>
      <c r="O5" s="184"/>
      <c r="P5" s="143" t="s">
        <v>1961</v>
      </c>
      <c r="Q5" s="184"/>
      <c r="R5" s="184"/>
      <c r="S5" s="143">
        <v>4.0</v>
      </c>
      <c r="T5" s="184"/>
      <c r="U5" s="184"/>
    </row>
    <row r="6">
      <c r="B6" s="143">
        <v>5.0</v>
      </c>
      <c r="C6" s="184"/>
      <c r="D6" s="184"/>
      <c r="E6" s="143">
        <v>5.0</v>
      </c>
      <c r="F6" s="184"/>
      <c r="G6" s="184"/>
      <c r="H6" s="184"/>
      <c r="I6" s="184"/>
      <c r="J6" s="184"/>
      <c r="K6" s="184"/>
      <c r="L6" s="184"/>
      <c r="M6" s="143">
        <v>5.0</v>
      </c>
      <c r="N6" s="184"/>
      <c r="O6" s="184"/>
      <c r="P6" s="143" t="s">
        <v>1961</v>
      </c>
      <c r="Q6" s="184"/>
      <c r="R6" s="184"/>
      <c r="S6" s="143">
        <v>5.0</v>
      </c>
      <c r="T6" s="184"/>
      <c r="U6" s="184"/>
    </row>
    <row r="7">
      <c r="B7" s="143">
        <v>6.0</v>
      </c>
      <c r="C7" s="143">
        <v>1.0</v>
      </c>
      <c r="D7" s="184"/>
      <c r="E7" s="143">
        <v>6.0</v>
      </c>
      <c r="F7" s="184"/>
      <c r="G7" s="184"/>
      <c r="H7" s="143">
        <v>1.0</v>
      </c>
      <c r="I7" s="184"/>
      <c r="J7" s="184"/>
      <c r="K7" s="184"/>
      <c r="L7" s="184"/>
      <c r="M7" s="143">
        <v>6.0</v>
      </c>
      <c r="N7" s="184"/>
      <c r="O7" s="184"/>
      <c r="P7" s="143">
        <v>1.0</v>
      </c>
      <c r="Q7" s="184"/>
      <c r="R7" s="184"/>
      <c r="S7" s="143">
        <v>6.0</v>
      </c>
      <c r="T7" s="184"/>
      <c r="U7" s="184"/>
    </row>
    <row r="8">
      <c r="B8" s="183">
        <v>7.0</v>
      </c>
      <c r="C8" s="143">
        <v>2.0</v>
      </c>
      <c r="D8" s="184"/>
      <c r="E8" s="143">
        <v>7.0</v>
      </c>
      <c r="F8" s="184"/>
      <c r="G8" s="184"/>
      <c r="H8" s="143">
        <v>2.0</v>
      </c>
      <c r="I8" s="184"/>
      <c r="J8" s="143">
        <v>1.0</v>
      </c>
      <c r="K8" s="184"/>
      <c r="L8" s="184"/>
      <c r="M8" s="143">
        <v>7.0</v>
      </c>
      <c r="N8" s="184"/>
      <c r="O8" s="143">
        <v>1.0</v>
      </c>
      <c r="P8" s="143">
        <v>2.0</v>
      </c>
      <c r="Q8" s="184"/>
      <c r="R8" s="184"/>
      <c r="S8" s="143">
        <v>7.0</v>
      </c>
      <c r="T8" s="184"/>
      <c r="U8" s="184"/>
    </row>
    <row r="9">
      <c r="B9" s="143">
        <v>8.0</v>
      </c>
      <c r="C9" s="143">
        <v>3.0</v>
      </c>
      <c r="D9" s="184"/>
      <c r="E9" s="143">
        <v>8.0</v>
      </c>
      <c r="F9" s="184"/>
      <c r="G9" s="184"/>
      <c r="H9" s="183">
        <v>3.0</v>
      </c>
      <c r="I9" s="184"/>
      <c r="J9" s="143">
        <v>2.0</v>
      </c>
      <c r="K9" s="184"/>
      <c r="L9" s="184"/>
      <c r="M9" s="143">
        <v>8.0</v>
      </c>
      <c r="N9" s="184"/>
      <c r="O9" s="143">
        <v>2.0</v>
      </c>
      <c r="P9" s="143">
        <v>3.0</v>
      </c>
      <c r="Q9" s="184"/>
      <c r="R9" s="184"/>
      <c r="S9" s="143">
        <v>8.0</v>
      </c>
      <c r="T9" s="184"/>
      <c r="U9" s="184"/>
    </row>
    <row r="10">
      <c r="B10" s="143">
        <v>9.0</v>
      </c>
      <c r="C10" s="143">
        <v>4.0</v>
      </c>
      <c r="D10" s="184"/>
      <c r="E10" s="143">
        <v>9.0</v>
      </c>
      <c r="F10" s="184"/>
      <c r="G10" s="184"/>
      <c r="H10" s="143">
        <v>4.0</v>
      </c>
      <c r="I10" s="184"/>
      <c r="J10" s="143">
        <v>3.0</v>
      </c>
      <c r="K10" s="184"/>
      <c r="L10" s="184"/>
      <c r="M10" s="143">
        <v>9.0</v>
      </c>
      <c r="N10" s="184"/>
      <c r="O10" s="143">
        <v>3.0</v>
      </c>
      <c r="P10" s="143">
        <v>4.0</v>
      </c>
      <c r="Q10" s="184"/>
      <c r="R10" s="184"/>
      <c r="S10" s="143">
        <v>9.0</v>
      </c>
      <c r="T10" s="184"/>
      <c r="U10" s="184"/>
    </row>
    <row r="11">
      <c r="B11" s="143">
        <v>10.0</v>
      </c>
      <c r="C11" s="183">
        <v>5.0</v>
      </c>
      <c r="D11" s="184"/>
      <c r="E11" s="183">
        <v>10.0</v>
      </c>
      <c r="F11" s="184"/>
      <c r="G11" s="184"/>
      <c r="H11" s="143">
        <v>5.0</v>
      </c>
      <c r="I11" s="184"/>
      <c r="J11" s="143">
        <v>4.0</v>
      </c>
      <c r="K11" s="184"/>
      <c r="L11" s="184"/>
      <c r="M11" s="143">
        <v>10.0</v>
      </c>
      <c r="N11" s="184"/>
      <c r="O11" s="143">
        <v>4.0</v>
      </c>
      <c r="P11" s="143">
        <v>5.0</v>
      </c>
      <c r="Q11" s="184"/>
      <c r="R11" s="184"/>
      <c r="S11" s="143">
        <v>10.0</v>
      </c>
      <c r="T11" s="184"/>
      <c r="U11" s="184"/>
    </row>
    <row r="12">
      <c r="B12" s="143">
        <v>11.0</v>
      </c>
      <c r="C12" s="143">
        <v>6.0</v>
      </c>
      <c r="D12" s="184"/>
      <c r="E12" s="143">
        <v>11.0</v>
      </c>
      <c r="F12" s="184"/>
      <c r="G12" s="184"/>
      <c r="H12" s="183">
        <v>6.0</v>
      </c>
      <c r="I12" s="184"/>
      <c r="J12" s="143">
        <v>5.0</v>
      </c>
      <c r="K12" s="184"/>
      <c r="L12" s="184"/>
      <c r="M12" s="143">
        <v>11.0</v>
      </c>
      <c r="N12" s="184"/>
      <c r="O12" s="143">
        <v>5.0</v>
      </c>
      <c r="P12" s="143">
        <v>6.0</v>
      </c>
      <c r="Q12" s="184"/>
      <c r="R12" s="184"/>
      <c r="S12" s="143">
        <v>11.0</v>
      </c>
      <c r="T12" s="184"/>
      <c r="U12" s="143">
        <v>1.0</v>
      </c>
    </row>
    <row r="13">
      <c r="B13" s="143">
        <v>12.0</v>
      </c>
      <c r="C13" s="183">
        <v>7.0</v>
      </c>
      <c r="D13" s="184"/>
      <c r="E13" s="143">
        <v>12.0</v>
      </c>
      <c r="F13" s="184"/>
      <c r="G13" s="143">
        <v>1.0</v>
      </c>
      <c r="H13" s="143">
        <v>7.0</v>
      </c>
      <c r="I13" s="184"/>
      <c r="J13" s="183">
        <v>6.0</v>
      </c>
      <c r="K13" s="184"/>
      <c r="L13" s="184"/>
      <c r="M13" s="143">
        <v>12.0</v>
      </c>
      <c r="N13" s="184"/>
      <c r="O13" s="143">
        <v>6.0</v>
      </c>
      <c r="P13" s="143">
        <v>7.0</v>
      </c>
      <c r="Q13" s="184"/>
      <c r="R13" s="184"/>
      <c r="S13" s="183">
        <v>12.0</v>
      </c>
      <c r="T13" s="184"/>
      <c r="U13" s="183">
        <v>2.0</v>
      </c>
    </row>
    <row r="14">
      <c r="B14" s="183">
        <v>13.0</v>
      </c>
      <c r="C14" s="143">
        <v>8.0</v>
      </c>
      <c r="D14" s="184"/>
      <c r="E14" s="183">
        <v>13.0</v>
      </c>
      <c r="F14" s="184"/>
      <c r="G14" s="143">
        <v>2.0</v>
      </c>
      <c r="H14" s="143">
        <v>8.0</v>
      </c>
      <c r="I14" s="184"/>
      <c r="J14" s="143">
        <v>7.0</v>
      </c>
      <c r="K14" s="184"/>
      <c r="L14" s="184"/>
      <c r="M14" s="143">
        <v>13.0</v>
      </c>
      <c r="N14" s="184"/>
      <c r="O14" s="143">
        <v>7.0</v>
      </c>
      <c r="P14" s="143">
        <v>8.0</v>
      </c>
      <c r="Q14" s="184"/>
      <c r="R14" s="184"/>
      <c r="S14" s="143">
        <v>13.0</v>
      </c>
      <c r="T14" s="184"/>
      <c r="U14" s="143">
        <v>3.0</v>
      </c>
    </row>
    <row r="15">
      <c r="A15" s="143">
        <v>2003.0</v>
      </c>
      <c r="B15" s="183">
        <v>14.0</v>
      </c>
      <c r="C15" s="143">
        <v>9.0</v>
      </c>
      <c r="D15" s="184"/>
      <c r="E15" s="183">
        <v>14.0</v>
      </c>
      <c r="F15" s="184"/>
      <c r="G15" s="183">
        <v>3.0</v>
      </c>
      <c r="H15" s="183">
        <v>9.0</v>
      </c>
      <c r="I15" s="184"/>
      <c r="J15" s="183">
        <v>8.0</v>
      </c>
      <c r="K15" s="184"/>
      <c r="L15" s="184"/>
      <c r="M15" s="143">
        <v>14.0</v>
      </c>
      <c r="N15" s="184"/>
      <c r="O15" s="143">
        <v>8.0</v>
      </c>
      <c r="P15" s="143">
        <v>9.0</v>
      </c>
      <c r="Q15" s="184"/>
      <c r="R15" s="184"/>
      <c r="S15" s="183">
        <v>14.0</v>
      </c>
      <c r="T15" s="184"/>
      <c r="U15" s="143">
        <v>4.0</v>
      </c>
    </row>
    <row r="16">
      <c r="B16" s="143">
        <v>15.0</v>
      </c>
      <c r="C16" s="143">
        <v>10.0</v>
      </c>
      <c r="D16" s="184"/>
      <c r="E16" s="143">
        <v>15.0</v>
      </c>
      <c r="F16" s="184"/>
      <c r="G16" s="143">
        <v>4.0</v>
      </c>
      <c r="H16" s="183">
        <v>10.0</v>
      </c>
      <c r="I16" s="184"/>
      <c r="J16" s="143">
        <v>9.0</v>
      </c>
      <c r="K16" s="184"/>
      <c r="L16" s="184"/>
      <c r="M16" s="143">
        <v>15.0</v>
      </c>
      <c r="N16" s="184"/>
      <c r="O16" s="143">
        <v>9.0</v>
      </c>
      <c r="P16" s="143">
        <v>10.0</v>
      </c>
      <c r="Q16" s="184"/>
      <c r="R16" s="184"/>
      <c r="S16" s="143">
        <v>15.0</v>
      </c>
      <c r="T16" s="184"/>
      <c r="U16" s="143">
        <v>5.0</v>
      </c>
    </row>
    <row r="17">
      <c r="B17" s="183">
        <v>16.0</v>
      </c>
      <c r="C17" s="143">
        <v>11.0</v>
      </c>
      <c r="D17" s="184"/>
      <c r="E17" s="143">
        <v>16.0</v>
      </c>
      <c r="F17" s="184"/>
      <c r="G17" s="183">
        <v>5.0</v>
      </c>
      <c r="H17" s="183">
        <v>11.0</v>
      </c>
      <c r="I17" s="184"/>
      <c r="J17" s="183">
        <v>10.0</v>
      </c>
      <c r="K17" s="184"/>
      <c r="L17" s="184"/>
      <c r="M17" s="143">
        <v>16.0</v>
      </c>
      <c r="N17" s="184"/>
      <c r="O17" s="143">
        <v>10.0</v>
      </c>
      <c r="P17" s="143">
        <v>11.0</v>
      </c>
      <c r="Q17" s="184"/>
      <c r="R17" s="143">
        <v>1.0</v>
      </c>
      <c r="S17" s="143">
        <v>16.0</v>
      </c>
      <c r="T17" s="184"/>
      <c r="U17" s="183">
        <v>6.0</v>
      </c>
    </row>
    <row r="18">
      <c r="B18" s="143">
        <v>17.0</v>
      </c>
      <c r="C18" s="143">
        <v>12.0</v>
      </c>
      <c r="D18" s="184"/>
      <c r="E18" s="143">
        <v>17.0</v>
      </c>
      <c r="F18" s="184"/>
      <c r="G18" s="143">
        <v>6.0</v>
      </c>
      <c r="H18" s="183">
        <v>12.0</v>
      </c>
      <c r="I18" s="184"/>
      <c r="J18" s="183">
        <v>11.0</v>
      </c>
      <c r="K18" s="184"/>
      <c r="L18" s="184"/>
      <c r="M18" s="143">
        <v>17.0</v>
      </c>
      <c r="N18" s="184"/>
      <c r="O18" s="143">
        <v>11.0</v>
      </c>
      <c r="P18" s="143">
        <v>12.0</v>
      </c>
      <c r="Q18" s="184"/>
      <c r="R18" s="143">
        <v>2.0</v>
      </c>
      <c r="S18" s="143">
        <v>17.0</v>
      </c>
      <c r="T18" s="184"/>
      <c r="U18" s="183">
        <v>7.0</v>
      </c>
    </row>
    <row r="19">
      <c r="B19" s="143">
        <v>18.0</v>
      </c>
      <c r="C19" s="143">
        <v>13.0</v>
      </c>
      <c r="D19" s="184"/>
      <c r="E19" s="143">
        <v>18.0</v>
      </c>
      <c r="F19" s="184"/>
      <c r="G19" s="183">
        <v>7.0</v>
      </c>
      <c r="H19" s="183">
        <v>13.0</v>
      </c>
      <c r="I19" s="184"/>
      <c r="J19" s="183">
        <v>12.0</v>
      </c>
      <c r="K19" s="184"/>
      <c r="L19" s="184"/>
      <c r="M19" s="143">
        <v>18.0</v>
      </c>
      <c r="N19" s="184"/>
      <c r="O19" s="143">
        <v>12.0</v>
      </c>
      <c r="P19" s="143">
        <v>13.0</v>
      </c>
      <c r="Q19" s="184"/>
      <c r="R19" s="143">
        <v>3.0</v>
      </c>
      <c r="S19" s="183">
        <v>18.0</v>
      </c>
      <c r="T19" s="184"/>
      <c r="U19" s="143">
        <v>8.0</v>
      </c>
    </row>
    <row r="20">
      <c r="B20" s="143">
        <v>19.0</v>
      </c>
      <c r="C20" s="143">
        <v>14.0</v>
      </c>
      <c r="D20" s="184"/>
      <c r="E20" s="143">
        <v>19.0</v>
      </c>
      <c r="F20" s="184"/>
      <c r="G20" s="143">
        <v>8.0</v>
      </c>
      <c r="H20" s="183">
        <v>14.0</v>
      </c>
      <c r="I20" s="143">
        <v>1.0</v>
      </c>
      <c r="J20" s="143">
        <v>13.0</v>
      </c>
      <c r="K20" s="184"/>
      <c r="L20" s="184"/>
      <c r="M20" s="143">
        <v>19.0</v>
      </c>
      <c r="N20" s="143">
        <v>1.0</v>
      </c>
      <c r="O20" s="143">
        <v>13.0</v>
      </c>
      <c r="P20" s="143">
        <v>14.0</v>
      </c>
      <c r="Q20" s="184"/>
      <c r="R20" s="183">
        <v>4.0</v>
      </c>
      <c r="S20" s="143">
        <v>19.0</v>
      </c>
      <c r="T20" s="143">
        <v>1.0</v>
      </c>
      <c r="U20" s="183">
        <v>9.0</v>
      </c>
    </row>
    <row r="21">
      <c r="B21" s="143">
        <v>20.0</v>
      </c>
      <c r="C21" s="183">
        <v>15.0</v>
      </c>
      <c r="D21" s="184"/>
      <c r="E21" s="143">
        <v>20.0</v>
      </c>
      <c r="F21" s="184"/>
      <c r="G21" s="183">
        <v>9.0</v>
      </c>
      <c r="H21" s="183">
        <v>15.0</v>
      </c>
      <c r="I21" s="143">
        <v>2.0</v>
      </c>
      <c r="J21" s="143">
        <v>14.0</v>
      </c>
      <c r="K21" s="184"/>
      <c r="L21" s="184"/>
      <c r="M21" s="143">
        <v>20.0</v>
      </c>
      <c r="N21" s="143">
        <v>2.0</v>
      </c>
      <c r="O21" s="143">
        <v>14.0</v>
      </c>
      <c r="P21" s="143">
        <v>15.0</v>
      </c>
      <c r="Q21" s="184"/>
      <c r="R21" s="143">
        <v>5.0</v>
      </c>
      <c r="S21" s="183">
        <v>20.0</v>
      </c>
      <c r="T21" s="143">
        <v>2.0</v>
      </c>
      <c r="U21" s="183">
        <v>10.0</v>
      </c>
    </row>
    <row r="22">
      <c r="B22" s="143">
        <v>21.0</v>
      </c>
      <c r="C22" s="183">
        <v>16.0</v>
      </c>
      <c r="D22" s="184"/>
      <c r="E22" s="143">
        <v>21.0</v>
      </c>
      <c r="F22" s="184"/>
      <c r="G22" s="183">
        <v>10.0</v>
      </c>
      <c r="H22" s="183">
        <v>16.0</v>
      </c>
      <c r="I22" s="143">
        <v>3.0</v>
      </c>
      <c r="J22" s="143">
        <v>15.0</v>
      </c>
      <c r="K22" s="184"/>
      <c r="L22" s="184"/>
      <c r="M22" s="143">
        <v>21.0</v>
      </c>
      <c r="N22" s="183">
        <v>3.0</v>
      </c>
      <c r="O22" s="183">
        <v>15.0</v>
      </c>
      <c r="P22" s="183">
        <v>16.0</v>
      </c>
      <c r="Q22" s="184"/>
      <c r="R22" s="143">
        <v>6.0</v>
      </c>
      <c r="S22" s="143">
        <v>21.0</v>
      </c>
      <c r="T22" s="183">
        <v>3.0</v>
      </c>
      <c r="U22" s="143">
        <v>11.0</v>
      </c>
    </row>
    <row r="23">
      <c r="B23" s="183">
        <v>22.0</v>
      </c>
      <c r="C23" s="183">
        <v>17.0</v>
      </c>
      <c r="D23" s="184"/>
      <c r="E23" s="183">
        <v>22.0</v>
      </c>
      <c r="F23" s="184"/>
      <c r="G23" s="143">
        <v>11.0</v>
      </c>
      <c r="H23" s="183">
        <v>17.0</v>
      </c>
      <c r="I23" s="183">
        <v>4.0</v>
      </c>
      <c r="J23" s="183">
        <v>16.0</v>
      </c>
      <c r="K23" s="184"/>
      <c r="L23" s="184"/>
      <c r="M23" s="143">
        <v>22.0</v>
      </c>
      <c r="N23" s="183">
        <v>4.0</v>
      </c>
      <c r="O23" s="143">
        <v>16.0</v>
      </c>
      <c r="P23" s="183">
        <v>17.0</v>
      </c>
      <c r="Q23" s="184"/>
      <c r="R23" s="183">
        <v>7.0</v>
      </c>
      <c r="S23" s="143">
        <v>22.0</v>
      </c>
      <c r="T23" s="183">
        <v>4.0</v>
      </c>
      <c r="U23" s="183">
        <v>12.0</v>
      </c>
    </row>
    <row r="24">
      <c r="B24" s="183">
        <v>23.0</v>
      </c>
      <c r="C24" s="183">
        <v>18.0</v>
      </c>
      <c r="D24" s="184"/>
      <c r="E24" s="143">
        <v>23.0</v>
      </c>
      <c r="F24" s="184"/>
      <c r="G24" s="183">
        <v>12.0</v>
      </c>
      <c r="H24" s="183">
        <v>18.0</v>
      </c>
      <c r="I24" s="183">
        <v>5.0</v>
      </c>
      <c r="J24" s="143">
        <v>17.0</v>
      </c>
      <c r="K24" s="184"/>
      <c r="L24" s="184"/>
      <c r="M24" s="143">
        <v>23.0</v>
      </c>
      <c r="N24" s="183">
        <v>5.0</v>
      </c>
      <c r="O24" s="183">
        <v>17.0</v>
      </c>
      <c r="P24" s="183">
        <v>18.0</v>
      </c>
      <c r="Q24" s="184"/>
      <c r="R24" s="183">
        <v>8.0</v>
      </c>
      <c r="S24" s="183">
        <v>23.0</v>
      </c>
      <c r="T24" s="183">
        <v>5.0</v>
      </c>
      <c r="U24" s="183">
        <v>13.0</v>
      </c>
    </row>
    <row r="25">
      <c r="A25" s="143">
        <v>2004.0</v>
      </c>
      <c r="B25" s="183">
        <v>24.0</v>
      </c>
      <c r="C25" s="143">
        <v>19.0</v>
      </c>
      <c r="D25" s="184"/>
      <c r="E25" s="143">
        <v>24.0</v>
      </c>
      <c r="F25" s="184"/>
      <c r="G25" s="143">
        <v>13.0</v>
      </c>
      <c r="H25" s="183">
        <v>19.0</v>
      </c>
      <c r="I25" s="143">
        <v>6.0</v>
      </c>
      <c r="J25" s="143">
        <v>18.0</v>
      </c>
      <c r="K25" s="184"/>
      <c r="L25" s="184"/>
      <c r="M25" s="143">
        <v>24.0</v>
      </c>
      <c r="N25" s="143">
        <v>6.0</v>
      </c>
      <c r="O25" s="183">
        <v>18.0</v>
      </c>
      <c r="P25" s="143">
        <v>19.0</v>
      </c>
      <c r="Q25" s="184"/>
      <c r="R25" s="143">
        <v>9.0</v>
      </c>
      <c r="S25" s="143">
        <v>24.0</v>
      </c>
      <c r="T25" s="143">
        <v>6.0</v>
      </c>
      <c r="U25" s="183">
        <v>14.0</v>
      </c>
    </row>
    <row r="26">
      <c r="B26" s="143">
        <v>25.0</v>
      </c>
      <c r="C26" s="183">
        <v>20.0</v>
      </c>
      <c r="D26" s="184"/>
      <c r="E26" s="183">
        <v>25.0</v>
      </c>
      <c r="F26" s="184"/>
      <c r="G26" s="143">
        <v>14.0</v>
      </c>
      <c r="H26" s="183">
        <v>20.0</v>
      </c>
      <c r="I26" s="143">
        <v>7.0</v>
      </c>
      <c r="J26" s="143">
        <v>19.0</v>
      </c>
      <c r="K26" s="184"/>
      <c r="L26" s="184"/>
      <c r="M26" s="183">
        <v>25.0</v>
      </c>
      <c r="N26" s="143">
        <v>7.0</v>
      </c>
      <c r="O26" s="183">
        <v>19.0</v>
      </c>
      <c r="P26" s="143">
        <v>20.0</v>
      </c>
      <c r="Q26" s="184"/>
      <c r="R26" s="183">
        <v>10.0</v>
      </c>
      <c r="S26" s="183">
        <v>25.0</v>
      </c>
      <c r="T26" s="143">
        <v>7.0</v>
      </c>
      <c r="U26" s="183">
        <v>15.0</v>
      </c>
    </row>
    <row r="27">
      <c r="B27" s="143">
        <v>26.0</v>
      </c>
      <c r="C27" s="183">
        <v>21.0</v>
      </c>
      <c r="D27" s="184"/>
      <c r="E27" s="183">
        <v>26.0</v>
      </c>
      <c r="F27" s="184"/>
      <c r="G27" s="183">
        <v>15.0</v>
      </c>
      <c r="H27" s="183">
        <v>21.0</v>
      </c>
      <c r="I27" s="143">
        <v>8.0</v>
      </c>
      <c r="J27" s="143">
        <v>20.0</v>
      </c>
      <c r="K27" s="184"/>
      <c r="L27" s="184"/>
      <c r="M27" s="143">
        <v>26.0</v>
      </c>
      <c r="N27" s="183">
        <v>8.0</v>
      </c>
      <c r="O27" s="183">
        <v>20.0</v>
      </c>
      <c r="P27" s="183">
        <v>21.0</v>
      </c>
      <c r="Q27" s="184"/>
      <c r="R27" s="143">
        <v>11.0</v>
      </c>
      <c r="S27" s="183">
        <v>26.0</v>
      </c>
      <c r="T27" s="183">
        <v>8.0</v>
      </c>
      <c r="U27" s="183">
        <v>16.0</v>
      </c>
    </row>
    <row r="28">
      <c r="B28" s="143">
        <v>27.0</v>
      </c>
      <c r="C28" s="143">
        <v>22.0</v>
      </c>
      <c r="D28" s="184"/>
      <c r="E28" s="183">
        <v>27.0</v>
      </c>
      <c r="F28" s="143">
        <v>1.0</v>
      </c>
      <c r="G28" s="143">
        <v>16.0</v>
      </c>
      <c r="H28" s="183">
        <v>22.0</v>
      </c>
      <c r="I28" s="143">
        <v>9.0</v>
      </c>
      <c r="J28" s="143">
        <v>21.0</v>
      </c>
      <c r="K28" s="143">
        <v>1.0</v>
      </c>
      <c r="L28" s="143">
        <v>1.0</v>
      </c>
      <c r="M28" s="143">
        <v>27.0</v>
      </c>
      <c r="N28" s="183">
        <v>9.0</v>
      </c>
      <c r="O28" s="185">
        <v>21.0</v>
      </c>
      <c r="P28" s="183">
        <v>22.0</v>
      </c>
      <c r="Q28" s="184"/>
      <c r="R28" s="143">
        <v>12.0</v>
      </c>
      <c r="S28" s="143">
        <v>27.0</v>
      </c>
      <c r="T28" s="183">
        <v>9.0</v>
      </c>
      <c r="U28" s="143">
        <v>17.0</v>
      </c>
    </row>
    <row r="29">
      <c r="B29" s="143">
        <v>28.0</v>
      </c>
      <c r="C29" s="143">
        <v>23.0</v>
      </c>
      <c r="D29" s="143">
        <v>1.0</v>
      </c>
      <c r="E29" s="143">
        <v>28.0</v>
      </c>
      <c r="F29" s="183">
        <v>2.0</v>
      </c>
      <c r="G29" s="143">
        <v>17.0</v>
      </c>
      <c r="H29" s="186" t="s">
        <v>3222</v>
      </c>
      <c r="I29" s="183">
        <v>10.0</v>
      </c>
      <c r="J29" s="143">
        <v>22.0</v>
      </c>
      <c r="K29" s="143">
        <v>2.0</v>
      </c>
      <c r="L29" s="143">
        <v>2.0</v>
      </c>
      <c r="M29" s="143">
        <v>28.0</v>
      </c>
      <c r="N29" s="143">
        <v>10.0</v>
      </c>
      <c r="O29" s="143">
        <v>22.0</v>
      </c>
      <c r="P29" s="143">
        <v>23.0</v>
      </c>
      <c r="Q29" s="184"/>
      <c r="R29" s="183">
        <v>13.0</v>
      </c>
      <c r="S29" s="143">
        <v>28.0</v>
      </c>
      <c r="T29" s="183">
        <v>10.0</v>
      </c>
      <c r="U29" s="143">
        <v>18.0</v>
      </c>
    </row>
    <row r="30">
      <c r="B30" s="183">
        <v>29.0</v>
      </c>
      <c r="C30" s="183">
        <v>24.0</v>
      </c>
      <c r="D30" s="183">
        <v>2.0</v>
      </c>
      <c r="E30" s="183">
        <v>29.0</v>
      </c>
      <c r="F30" s="183">
        <v>3.0</v>
      </c>
      <c r="G30" s="183">
        <v>18.0</v>
      </c>
      <c r="H30" s="184"/>
      <c r="I30" s="183">
        <v>11.0</v>
      </c>
      <c r="J30" s="143">
        <v>23.0</v>
      </c>
      <c r="K30" s="183">
        <v>3.0</v>
      </c>
      <c r="L30" s="183">
        <v>3.0</v>
      </c>
      <c r="M30" s="183">
        <v>29.0</v>
      </c>
      <c r="N30" s="183">
        <v>11.0</v>
      </c>
      <c r="O30" s="183">
        <v>23.0</v>
      </c>
      <c r="P30" s="183">
        <v>24.0</v>
      </c>
      <c r="Q30" s="143" t="s">
        <v>3223</v>
      </c>
      <c r="R30" s="183">
        <v>14.0</v>
      </c>
      <c r="S30" s="183">
        <v>29.0</v>
      </c>
      <c r="T30" s="183">
        <v>11.0</v>
      </c>
      <c r="U30" s="143">
        <v>19.0</v>
      </c>
    </row>
    <row r="31">
      <c r="B31" s="183">
        <v>30.0</v>
      </c>
      <c r="C31" s="183">
        <v>25.0</v>
      </c>
      <c r="D31" s="183">
        <v>3.0</v>
      </c>
      <c r="E31" s="143">
        <v>30.0</v>
      </c>
      <c r="F31" s="143">
        <v>4.0</v>
      </c>
      <c r="G31" s="186" t="s">
        <v>3222</v>
      </c>
      <c r="H31" s="184"/>
      <c r="I31" s="183">
        <v>12.0</v>
      </c>
      <c r="J31" s="183">
        <v>24.0</v>
      </c>
      <c r="K31" s="183">
        <v>4.0</v>
      </c>
      <c r="L31" s="183">
        <v>4.0</v>
      </c>
      <c r="M31" s="143">
        <v>30.0</v>
      </c>
      <c r="N31" s="143">
        <v>12.0</v>
      </c>
      <c r="O31" s="143">
        <v>24.0</v>
      </c>
      <c r="P31" s="183">
        <v>25.0</v>
      </c>
      <c r="Q31" s="143">
        <v>1.0</v>
      </c>
      <c r="R31" s="183">
        <v>15.0</v>
      </c>
      <c r="S31" s="143">
        <v>30.0</v>
      </c>
      <c r="T31" s="183">
        <v>12.0</v>
      </c>
      <c r="U31" s="143">
        <v>20.0</v>
      </c>
    </row>
    <row r="32">
      <c r="A32" s="143">
        <v>2005.0</v>
      </c>
      <c r="B32" s="143">
        <v>31.0</v>
      </c>
      <c r="C32" s="183">
        <v>26.0</v>
      </c>
      <c r="D32" s="183">
        <v>4.0</v>
      </c>
      <c r="E32" s="183">
        <v>31.0</v>
      </c>
      <c r="F32" s="183">
        <v>5.0</v>
      </c>
      <c r="G32" s="184"/>
      <c r="H32" s="184"/>
      <c r="I32" s="183">
        <v>13.0</v>
      </c>
      <c r="J32" s="143">
        <v>25.0</v>
      </c>
      <c r="K32" s="183">
        <v>5.0</v>
      </c>
      <c r="L32" s="183">
        <v>5.0</v>
      </c>
      <c r="M32" s="143">
        <v>31.0</v>
      </c>
      <c r="N32" s="143">
        <v>13.0</v>
      </c>
      <c r="O32" s="183">
        <v>25.0</v>
      </c>
      <c r="P32" s="183">
        <v>26.0</v>
      </c>
      <c r="Q32" s="143" t="s">
        <v>1961</v>
      </c>
      <c r="R32" s="183">
        <v>16.0</v>
      </c>
      <c r="S32" s="183">
        <v>31.0</v>
      </c>
      <c r="T32" s="183">
        <v>13.0</v>
      </c>
      <c r="U32" s="143">
        <v>21.0</v>
      </c>
    </row>
    <row r="33">
      <c r="B33" s="143">
        <v>32.0</v>
      </c>
      <c r="C33" s="143">
        <v>27.0</v>
      </c>
      <c r="D33" s="186" t="s">
        <v>3222</v>
      </c>
      <c r="E33" s="183">
        <v>32.0</v>
      </c>
      <c r="F33" s="183">
        <v>6.0</v>
      </c>
      <c r="G33" s="184"/>
      <c r="H33" s="184"/>
      <c r="I33" s="183">
        <v>14.0</v>
      </c>
      <c r="J33" s="143">
        <v>26.0</v>
      </c>
      <c r="K33" s="183">
        <v>6.0</v>
      </c>
      <c r="L33" s="143">
        <v>6.0</v>
      </c>
      <c r="M33" s="143">
        <v>32.0</v>
      </c>
      <c r="N33" s="143">
        <v>14.0</v>
      </c>
      <c r="O33" s="183">
        <v>26.0</v>
      </c>
      <c r="P33" s="143">
        <v>27.0</v>
      </c>
      <c r="Q33" s="143" t="s">
        <v>1961</v>
      </c>
      <c r="R33" s="183">
        <v>17.0</v>
      </c>
      <c r="S33" s="183">
        <v>32.0</v>
      </c>
      <c r="T33" s="183">
        <v>14.0</v>
      </c>
      <c r="U33" s="143">
        <v>22.0</v>
      </c>
    </row>
    <row r="34">
      <c r="B34" s="143">
        <v>33.0</v>
      </c>
      <c r="C34" s="183">
        <v>28.0</v>
      </c>
      <c r="D34" s="184"/>
      <c r="E34" s="143">
        <v>33.0</v>
      </c>
      <c r="F34" s="183">
        <v>7.0</v>
      </c>
      <c r="G34" s="184"/>
      <c r="H34" s="184"/>
      <c r="I34" s="183">
        <v>15.0</v>
      </c>
      <c r="J34" s="143">
        <v>27.0</v>
      </c>
      <c r="K34" s="183">
        <v>7.0</v>
      </c>
      <c r="L34" s="143">
        <v>7.0</v>
      </c>
      <c r="M34" s="183">
        <v>33.0</v>
      </c>
      <c r="N34" s="143">
        <v>15.0</v>
      </c>
      <c r="O34" s="183">
        <v>27.0</v>
      </c>
      <c r="P34" s="183">
        <v>28.0</v>
      </c>
      <c r="Q34" s="186" t="s">
        <v>3222</v>
      </c>
      <c r="R34" s="183">
        <v>18.0</v>
      </c>
      <c r="S34" s="183">
        <v>33.0</v>
      </c>
      <c r="T34" s="183">
        <v>15.0</v>
      </c>
      <c r="U34" s="143">
        <v>23.0</v>
      </c>
    </row>
    <row r="35">
      <c r="B35" s="143">
        <v>34.0</v>
      </c>
      <c r="C35" s="143">
        <v>29.0</v>
      </c>
      <c r="D35" s="184"/>
      <c r="E35" s="183">
        <v>34.0</v>
      </c>
      <c r="F35" s="143">
        <v>8.0</v>
      </c>
      <c r="G35" s="184"/>
      <c r="H35" s="184"/>
      <c r="I35" s="183">
        <v>16.0</v>
      </c>
      <c r="J35" s="183">
        <v>28.0</v>
      </c>
      <c r="K35" s="143" t="s">
        <v>1935</v>
      </c>
      <c r="L35" s="143">
        <v>8.0</v>
      </c>
      <c r="M35" s="143">
        <v>34.0</v>
      </c>
      <c r="N35" s="183">
        <v>16.0</v>
      </c>
      <c r="O35" s="183">
        <v>28.0</v>
      </c>
      <c r="P35" s="183" t="s">
        <v>2899</v>
      </c>
      <c r="Q35" s="184"/>
      <c r="R35" s="183">
        <v>19.0</v>
      </c>
      <c r="S35" s="183">
        <v>34.0</v>
      </c>
      <c r="T35" s="143">
        <v>16.0</v>
      </c>
      <c r="U35" s="143">
        <v>24.0</v>
      </c>
    </row>
    <row r="36">
      <c r="B36" s="183">
        <v>35.0</v>
      </c>
      <c r="C36" s="184"/>
      <c r="D36" s="184"/>
      <c r="E36" s="183">
        <v>35.0</v>
      </c>
      <c r="F36" s="183">
        <v>9.0</v>
      </c>
      <c r="G36" s="184"/>
      <c r="H36" s="184"/>
      <c r="I36" s="186" t="s">
        <v>3222</v>
      </c>
      <c r="J36" s="184"/>
      <c r="K36" s="184"/>
      <c r="L36" s="186" t="s">
        <v>3222</v>
      </c>
      <c r="M36" s="143" t="s">
        <v>3224</v>
      </c>
      <c r="N36" s="186" t="s">
        <v>3222</v>
      </c>
      <c r="O36" s="186" t="s">
        <v>3222</v>
      </c>
      <c r="P36" s="143"/>
      <c r="Q36" s="184"/>
      <c r="R36" s="184"/>
      <c r="S36" s="186" t="s">
        <v>3222</v>
      </c>
      <c r="T36" s="184"/>
    </row>
    <row r="37">
      <c r="A37" s="143">
        <v>2006.0</v>
      </c>
      <c r="B37" s="183">
        <v>36.0</v>
      </c>
      <c r="C37" s="143">
        <v>30.0</v>
      </c>
      <c r="D37" s="184"/>
      <c r="E37" s="143">
        <v>36.0</v>
      </c>
      <c r="F37" s="184"/>
      <c r="G37" s="183">
        <v>1.0</v>
      </c>
      <c r="H37" s="184"/>
      <c r="I37" s="184"/>
      <c r="J37" s="183">
        <v>29.0</v>
      </c>
      <c r="K37" s="183">
        <v>8.0</v>
      </c>
      <c r="L37" s="184"/>
      <c r="M37" s="143">
        <v>1.0</v>
      </c>
      <c r="N37" s="184"/>
      <c r="O37" s="184"/>
      <c r="P37" s="183" t="s">
        <v>3039</v>
      </c>
      <c r="Q37" s="143">
        <v>1.0</v>
      </c>
      <c r="R37" s="183">
        <v>20.0</v>
      </c>
      <c r="S37" s="184"/>
      <c r="T37" s="183">
        <v>17.0</v>
      </c>
      <c r="U37" s="183">
        <v>25.0</v>
      </c>
    </row>
    <row r="38">
      <c r="B38" s="143">
        <v>37.0</v>
      </c>
      <c r="C38" s="183">
        <v>31.0</v>
      </c>
      <c r="D38" s="184"/>
      <c r="E38" s="183">
        <v>37.0</v>
      </c>
      <c r="F38" s="184"/>
      <c r="G38" s="186" t="s">
        <v>3222</v>
      </c>
      <c r="H38" s="184"/>
      <c r="I38" s="184"/>
      <c r="J38" s="183">
        <v>30.0</v>
      </c>
      <c r="K38" s="183">
        <v>9.0</v>
      </c>
      <c r="L38" s="184"/>
      <c r="M38" s="183">
        <v>2.0</v>
      </c>
      <c r="N38" s="184"/>
      <c r="O38" s="184"/>
      <c r="P38" s="183">
        <v>30.0</v>
      </c>
      <c r="Q38" s="143">
        <v>2.0</v>
      </c>
      <c r="R38" s="143">
        <v>21.0</v>
      </c>
      <c r="S38" s="184"/>
      <c r="T38" s="143">
        <v>18.0</v>
      </c>
      <c r="U38" s="183">
        <v>26.0</v>
      </c>
    </row>
    <row r="39">
      <c r="A39" s="143">
        <v>2007.0</v>
      </c>
      <c r="B39" s="143">
        <v>38.0</v>
      </c>
      <c r="C39" s="183">
        <v>32.0</v>
      </c>
      <c r="D39" s="184"/>
      <c r="E39" s="183">
        <v>38.0</v>
      </c>
      <c r="F39" s="184"/>
      <c r="G39" s="184"/>
      <c r="H39" s="184"/>
      <c r="I39" s="184"/>
      <c r="J39" s="183">
        <v>31.0</v>
      </c>
      <c r="K39" s="183">
        <v>10.0</v>
      </c>
      <c r="L39" s="184"/>
      <c r="M39" s="143">
        <v>3.0</v>
      </c>
      <c r="N39" s="184"/>
      <c r="O39" s="184"/>
      <c r="P39" s="183">
        <v>31.0</v>
      </c>
      <c r="Q39" s="183">
        <v>3.0</v>
      </c>
      <c r="R39" s="183">
        <v>22.0</v>
      </c>
      <c r="S39" s="184"/>
      <c r="T39" s="183">
        <v>19.0</v>
      </c>
      <c r="U39" s="183">
        <v>27.0</v>
      </c>
    </row>
    <row r="40">
      <c r="B40" s="143">
        <v>39.0</v>
      </c>
      <c r="C40" s="183">
        <v>33.0</v>
      </c>
      <c r="D40" s="184"/>
      <c r="E40" s="183">
        <v>39.0</v>
      </c>
      <c r="F40" s="184"/>
      <c r="G40" s="184"/>
      <c r="H40" s="184"/>
      <c r="I40" s="184"/>
      <c r="J40" s="143">
        <v>32.0</v>
      </c>
      <c r="K40" s="183">
        <v>11.0</v>
      </c>
      <c r="L40" s="184"/>
      <c r="M40" s="183">
        <v>4.0</v>
      </c>
      <c r="N40" s="184"/>
      <c r="O40" s="184"/>
      <c r="P40" s="183">
        <v>32.0</v>
      </c>
      <c r="Q40" s="143">
        <v>4.0</v>
      </c>
      <c r="R40" s="183">
        <v>23.0</v>
      </c>
      <c r="S40" s="184"/>
      <c r="T40" s="183">
        <v>20.0</v>
      </c>
      <c r="U40" s="183">
        <v>28.0</v>
      </c>
    </row>
    <row r="41">
      <c r="B41" s="183">
        <v>40.0</v>
      </c>
      <c r="C41" s="183">
        <v>34.0</v>
      </c>
      <c r="D41" s="184"/>
      <c r="E41" s="183">
        <v>40.0</v>
      </c>
      <c r="F41" s="184"/>
      <c r="G41" s="184"/>
      <c r="H41" s="183">
        <v>1.0</v>
      </c>
      <c r="I41" s="184"/>
      <c r="J41" s="143">
        <v>33.0</v>
      </c>
      <c r="K41" s="143">
        <v>12.0</v>
      </c>
      <c r="L41" s="184"/>
      <c r="M41" s="183">
        <v>5.0</v>
      </c>
      <c r="N41" s="184"/>
      <c r="O41" s="184"/>
      <c r="P41" s="143">
        <v>33.0</v>
      </c>
      <c r="Q41" s="186" t="s">
        <v>3222</v>
      </c>
      <c r="R41" s="183">
        <v>24.0</v>
      </c>
      <c r="S41" s="184"/>
      <c r="T41" s="183">
        <v>21.0</v>
      </c>
      <c r="U41" s="183">
        <v>29.0</v>
      </c>
    </row>
    <row r="42">
      <c r="B42" s="183">
        <v>41.0</v>
      </c>
      <c r="C42" s="183">
        <v>35.0</v>
      </c>
      <c r="D42" s="184"/>
      <c r="E42" s="183">
        <v>41.0</v>
      </c>
      <c r="F42" s="184"/>
      <c r="G42" s="184"/>
      <c r="H42" s="183">
        <v>2.0</v>
      </c>
      <c r="I42" s="184"/>
      <c r="J42" s="143">
        <v>34.0</v>
      </c>
      <c r="K42" s="183">
        <v>13.0</v>
      </c>
      <c r="L42" s="184"/>
      <c r="M42" s="183">
        <v>6.0</v>
      </c>
      <c r="N42" s="184"/>
      <c r="O42" s="184"/>
      <c r="P42" s="183">
        <v>34.0</v>
      </c>
      <c r="Q42" s="184"/>
      <c r="R42" s="183">
        <v>25.0</v>
      </c>
      <c r="S42" s="184"/>
      <c r="T42" s="183">
        <v>22.0</v>
      </c>
      <c r="U42" s="183">
        <v>30.0</v>
      </c>
    </row>
    <row r="43">
      <c r="B43" s="183">
        <v>42.0</v>
      </c>
      <c r="C43" s="183">
        <v>36.0</v>
      </c>
      <c r="D43" s="184"/>
      <c r="E43" s="183">
        <v>42.0</v>
      </c>
      <c r="F43" s="184"/>
      <c r="G43" s="184"/>
      <c r="H43" s="183">
        <v>3.0</v>
      </c>
      <c r="I43" s="184"/>
      <c r="J43" s="143">
        <v>35.0</v>
      </c>
      <c r="K43" s="183">
        <v>14.0</v>
      </c>
      <c r="L43" s="184"/>
      <c r="M43" s="143">
        <v>7.0</v>
      </c>
      <c r="N43" s="184"/>
      <c r="O43" s="184"/>
      <c r="P43" s="183">
        <v>35.0</v>
      </c>
      <c r="Q43" s="184"/>
      <c r="R43" s="183">
        <v>26.0</v>
      </c>
      <c r="S43" s="184"/>
      <c r="T43" s="183">
        <v>23.0</v>
      </c>
      <c r="U43" s="183">
        <v>31.0</v>
      </c>
    </row>
    <row r="44">
      <c r="B44" s="143">
        <v>43.0</v>
      </c>
      <c r="C44" s="183">
        <v>37.0</v>
      </c>
      <c r="D44" s="184"/>
      <c r="E44" s="143">
        <v>43.0</v>
      </c>
      <c r="F44" s="184"/>
      <c r="G44" s="184"/>
      <c r="H44" s="183">
        <v>4.0</v>
      </c>
      <c r="I44" s="184"/>
      <c r="J44" s="143">
        <v>36.0</v>
      </c>
      <c r="K44" s="183">
        <v>15.0</v>
      </c>
      <c r="L44" s="184"/>
      <c r="M44" s="143">
        <v>8.0</v>
      </c>
      <c r="N44" s="184"/>
      <c r="O44" s="184"/>
      <c r="P44" s="143">
        <v>36.0</v>
      </c>
      <c r="Q44" s="184"/>
      <c r="R44" s="143">
        <v>27.0</v>
      </c>
      <c r="S44" s="184"/>
      <c r="T44" s="183">
        <v>24.0</v>
      </c>
      <c r="U44" s="183">
        <v>32.0</v>
      </c>
    </row>
  </sheetData>
  <mergeCells count="7">
    <mergeCell ref="A2:A3"/>
    <mergeCell ref="A4:A14"/>
    <mergeCell ref="A15:A24"/>
    <mergeCell ref="A25:A31"/>
    <mergeCell ref="A32:A36"/>
    <mergeCell ref="A37:A38"/>
    <mergeCell ref="A39:A44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6" width="8.71"/>
  </cols>
  <sheetData>
    <row r="1" ht="14.25" customHeight="1">
      <c r="A1" s="187"/>
    </row>
    <row r="2" ht="14.25" customHeight="1">
      <c r="A2" s="187" t="s">
        <v>3225</v>
      </c>
      <c r="B2" s="141" t="s">
        <v>22</v>
      </c>
      <c r="C2" s="141" t="s">
        <v>368</v>
      </c>
      <c r="D2" s="141" t="s">
        <v>3226</v>
      </c>
    </row>
    <row r="3" ht="14.25" customHeight="1">
      <c r="A3" s="187" t="s">
        <v>3227</v>
      </c>
      <c r="B3" s="141" t="s">
        <v>3228</v>
      </c>
      <c r="C3" s="141" t="s">
        <v>3229</v>
      </c>
    </row>
    <row r="4" ht="14.25" customHeight="1">
      <c r="A4" s="187" t="s">
        <v>3230</v>
      </c>
      <c r="B4" s="141" t="s">
        <v>2003</v>
      </c>
      <c r="C4" s="141" t="s">
        <v>2006</v>
      </c>
      <c r="D4" s="141" t="s">
        <v>3231</v>
      </c>
    </row>
    <row r="5" ht="14.25" customHeight="1">
      <c r="A5" s="187" t="s">
        <v>1488</v>
      </c>
      <c r="B5" s="141" t="s">
        <v>1141</v>
      </c>
      <c r="C5" s="141" t="s">
        <v>1133</v>
      </c>
    </row>
    <row r="6" ht="14.25" customHeight="1">
      <c r="A6" s="187"/>
    </row>
    <row r="7" ht="14.25" customHeight="1">
      <c r="A7" s="187"/>
    </row>
    <row r="8" ht="14.25" customHeight="1">
      <c r="A8" s="187"/>
    </row>
    <row r="9" ht="14.25" customHeight="1">
      <c r="A9" s="187"/>
    </row>
    <row r="10" ht="14.25" customHeight="1">
      <c r="A10" s="187"/>
    </row>
    <row r="11" ht="14.25" customHeight="1">
      <c r="A11" s="187"/>
    </row>
    <row r="12" ht="14.25" customHeight="1">
      <c r="A12" s="187"/>
    </row>
    <row r="13" ht="14.25" customHeight="1">
      <c r="A13" s="187"/>
    </row>
    <row r="14" ht="14.25" customHeight="1">
      <c r="A14" s="187"/>
    </row>
    <row r="15" ht="14.25" customHeight="1">
      <c r="A15" s="187"/>
    </row>
    <row r="16" ht="14.25" customHeight="1">
      <c r="A16" s="187"/>
    </row>
    <row r="17" ht="14.25" customHeight="1">
      <c r="A17" s="187"/>
    </row>
    <row r="18" ht="14.25" customHeight="1">
      <c r="A18" s="187"/>
    </row>
    <row r="19" ht="14.25" customHeight="1">
      <c r="A19" s="187"/>
    </row>
    <row r="20" ht="14.25" customHeight="1">
      <c r="A20" s="187"/>
    </row>
    <row r="21" ht="14.25" customHeight="1">
      <c r="A21" s="187"/>
    </row>
    <row r="22" ht="14.25" customHeight="1">
      <c r="A22" s="187"/>
    </row>
    <row r="23" ht="14.25" customHeight="1">
      <c r="A23" s="187"/>
    </row>
    <row r="24" ht="14.25" customHeight="1">
      <c r="A24" s="187"/>
    </row>
    <row r="25" ht="14.25" customHeight="1">
      <c r="A25" s="187"/>
    </row>
    <row r="26" ht="14.25" customHeight="1">
      <c r="A26" s="187"/>
    </row>
    <row r="27" ht="14.25" customHeight="1">
      <c r="A27" s="187"/>
    </row>
    <row r="28" ht="14.25" customHeight="1">
      <c r="A28" s="187"/>
    </row>
    <row r="29" ht="14.25" customHeight="1">
      <c r="A29" s="187"/>
    </row>
    <row r="30" ht="14.25" customHeight="1">
      <c r="A30" s="187"/>
    </row>
    <row r="31" ht="14.25" customHeight="1">
      <c r="A31" s="187"/>
    </row>
    <row r="32" ht="14.25" customHeight="1">
      <c r="A32" s="187"/>
    </row>
    <row r="33" ht="14.25" customHeight="1">
      <c r="A33" s="187"/>
    </row>
    <row r="34" ht="14.25" customHeight="1">
      <c r="A34" s="187"/>
    </row>
    <row r="35" ht="14.25" customHeight="1">
      <c r="A35" s="187"/>
    </row>
    <row r="36" ht="14.25" customHeight="1">
      <c r="A36" s="187"/>
    </row>
    <row r="37" ht="14.25" customHeight="1">
      <c r="A37" s="187"/>
    </row>
    <row r="38" ht="14.25" customHeight="1">
      <c r="A38" s="187"/>
    </row>
    <row r="39" ht="14.25" customHeight="1">
      <c r="A39" s="187"/>
    </row>
    <row r="40" ht="14.25" customHeight="1">
      <c r="A40" s="187"/>
    </row>
    <row r="41" ht="14.25" customHeight="1">
      <c r="A41" s="187"/>
    </row>
    <row r="42" ht="14.25" customHeight="1">
      <c r="A42" s="187"/>
    </row>
    <row r="43" ht="14.25" customHeight="1">
      <c r="A43" s="187"/>
    </row>
    <row r="44" ht="14.25" customHeight="1">
      <c r="A44" s="187"/>
    </row>
    <row r="45" ht="14.25" customHeight="1">
      <c r="A45" s="187"/>
    </row>
    <row r="46" ht="14.25" customHeight="1">
      <c r="A46" s="187"/>
    </row>
    <row r="47" ht="14.25" customHeight="1">
      <c r="A47" s="187"/>
    </row>
    <row r="48" ht="14.25" customHeight="1">
      <c r="A48" s="187"/>
    </row>
    <row r="49" ht="14.25" customHeight="1">
      <c r="A49" s="187"/>
    </row>
    <row r="50" ht="14.25" customHeight="1">
      <c r="A50" s="187"/>
    </row>
    <row r="51" ht="14.25" customHeight="1">
      <c r="A51" s="187"/>
    </row>
    <row r="52" ht="14.25" customHeight="1">
      <c r="A52" s="187"/>
    </row>
    <row r="53" ht="14.25" customHeight="1">
      <c r="A53" s="187"/>
    </row>
    <row r="54" ht="14.25" customHeight="1">
      <c r="A54" s="187"/>
    </row>
    <row r="55" ht="14.25" customHeight="1">
      <c r="A55" s="187"/>
    </row>
    <row r="56" ht="14.25" customHeight="1">
      <c r="A56" s="187"/>
    </row>
    <row r="57" ht="14.25" customHeight="1">
      <c r="A57" s="187"/>
    </row>
    <row r="58" ht="14.25" customHeight="1">
      <c r="A58" s="187"/>
    </row>
    <row r="59" ht="14.25" customHeight="1">
      <c r="A59" s="187"/>
    </row>
    <row r="60" ht="14.25" customHeight="1">
      <c r="A60" s="187"/>
    </row>
    <row r="61" ht="14.25" customHeight="1">
      <c r="A61" s="187"/>
    </row>
    <row r="62" ht="14.25" customHeight="1">
      <c r="A62" s="187"/>
    </row>
    <row r="63" ht="14.25" customHeight="1">
      <c r="A63" s="187"/>
    </row>
    <row r="64" ht="14.25" customHeight="1">
      <c r="A64" s="187"/>
    </row>
    <row r="65" ht="14.25" customHeight="1">
      <c r="A65" s="187"/>
    </row>
    <row r="66" ht="14.25" customHeight="1">
      <c r="A66" s="187"/>
    </row>
    <row r="67" ht="14.25" customHeight="1">
      <c r="A67" s="187"/>
    </row>
    <row r="68" ht="14.25" customHeight="1">
      <c r="A68" s="187"/>
    </row>
    <row r="69" ht="14.25" customHeight="1">
      <c r="A69" s="187"/>
    </row>
    <row r="70" ht="14.25" customHeight="1">
      <c r="A70" s="187"/>
    </row>
    <row r="71" ht="14.25" customHeight="1">
      <c r="A71" s="187"/>
    </row>
    <row r="72" ht="14.25" customHeight="1">
      <c r="A72" s="187"/>
    </row>
    <row r="73" ht="14.25" customHeight="1">
      <c r="A73" s="187"/>
    </row>
    <row r="74" ht="14.25" customHeight="1">
      <c r="A74" s="187"/>
    </row>
    <row r="75" ht="14.25" customHeight="1">
      <c r="A75" s="187"/>
    </row>
    <row r="76" ht="14.25" customHeight="1">
      <c r="A76" s="187"/>
    </row>
    <row r="77" ht="14.25" customHeight="1">
      <c r="A77" s="187"/>
    </row>
    <row r="78" ht="14.25" customHeight="1">
      <c r="A78" s="187"/>
    </row>
    <row r="79" ht="14.25" customHeight="1">
      <c r="A79" s="187"/>
    </row>
    <row r="80" ht="14.25" customHeight="1">
      <c r="A80" s="187"/>
    </row>
    <row r="81" ht="14.25" customHeight="1">
      <c r="A81" s="187"/>
    </row>
    <row r="82" ht="14.25" customHeight="1">
      <c r="A82" s="187"/>
    </row>
    <row r="83" ht="14.25" customHeight="1">
      <c r="A83" s="187"/>
    </row>
    <row r="84" ht="14.25" customHeight="1">
      <c r="A84" s="187"/>
    </row>
    <row r="85" ht="14.25" customHeight="1">
      <c r="A85" s="187"/>
    </row>
    <row r="86" ht="14.25" customHeight="1">
      <c r="A86" s="187"/>
    </row>
    <row r="87" ht="14.25" customHeight="1">
      <c r="A87" s="187"/>
    </row>
    <row r="88" ht="14.25" customHeight="1">
      <c r="A88" s="187"/>
    </row>
    <row r="89" ht="14.25" customHeight="1">
      <c r="A89" s="187"/>
    </row>
    <row r="90" ht="14.25" customHeight="1">
      <c r="A90" s="187"/>
    </row>
    <row r="91" ht="14.25" customHeight="1">
      <c r="A91" s="187"/>
    </row>
    <row r="92" ht="14.25" customHeight="1">
      <c r="A92" s="187"/>
    </row>
    <row r="93" ht="14.25" customHeight="1">
      <c r="A93" s="187"/>
    </row>
    <row r="94" ht="14.25" customHeight="1">
      <c r="A94" s="187"/>
    </row>
    <row r="95" ht="14.25" customHeight="1">
      <c r="A95" s="187"/>
    </row>
    <row r="96" ht="14.25" customHeight="1">
      <c r="A96" s="187"/>
    </row>
    <row r="97" ht="14.25" customHeight="1">
      <c r="A97" s="187"/>
    </row>
    <row r="98" ht="14.25" customHeight="1">
      <c r="A98" s="187"/>
    </row>
    <row r="99" ht="14.25" customHeight="1">
      <c r="A99" s="187"/>
    </row>
    <row r="100" ht="14.25" customHeight="1">
      <c r="A100" s="187"/>
    </row>
    <row r="101" ht="14.25" customHeight="1">
      <c r="A101" s="187"/>
    </row>
    <row r="102" ht="14.25" customHeight="1">
      <c r="A102" s="187"/>
    </row>
    <row r="103" ht="14.25" customHeight="1">
      <c r="A103" s="187"/>
    </row>
    <row r="104" ht="14.25" customHeight="1">
      <c r="A104" s="187"/>
    </row>
    <row r="105" ht="14.25" customHeight="1">
      <c r="A105" s="187"/>
    </row>
    <row r="106" ht="14.25" customHeight="1">
      <c r="A106" s="187"/>
    </row>
    <row r="107" ht="14.25" customHeight="1">
      <c r="A107" s="187"/>
    </row>
    <row r="108" ht="14.25" customHeight="1">
      <c r="A108" s="187"/>
    </row>
    <row r="109" ht="14.25" customHeight="1">
      <c r="A109" s="187"/>
    </row>
    <row r="110" ht="14.25" customHeight="1">
      <c r="A110" s="187"/>
    </row>
    <row r="111" ht="14.25" customHeight="1">
      <c r="A111" s="187"/>
    </row>
    <row r="112" ht="14.25" customHeight="1">
      <c r="A112" s="187"/>
    </row>
    <row r="113" ht="14.25" customHeight="1">
      <c r="A113" s="187"/>
    </row>
    <row r="114" ht="14.25" customHeight="1">
      <c r="A114" s="187"/>
    </row>
    <row r="115" ht="14.25" customHeight="1">
      <c r="A115" s="187"/>
    </row>
    <row r="116" ht="14.25" customHeight="1">
      <c r="A116" s="187"/>
    </row>
    <row r="117" ht="14.25" customHeight="1">
      <c r="A117" s="187"/>
    </row>
    <row r="118" ht="14.25" customHeight="1">
      <c r="A118" s="187"/>
    </row>
    <row r="119" ht="14.25" customHeight="1">
      <c r="A119" s="187"/>
    </row>
    <row r="120" ht="14.25" customHeight="1">
      <c r="A120" s="187"/>
    </row>
    <row r="121" ht="14.25" customHeight="1">
      <c r="A121" s="187"/>
    </row>
    <row r="122" ht="14.25" customHeight="1">
      <c r="A122" s="187"/>
    </row>
    <row r="123" ht="14.25" customHeight="1">
      <c r="A123" s="187"/>
    </row>
    <row r="124" ht="14.25" customHeight="1">
      <c r="A124" s="187"/>
    </row>
    <row r="125" ht="14.25" customHeight="1">
      <c r="A125" s="187"/>
    </row>
    <row r="126" ht="14.25" customHeight="1">
      <c r="A126" s="187"/>
    </row>
    <row r="127" ht="14.25" customHeight="1">
      <c r="A127" s="187"/>
    </row>
    <row r="128" ht="14.25" customHeight="1">
      <c r="A128" s="187"/>
    </row>
    <row r="129" ht="14.25" customHeight="1">
      <c r="A129" s="187"/>
    </row>
    <row r="130" ht="14.25" customHeight="1">
      <c r="A130" s="187"/>
    </row>
    <row r="131" ht="14.25" customHeight="1">
      <c r="A131" s="187"/>
    </row>
    <row r="132" ht="14.25" customHeight="1">
      <c r="A132" s="187"/>
    </row>
    <row r="133" ht="14.25" customHeight="1">
      <c r="A133" s="187"/>
    </row>
    <row r="134" ht="14.25" customHeight="1">
      <c r="A134" s="187"/>
    </row>
    <row r="135" ht="14.25" customHeight="1">
      <c r="A135" s="187"/>
    </row>
    <row r="136" ht="14.25" customHeight="1">
      <c r="A136" s="187"/>
    </row>
    <row r="137" ht="14.25" customHeight="1">
      <c r="A137" s="187"/>
    </row>
    <row r="138" ht="14.25" customHeight="1">
      <c r="A138" s="187"/>
    </row>
    <row r="139" ht="14.25" customHeight="1">
      <c r="A139" s="187"/>
    </row>
    <row r="140" ht="14.25" customHeight="1">
      <c r="A140" s="187"/>
    </row>
    <row r="141" ht="14.25" customHeight="1">
      <c r="A141" s="187"/>
    </row>
    <row r="142" ht="14.25" customHeight="1">
      <c r="A142" s="187"/>
    </row>
    <row r="143" ht="14.25" customHeight="1">
      <c r="A143" s="187"/>
    </row>
    <row r="144" ht="14.25" customHeight="1">
      <c r="A144" s="187"/>
    </row>
    <row r="145" ht="14.25" customHeight="1">
      <c r="A145" s="187"/>
    </row>
    <row r="146" ht="14.25" customHeight="1">
      <c r="A146" s="187"/>
    </row>
    <row r="147" ht="14.25" customHeight="1">
      <c r="A147" s="187"/>
    </row>
    <row r="148" ht="14.25" customHeight="1">
      <c r="A148" s="187"/>
    </row>
    <row r="149" ht="14.25" customHeight="1">
      <c r="A149" s="187"/>
    </row>
    <row r="150" ht="14.25" customHeight="1">
      <c r="A150" s="187"/>
    </row>
    <row r="151" ht="14.25" customHeight="1">
      <c r="A151" s="187"/>
    </row>
    <row r="152" ht="14.25" customHeight="1">
      <c r="A152" s="187"/>
    </row>
    <row r="153" ht="14.25" customHeight="1">
      <c r="A153" s="187"/>
    </row>
    <row r="154" ht="14.25" customHeight="1">
      <c r="A154" s="187"/>
    </row>
    <row r="155" ht="14.25" customHeight="1">
      <c r="A155" s="187"/>
    </row>
    <row r="156" ht="14.25" customHeight="1">
      <c r="A156" s="187"/>
    </row>
    <row r="157" ht="14.25" customHeight="1">
      <c r="A157" s="187"/>
    </row>
    <row r="158" ht="14.25" customHeight="1">
      <c r="A158" s="187"/>
    </row>
    <row r="159" ht="14.25" customHeight="1">
      <c r="A159" s="187"/>
    </row>
    <row r="160" ht="14.25" customHeight="1">
      <c r="A160" s="187"/>
    </row>
    <row r="161" ht="14.25" customHeight="1">
      <c r="A161" s="187"/>
    </row>
    <row r="162" ht="14.25" customHeight="1">
      <c r="A162" s="187"/>
    </row>
    <row r="163" ht="14.25" customHeight="1">
      <c r="A163" s="187"/>
    </row>
    <row r="164" ht="14.25" customHeight="1">
      <c r="A164" s="187"/>
    </row>
    <row r="165" ht="14.25" customHeight="1">
      <c r="A165" s="187"/>
    </row>
    <row r="166" ht="14.25" customHeight="1">
      <c r="A166" s="187"/>
    </row>
    <row r="167" ht="14.25" customHeight="1">
      <c r="A167" s="187"/>
    </row>
    <row r="168" ht="14.25" customHeight="1">
      <c r="A168" s="187"/>
    </row>
    <row r="169" ht="14.25" customHeight="1">
      <c r="A169" s="187"/>
    </row>
    <row r="170" ht="14.25" customHeight="1">
      <c r="A170" s="187"/>
    </row>
    <row r="171" ht="14.25" customHeight="1">
      <c r="A171" s="187"/>
    </row>
    <row r="172" ht="14.25" customHeight="1">
      <c r="A172" s="187"/>
    </row>
    <row r="173" ht="14.25" customHeight="1">
      <c r="A173" s="187"/>
    </row>
    <row r="174" ht="14.25" customHeight="1">
      <c r="A174" s="187"/>
    </row>
    <row r="175" ht="14.25" customHeight="1">
      <c r="A175" s="187"/>
    </row>
    <row r="176" ht="14.25" customHeight="1">
      <c r="A176" s="187"/>
    </row>
    <row r="177" ht="14.25" customHeight="1">
      <c r="A177" s="187"/>
    </row>
    <row r="178" ht="14.25" customHeight="1">
      <c r="A178" s="187"/>
    </row>
    <row r="179" ht="14.25" customHeight="1">
      <c r="A179" s="187"/>
    </row>
    <row r="180" ht="14.25" customHeight="1">
      <c r="A180" s="187"/>
    </row>
    <row r="181" ht="14.25" customHeight="1">
      <c r="A181" s="187"/>
    </row>
    <row r="182" ht="14.25" customHeight="1">
      <c r="A182" s="187"/>
    </row>
    <row r="183" ht="14.25" customHeight="1">
      <c r="A183" s="187"/>
    </row>
    <row r="184" ht="14.25" customHeight="1">
      <c r="A184" s="187"/>
    </row>
    <row r="185" ht="14.25" customHeight="1">
      <c r="A185" s="187"/>
    </row>
    <row r="186" ht="14.25" customHeight="1">
      <c r="A186" s="187"/>
    </row>
    <row r="187" ht="14.25" customHeight="1">
      <c r="A187" s="187"/>
    </row>
    <row r="188" ht="14.25" customHeight="1">
      <c r="A188" s="187"/>
    </row>
    <row r="189" ht="14.25" customHeight="1">
      <c r="A189" s="187"/>
    </row>
    <row r="190" ht="14.25" customHeight="1">
      <c r="A190" s="187"/>
    </row>
    <row r="191" ht="14.25" customHeight="1">
      <c r="A191" s="187"/>
    </row>
    <row r="192" ht="14.25" customHeight="1">
      <c r="A192" s="187"/>
    </row>
    <row r="193" ht="14.25" customHeight="1">
      <c r="A193" s="187"/>
    </row>
    <row r="194" ht="14.25" customHeight="1">
      <c r="A194" s="187"/>
    </row>
    <row r="195" ht="14.25" customHeight="1">
      <c r="A195" s="187"/>
    </row>
    <row r="196" ht="14.25" customHeight="1">
      <c r="A196" s="187"/>
    </row>
    <row r="197" ht="14.25" customHeight="1">
      <c r="A197" s="187"/>
    </row>
    <row r="198" ht="14.25" customHeight="1">
      <c r="A198" s="187"/>
    </row>
    <row r="199" ht="14.25" customHeight="1">
      <c r="A199" s="187"/>
    </row>
    <row r="200" ht="14.25" customHeight="1">
      <c r="A200" s="187"/>
    </row>
    <row r="201" ht="14.25" customHeight="1">
      <c r="A201" s="187"/>
    </row>
    <row r="202" ht="14.25" customHeight="1">
      <c r="A202" s="187"/>
    </row>
    <row r="203" ht="14.25" customHeight="1">
      <c r="A203" s="187"/>
    </row>
    <row r="204" ht="14.25" customHeight="1">
      <c r="A204" s="187"/>
    </row>
    <row r="205" ht="14.25" customHeight="1">
      <c r="A205" s="187"/>
    </row>
    <row r="206" ht="14.25" customHeight="1">
      <c r="A206" s="187"/>
    </row>
    <row r="207" ht="14.25" customHeight="1">
      <c r="A207" s="187"/>
    </row>
    <row r="208" ht="14.25" customHeight="1">
      <c r="A208" s="187"/>
    </row>
    <row r="209" ht="14.25" customHeight="1">
      <c r="A209" s="187"/>
    </row>
    <row r="210" ht="14.25" customHeight="1">
      <c r="A210" s="187"/>
    </row>
    <row r="211" ht="14.25" customHeight="1">
      <c r="A211" s="187"/>
    </row>
    <row r="212" ht="14.25" customHeight="1">
      <c r="A212" s="187"/>
    </row>
    <row r="213" ht="14.25" customHeight="1">
      <c r="A213" s="187"/>
    </row>
    <row r="214" ht="14.25" customHeight="1">
      <c r="A214" s="187"/>
    </row>
    <row r="215" ht="14.25" customHeight="1">
      <c r="A215" s="187"/>
    </row>
    <row r="216" ht="14.25" customHeight="1">
      <c r="A216" s="187"/>
    </row>
    <row r="217" ht="14.25" customHeight="1">
      <c r="A217" s="187"/>
    </row>
    <row r="218" ht="14.25" customHeight="1">
      <c r="A218" s="187"/>
    </row>
    <row r="219" ht="14.25" customHeight="1">
      <c r="A219" s="187"/>
    </row>
    <row r="220" ht="14.25" customHeight="1">
      <c r="A220" s="187"/>
    </row>
    <row r="221" ht="14.25" customHeight="1">
      <c r="A221" s="187"/>
    </row>
    <row r="222" ht="14.25" customHeight="1">
      <c r="A222" s="187"/>
    </row>
    <row r="223" ht="14.25" customHeight="1">
      <c r="A223" s="187"/>
    </row>
    <row r="224" ht="14.25" customHeight="1">
      <c r="A224" s="187"/>
    </row>
    <row r="225" ht="14.25" customHeight="1">
      <c r="A225" s="187"/>
    </row>
    <row r="226" ht="14.25" customHeight="1">
      <c r="A226" s="187"/>
    </row>
    <row r="227" ht="14.25" customHeight="1">
      <c r="A227" s="187"/>
    </row>
    <row r="228" ht="14.25" customHeight="1">
      <c r="A228" s="187"/>
    </row>
    <row r="229" ht="14.25" customHeight="1">
      <c r="A229" s="187"/>
    </row>
    <row r="230" ht="14.25" customHeight="1">
      <c r="A230" s="187"/>
    </row>
    <row r="231" ht="14.25" customHeight="1">
      <c r="A231" s="187"/>
    </row>
    <row r="232" ht="14.25" customHeight="1">
      <c r="A232" s="187"/>
    </row>
    <row r="233" ht="14.25" customHeight="1">
      <c r="A233" s="187"/>
    </row>
    <row r="234" ht="14.25" customHeight="1">
      <c r="A234" s="187"/>
    </row>
    <row r="235" ht="14.25" customHeight="1">
      <c r="A235" s="187"/>
    </row>
    <row r="236" ht="14.25" customHeight="1">
      <c r="A236" s="187"/>
    </row>
    <row r="237" ht="14.25" customHeight="1">
      <c r="A237" s="187"/>
    </row>
    <row r="238" ht="14.25" customHeight="1">
      <c r="A238" s="187"/>
    </row>
    <row r="239" ht="14.25" customHeight="1">
      <c r="A239" s="187"/>
    </row>
    <row r="240" ht="14.25" customHeight="1">
      <c r="A240" s="187"/>
    </row>
    <row r="241" ht="14.25" customHeight="1">
      <c r="A241" s="187"/>
    </row>
    <row r="242" ht="14.25" customHeight="1">
      <c r="A242" s="187"/>
    </row>
    <row r="243" ht="14.25" customHeight="1">
      <c r="A243" s="187"/>
    </row>
    <row r="244" ht="14.25" customHeight="1">
      <c r="A244" s="187"/>
    </row>
    <row r="245" ht="14.25" customHeight="1">
      <c r="A245" s="187"/>
    </row>
    <row r="246" ht="14.25" customHeight="1">
      <c r="A246" s="187"/>
    </row>
    <row r="247" ht="14.25" customHeight="1">
      <c r="A247" s="187"/>
    </row>
    <row r="248" ht="14.25" customHeight="1">
      <c r="A248" s="187"/>
    </row>
    <row r="249" ht="14.25" customHeight="1">
      <c r="A249" s="187"/>
    </row>
    <row r="250" ht="14.25" customHeight="1">
      <c r="A250" s="187"/>
    </row>
    <row r="251" ht="14.25" customHeight="1">
      <c r="A251" s="187"/>
    </row>
    <row r="252" ht="14.25" customHeight="1">
      <c r="A252" s="187"/>
    </row>
    <row r="253" ht="14.25" customHeight="1">
      <c r="A253" s="187"/>
    </row>
    <row r="254" ht="14.25" customHeight="1">
      <c r="A254" s="187"/>
    </row>
    <row r="255" ht="14.25" customHeight="1">
      <c r="A255" s="187"/>
    </row>
    <row r="256" ht="14.25" customHeight="1">
      <c r="A256" s="187"/>
    </row>
    <row r="257" ht="14.25" customHeight="1">
      <c r="A257" s="187"/>
    </row>
    <row r="258" ht="14.25" customHeight="1">
      <c r="A258" s="187"/>
    </row>
    <row r="259" ht="14.25" customHeight="1">
      <c r="A259" s="187"/>
    </row>
    <row r="260" ht="14.25" customHeight="1">
      <c r="A260" s="187"/>
    </row>
    <row r="261" ht="14.25" customHeight="1">
      <c r="A261" s="187"/>
    </row>
    <row r="262" ht="14.25" customHeight="1">
      <c r="A262" s="187"/>
    </row>
    <row r="263" ht="14.25" customHeight="1">
      <c r="A263" s="187"/>
    </row>
    <row r="264" ht="14.25" customHeight="1">
      <c r="A264" s="187"/>
    </row>
    <row r="265" ht="14.25" customHeight="1">
      <c r="A265" s="187"/>
    </row>
    <row r="266" ht="14.25" customHeight="1">
      <c r="A266" s="187"/>
    </row>
    <row r="267" ht="14.25" customHeight="1">
      <c r="A267" s="187"/>
    </row>
    <row r="268" ht="14.25" customHeight="1">
      <c r="A268" s="187"/>
    </row>
    <row r="269" ht="14.25" customHeight="1">
      <c r="A269" s="187"/>
    </row>
    <row r="270" ht="14.25" customHeight="1">
      <c r="A270" s="187"/>
    </row>
    <row r="271" ht="14.25" customHeight="1">
      <c r="A271" s="187"/>
    </row>
    <row r="272" ht="14.25" customHeight="1">
      <c r="A272" s="187"/>
    </row>
    <row r="273" ht="14.25" customHeight="1">
      <c r="A273" s="187"/>
    </row>
    <row r="274" ht="14.25" customHeight="1">
      <c r="A274" s="187"/>
    </row>
    <row r="275" ht="14.25" customHeight="1">
      <c r="A275" s="187"/>
    </row>
    <row r="276" ht="14.25" customHeight="1">
      <c r="A276" s="187"/>
    </row>
    <row r="277" ht="14.25" customHeight="1">
      <c r="A277" s="187"/>
    </row>
    <row r="278" ht="14.25" customHeight="1">
      <c r="A278" s="187"/>
    </row>
    <row r="279" ht="14.25" customHeight="1">
      <c r="A279" s="187"/>
    </row>
    <row r="280" ht="14.25" customHeight="1">
      <c r="A280" s="187"/>
    </row>
    <row r="281" ht="14.25" customHeight="1">
      <c r="A281" s="187"/>
    </row>
    <row r="282" ht="14.25" customHeight="1">
      <c r="A282" s="187"/>
    </row>
    <row r="283" ht="14.25" customHeight="1">
      <c r="A283" s="187"/>
    </row>
    <row r="284" ht="14.25" customHeight="1">
      <c r="A284" s="187"/>
    </row>
    <row r="285" ht="14.25" customHeight="1">
      <c r="A285" s="187"/>
    </row>
    <row r="286" ht="14.25" customHeight="1">
      <c r="A286" s="187"/>
    </row>
    <row r="287" ht="14.25" customHeight="1">
      <c r="A287" s="187"/>
    </row>
    <row r="288" ht="14.25" customHeight="1">
      <c r="A288" s="187"/>
    </row>
    <row r="289" ht="14.25" customHeight="1">
      <c r="A289" s="187"/>
    </row>
    <row r="290" ht="14.25" customHeight="1">
      <c r="A290" s="187"/>
    </row>
    <row r="291" ht="14.25" customHeight="1">
      <c r="A291" s="187"/>
    </row>
    <row r="292" ht="14.25" customHeight="1">
      <c r="A292" s="187"/>
    </row>
    <row r="293" ht="14.25" customHeight="1">
      <c r="A293" s="187"/>
    </row>
    <row r="294" ht="14.25" customHeight="1">
      <c r="A294" s="187"/>
    </row>
    <row r="295" ht="14.25" customHeight="1">
      <c r="A295" s="187"/>
    </row>
    <row r="296" ht="14.25" customHeight="1">
      <c r="A296" s="187"/>
    </row>
    <row r="297" ht="14.25" customHeight="1">
      <c r="A297" s="187"/>
    </row>
    <row r="298" ht="14.25" customHeight="1">
      <c r="A298" s="187"/>
    </row>
    <row r="299" ht="14.25" customHeight="1">
      <c r="A299" s="187"/>
    </row>
    <row r="300" ht="14.25" customHeight="1">
      <c r="A300" s="187"/>
    </row>
    <row r="301" ht="14.25" customHeight="1">
      <c r="A301" s="187"/>
    </row>
    <row r="302" ht="14.25" customHeight="1">
      <c r="A302" s="187"/>
    </row>
    <row r="303" ht="14.25" customHeight="1">
      <c r="A303" s="187"/>
    </row>
    <row r="304" ht="14.25" customHeight="1">
      <c r="A304" s="187"/>
    </row>
    <row r="305" ht="14.25" customHeight="1">
      <c r="A305" s="187"/>
    </row>
    <row r="306" ht="14.25" customHeight="1">
      <c r="A306" s="187"/>
    </row>
    <row r="307" ht="14.25" customHeight="1">
      <c r="A307" s="187"/>
    </row>
    <row r="308" ht="14.25" customHeight="1">
      <c r="A308" s="187"/>
    </row>
    <row r="309" ht="14.25" customHeight="1">
      <c r="A309" s="187"/>
    </row>
    <row r="310" ht="14.25" customHeight="1">
      <c r="A310" s="187"/>
    </row>
    <row r="311" ht="14.25" customHeight="1">
      <c r="A311" s="187"/>
    </row>
    <row r="312" ht="14.25" customHeight="1">
      <c r="A312" s="187"/>
    </row>
    <row r="313" ht="14.25" customHeight="1">
      <c r="A313" s="187"/>
    </row>
    <row r="314" ht="14.25" customHeight="1">
      <c r="A314" s="187"/>
    </row>
    <row r="315" ht="14.25" customHeight="1">
      <c r="A315" s="187"/>
    </row>
    <row r="316" ht="14.25" customHeight="1">
      <c r="A316" s="187"/>
    </row>
    <row r="317" ht="14.25" customHeight="1">
      <c r="A317" s="187"/>
    </row>
    <row r="318" ht="14.25" customHeight="1">
      <c r="A318" s="187"/>
    </row>
    <row r="319" ht="14.25" customHeight="1">
      <c r="A319" s="187"/>
    </row>
    <row r="320" ht="14.25" customHeight="1">
      <c r="A320" s="187"/>
    </row>
    <row r="321" ht="14.25" customHeight="1">
      <c r="A321" s="187"/>
    </row>
    <row r="322" ht="14.25" customHeight="1">
      <c r="A322" s="187"/>
    </row>
    <row r="323" ht="14.25" customHeight="1">
      <c r="A323" s="187"/>
    </row>
    <row r="324" ht="14.25" customHeight="1">
      <c r="A324" s="187"/>
    </row>
    <row r="325" ht="14.25" customHeight="1">
      <c r="A325" s="187"/>
    </row>
    <row r="326" ht="14.25" customHeight="1">
      <c r="A326" s="187"/>
    </row>
    <row r="327" ht="14.25" customHeight="1">
      <c r="A327" s="187"/>
    </row>
    <row r="328" ht="14.25" customHeight="1">
      <c r="A328" s="187"/>
    </row>
    <row r="329" ht="14.25" customHeight="1">
      <c r="A329" s="187"/>
    </row>
    <row r="330" ht="14.25" customHeight="1">
      <c r="A330" s="187"/>
    </row>
    <row r="331" ht="14.25" customHeight="1">
      <c r="A331" s="187"/>
    </row>
    <row r="332" ht="14.25" customHeight="1">
      <c r="A332" s="187"/>
    </row>
    <row r="333" ht="14.25" customHeight="1">
      <c r="A333" s="187"/>
    </row>
    <row r="334" ht="14.25" customHeight="1">
      <c r="A334" s="187"/>
    </row>
    <row r="335" ht="14.25" customHeight="1">
      <c r="A335" s="187"/>
    </row>
    <row r="336" ht="14.25" customHeight="1">
      <c r="A336" s="187"/>
    </row>
    <row r="337" ht="14.25" customHeight="1">
      <c r="A337" s="187"/>
    </row>
    <row r="338" ht="14.25" customHeight="1">
      <c r="A338" s="187"/>
    </row>
    <row r="339" ht="14.25" customHeight="1">
      <c r="A339" s="187"/>
    </row>
    <row r="340" ht="14.25" customHeight="1">
      <c r="A340" s="187"/>
    </row>
    <row r="341" ht="14.25" customHeight="1">
      <c r="A341" s="187"/>
    </row>
    <row r="342" ht="14.25" customHeight="1">
      <c r="A342" s="187"/>
    </row>
    <row r="343" ht="14.25" customHeight="1">
      <c r="A343" s="187"/>
    </row>
    <row r="344" ht="14.25" customHeight="1">
      <c r="A344" s="187"/>
    </row>
    <row r="345" ht="14.25" customHeight="1">
      <c r="A345" s="187"/>
    </row>
    <row r="346" ht="14.25" customHeight="1">
      <c r="A346" s="187"/>
    </row>
    <row r="347" ht="14.25" customHeight="1">
      <c r="A347" s="187"/>
    </row>
    <row r="348" ht="14.25" customHeight="1">
      <c r="A348" s="187"/>
    </row>
    <row r="349" ht="14.25" customHeight="1">
      <c r="A349" s="187"/>
    </row>
    <row r="350" ht="14.25" customHeight="1">
      <c r="A350" s="187"/>
    </row>
    <row r="351" ht="14.25" customHeight="1">
      <c r="A351" s="187"/>
    </row>
    <row r="352" ht="14.25" customHeight="1">
      <c r="A352" s="187"/>
    </row>
    <row r="353" ht="14.25" customHeight="1">
      <c r="A353" s="187"/>
    </row>
    <row r="354" ht="14.25" customHeight="1">
      <c r="A354" s="187"/>
    </row>
    <row r="355" ht="14.25" customHeight="1">
      <c r="A355" s="187"/>
    </row>
    <row r="356" ht="14.25" customHeight="1">
      <c r="A356" s="187"/>
    </row>
    <row r="357" ht="14.25" customHeight="1">
      <c r="A357" s="187"/>
    </row>
    <row r="358" ht="14.25" customHeight="1">
      <c r="A358" s="187"/>
    </row>
    <row r="359" ht="14.25" customHeight="1">
      <c r="A359" s="187"/>
    </row>
    <row r="360" ht="14.25" customHeight="1">
      <c r="A360" s="187"/>
    </row>
    <row r="361" ht="14.25" customHeight="1">
      <c r="A361" s="187"/>
    </row>
    <row r="362" ht="14.25" customHeight="1">
      <c r="A362" s="187"/>
    </row>
    <row r="363" ht="14.25" customHeight="1">
      <c r="A363" s="187"/>
    </row>
    <row r="364" ht="14.25" customHeight="1">
      <c r="A364" s="187"/>
    </row>
    <row r="365" ht="14.25" customHeight="1">
      <c r="A365" s="187"/>
    </row>
    <row r="366" ht="14.25" customHeight="1">
      <c r="A366" s="187"/>
    </row>
    <row r="367" ht="14.25" customHeight="1">
      <c r="A367" s="187"/>
    </row>
    <row r="368" ht="14.25" customHeight="1">
      <c r="A368" s="187"/>
    </row>
    <row r="369" ht="14.25" customHeight="1">
      <c r="A369" s="187"/>
    </row>
    <row r="370" ht="14.25" customHeight="1">
      <c r="A370" s="187"/>
    </row>
    <row r="371" ht="14.25" customHeight="1">
      <c r="A371" s="187"/>
    </row>
    <row r="372" ht="14.25" customHeight="1">
      <c r="A372" s="187"/>
    </row>
    <row r="373" ht="14.25" customHeight="1">
      <c r="A373" s="187"/>
    </row>
    <row r="374" ht="14.25" customHeight="1">
      <c r="A374" s="187"/>
    </row>
    <row r="375" ht="14.25" customHeight="1">
      <c r="A375" s="187"/>
    </row>
    <row r="376" ht="14.25" customHeight="1">
      <c r="A376" s="187"/>
    </row>
    <row r="377" ht="14.25" customHeight="1">
      <c r="A377" s="187"/>
    </row>
    <row r="378" ht="14.25" customHeight="1">
      <c r="A378" s="187"/>
    </row>
    <row r="379" ht="14.25" customHeight="1">
      <c r="A379" s="187"/>
    </row>
    <row r="380" ht="14.25" customHeight="1">
      <c r="A380" s="187"/>
    </row>
    <row r="381" ht="14.25" customHeight="1">
      <c r="A381" s="187"/>
    </row>
    <row r="382" ht="14.25" customHeight="1">
      <c r="A382" s="187"/>
    </row>
    <row r="383" ht="14.25" customHeight="1">
      <c r="A383" s="187"/>
    </row>
    <row r="384" ht="14.25" customHeight="1">
      <c r="A384" s="187"/>
    </row>
    <row r="385" ht="14.25" customHeight="1">
      <c r="A385" s="187"/>
    </row>
    <row r="386" ht="14.25" customHeight="1">
      <c r="A386" s="187"/>
    </row>
    <row r="387" ht="14.25" customHeight="1">
      <c r="A387" s="187"/>
    </row>
    <row r="388" ht="14.25" customHeight="1">
      <c r="A388" s="187"/>
    </row>
    <row r="389" ht="14.25" customHeight="1">
      <c r="A389" s="187"/>
    </row>
    <row r="390" ht="14.25" customHeight="1">
      <c r="A390" s="187"/>
    </row>
    <row r="391" ht="14.25" customHeight="1">
      <c r="A391" s="187"/>
    </row>
    <row r="392" ht="14.25" customHeight="1">
      <c r="A392" s="187"/>
    </row>
    <row r="393" ht="14.25" customHeight="1">
      <c r="A393" s="187"/>
    </row>
    <row r="394" ht="14.25" customHeight="1">
      <c r="A394" s="187"/>
    </row>
    <row r="395" ht="14.25" customHeight="1">
      <c r="A395" s="187"/>
    </row>
    <row r="396" ht="14.25" customHeight="1">
      <c r="A396" s="187"/>
    </row>
    <row r="397" ht="14.25" customHeight="1">
      <c r="A397" s="187"/>
    </row>
    <row r="398" ht="14.25" customHeight="1">
      <c r="A398" s="187"/>
    </row>
    <row r="399" ht="14.25" customHeight="1">
      <c r="A399" s="187"/>
    </row>
    <row r="400" ht="14.25" customHeight="1">
      <c r="A400" s="187"/>
    </row>
    <row r="401" ht="14.25" customHeight="1">
      <c r="A401" s="187"/>
    </row>
    <row r="402" ht="14.25" customHeight="1">
      <c r="A402" s="187"/>
    </row>
    <row r="403" ht="14.25" customHeight="1">
      <c r="A403" s="187"/>
    </row>
    <row r="404" ht="14.25" customHeight="1">
      <c r="A404" s="187"/>
    </row>
    <row r="405" ht="14.25" customHeight="1">
      <c r="A405" s="187"/>
    </row>
    <row r="406" ht="14.25" customHeight="1">
      <c r="A406" s="187"/>
    </row>
    <row r="407" ht="14.25" customHeight="1">
      <c r="A407" s="187"/>
    </row>
    <row r="408" ht="14.25" customHeight="1">
      <c r="A408" s="187"/>
    </row>
    <row r="409" ht="14.25" customHeight="1">
      <c r="A409" s="187"/>
    </row>
    <row r="410" ht="14.25" customHeight="1">
      <c r="A410" s="187"/>
    </row>
    <row r="411" ht="14.25" customHeight="1">
      <c r="A411" s="187"/>
    </row>
    <row r="412" ht="14.25" customHeight="1">
      <c r="A412" s="187"/>
    </row>
    <row r="413" ht="14.25" customHeight="1">
      <c r="A413" s="187"/>
    </row>
    <row r="414" ht="14.25" customHeight="1">
      <c r="A414" s="187"/>
    </row>
    <row r="415" ht="14.25" customHeight="1">
      <c r="A415" s="187"/>
    </row>
    <row r="416" ht="14.25" customHeight="1">
      <c r="A416" s="187"/>
    </row>
    <row r="417" ht="14.25" customHeight="1">
      <c r="A417" s="187"/>
    </row>
    <row r="418" ht="14.25" customHeight="1">
      <c r="A418" s="187"/>
    </row>
    <row r="419" ht="14.25" customHeight="1">
      <c r="A419" s="187"/>
    </row>
    <row r="420" ht="14.25" customHeight="1">
      <c r="A420" s="187"/>
    </row>
    <row r="421" ht="14.25" customHeight="1">
      <c r="A421" s="187"/>
    </row>
    <row r="422" ht="14.25" customHeight="1">
      <c r="A422" s="187"/>
    </row>
    <row r="423" ht="14.25" customHeight="1">
      <c r="A423" s="187"/>
    </row>
    <row r="424" ht="14.25" customHeight="1">
      <c r="A424" s="187"/>
    </row>
    <row r="425" ht="14.25" customHeight="1">
      <c r="A425" s="187"/>
    </row>
    <row r="426" ht="14.25" customHeight="1">
      <c r="A426" s="187"/>
    </row>
    <row r="427" ht="14.25" customHeight="1">
      <c r="A427" s="187"/>
    </row>
    <row r="428" ht="14.25" customHeight="1">
      <c r="A428" s="187"/>
    </row>
    <row r="429" ht="14.25" customHeight="1">
      <c r="A429" s="187"/>
    </row>
    <row r="430" ht="14.25" customHeight="1">
      <c r="A430" s="187"/>
    </row>
    <row r="431" ht="14.25" customHeight="1">
      <c r="A431" s="187"/>
    </row>
    <row r="432" ht="14.25" customHeight="1">
      <c r="A432" s="187"/>
    </row>
    <row r="433" ht="14.25" customHeight="1">
      <c r="A433" s="187"/>
    </row>
    <row r="434" ht="14.25" customHeight="1">
      <c r="A434" s="187"/>
    </row>
    <row r="435" ht="14.25" customHeight="1">
      <c r="A435" s="187"/>
    </row>
    <row r="436" ht="14.25" customHeight="1">
      <c r="A436" s="187"/>
    </row>
    <row r="437" ht="14.25" customHeight="1">
      <c r="A437" s="187"/>
    </row>
    <row r="438" ht="14.25" customHeight="1">
      <c r="A438" s="187"/>
    </row>
    <row r="439" ht="14.25" customHeight="1">
      <c r="A439" s="187"/>
    </row>
    <row r="440" ht="14.25" customHeight="1">
      <c r="A440" s="187"/>
    </row>
    <row r="441" ht="14.25" customHeight="1">
      <c r="A441" s="187"/>
    </row>
    <row r="442" ht="14.25" customHeight="1">
      <c r="A442" s="187"/>
    </row>
    <row r="443" ht="14.25" customHeight="1">
      <c r="A443" s="187"/>
    </row>
    <row r="444" ht="14.25" customHeight="1">
      <c r="A444" s="187"/>
    </row>
    <row r="445" ht="14.25" customHeight="1">
      <c r="A445" s="187"/>
    </row>
    <row r="446" ht="14.25" customHeight="1">
      <c r="A446" s="187"/>
    </row>
    <row r="447" ht="14.25" customHeight="1">
      <c r="A447" s="187"/>
    </row>
    <row r="448" ht="14.25" customHeight="1">
      <c r="A448" s="187"/>
    </row>
    <row r="449" ht="14.25" customHeight="1">
      <c r="A449" s="187"/>
    </row>
    <row r="450" ht="14.25" customHeight="1">
      <c r="A450" s="187"/>
    </row>
    <row r="451" ht="14.25" customHeight="1">
      <c r="A451" s="187"/>
    </row>
    <row r="452" ht="14.25" customHeight="1">
      <c r="A452" s="187"/>
    </row>
    <row r="453" ht="14.25" customHeight="1">
      <c r="A453" s="187"/>
    </row>
    <row r="454" ht="14.25" customHeight="1">
      <c r="A454" s="187"/>
    </row>
    <row r="455" ht="14.25" customHeight="1">
      <c r="A455" s="187"/>
    </row>
    <row r="456" ht="14.25" customHeight="1">
      <c r="A456" s="187"/>
    </row>
    <row r="457" ht="14.25" customHeight="1">
      <c r="A457" s="187"/>
    </row>
    <row r="458" ht="14.25" customHeight="1">
      <c r="A458" s="187"/>
    </row>
    <row r="459" ht="14.25" customHeight="1">
      <c r="A459" s="187"/>
    </row>
    <row r="460" ht="14.25" customHeight="1">
      <c r="A460" s="187"/>
    </row>
    <row r="461" ht="14.25" customHeight="1">
      <c r="A461" s="187"/>
    </row>
    <row r="462" ht="14.25" customHeight="1">
      <c r="A462" s="187"/>
    </row>
    <row r="463" ht="14.25" customHeight="1">
      <c r="A463" s="187"/>
    </row>
    <row r="464" ht="14.25" customHeight="1">
      <c r="A464" s="187"/>
    </row>
    <row r="465" ht="14.25" customHeight="1">
      <c r="A465" s="187"/>
    </row>
    <row r="466" ht="14.25" customHeight="1">
      <c r="A466" s="187"/>
    </row>
    <row r="467" ht="14.25" customHeight="1">
      <c r="A467" s="187"/>
    </row>
    <row r="468" ht="14.25" customHeight="1">
      <c r="A468" s="187"/>
    </row>
    <row r="469" ht="14.25" customHeight="1">
      <c r="A469" s="187"/>
    </row>
    <row r="470" ht="14.25" customHeight="1">
      <c r="A470" s="187"/>
    </row>
    <row r="471" ht="14.25" customHeight="1">
      <c r="A471" s="187"/>
    </row>
    <row r="472" ht="14.25" customHeight="1">
      <c r="A472" s="187"/>
    </row>
    <row r="473" ht="14.25" customHeight="1">
      <c r="A473" s="187"/>
    </row>
    <row r="474" ht="14.25" customHeight="1">
      <c r="A474" s="187"/>
    </row>
    <row r="475" ht="14.25" customHeight="1">
      <c r="A475" s="187"/>
    </row>
    <row r="476" ht="14.25" customHeight="1">
      <c r="A476" s="187"/>
    </row>
    <row r="477" ht="14.25" customHeight="1">
      <c r="A477" s="187"/>
    </row>
    <row r="478" ht="14.25" customHeight="1">
      <c r="A478" s="187"/>
    </row>
    <row r="479" ht="14.25" customHeight="1">
      <c r="A479" s="187"/>
    </row>
    <row r="480" ht="14.25" customHeight="1">
      <c r="A480" s="187"/>
    </row>
    <row r="481" ht="14.25" customHeight="1">
      <c r="A481" s="187"/>
    </row>
    <row r="482" ht="14.25" customHeight="1">
      <c r="A482" s="187"/>
    </row>
    <row r="483" ht="14.25" customHeight="1">
      <c r="A483" s="187"/>
    </row>
    <row r="484" ht="14.25" customHeight="1">
      <c r="A484" s="187"/>
    </row>
    <row r="485" ht="14.25" customHeight="1">
      <c r="A485" s="187"/>
    </row>
    <row r="486" ht="14.25" customHeight="1">
      <c r="A486" s="187"/>
    </row>
    <row r="487" ht="14.25" customHeight="1">
      <c r="A487" s="187"/>
    </row>
    <row r="488" ht="14.25" customHeight="1">
      <c r="A488" s="187"/>
    </row>
    <row r="489" ht="14.25" customHeight="1">
      <c r="A489" s="187"/>
    </row>
    <row r="490" ht="14.25" customHeight="1">
      <c r="A490" s="187"/>
    </row>
    <row r="491" ht="14.25" customHeight="1">
      <c r="A491" s="187"/>
    </row>
    <row r="492" ht="14.25" customHeight="1">
      <c r="A492" s="187"/>
    </row>
    <row r="493" ht="14.25" customHeight="1">
      <c r="A493" s="187"/>
    </row>
    <row r="494" ht="14.25" customHeight="1">
      <c r="A494" s="187"/>
    </row>
    <row r="495" ht="14.25" customHeight="1">
      <c r="A495" s="187"/>
    </row>
    <row r="496" ht="14.25" customHeight="1">
      <c r="A496" s="187"/>
    </row>
    <row r="497" ht="14.25" customHeight="1">
      <c r="A497" s="187"/>
    </row>
    <row r="498" ht="14.25" customHeight="1">
      <c r="A498" s="187"/>
    </row>
    <row r="499" ht="14.25" customHeight="1">
      <c r="A499" s="187"/>
    </row>
    <row r="500" ht="14.25" customHeight="1">
      <c r="A500" s="187"/>
    </row>
    <row r="501" ht="14.25" customHeight="1">
      <c r="A501" s="187"/>
    </row>
    <row r="502" ht="14.25" customHeight="1">
      <c r="A502" s="187"/>
    </row>
    <row r="503" ht="14.25" customHeight="1">
      <c r="A503" s="187"/>
    </row>
    <row r="504" ht="14.25" customHeight="1">
      <c r="A504" s="187"/>
    </row>
    <row r="505" ht="14.25" customHeight="1">
      <c r="A505" s="187"/>
    </row>
    <row r="506" ht="14.25" customHeight="1">
      <c r="A506" s="187"/>
    </row>
    <row r="507" ht="14.25" customHeight="1">
      <c r="A507" s="187"/>
    </row>
    <row r="508" ht="14.25" customHeight="1">
      <c r="A508" s="187"/>
    </row>
    <row r="509" ht="14.25" customHeight="1">
      <c r="A509" s="187"/>
    </row>
    <row r="510" ht="14.25" customHeight="1">
      <c r="A510" s="187"/>
    </row>
    <row r="511" ht="14.25" customHeight="1">
      <c r="A511" s="187"/>
    </row>
    <row r="512" ht="14.25" customHeight="1">
      <c r="A512" s="187"/>
    </row>
    <row r="513" ht="14.25" customHeight="1">
      <c r="A513" s="187"/>
    </row>
    <row r="514" ht="14.25" customHeight="1">
      <c r="A514" s="187"/>
    </row>
    <row r="515" ht="14.25" customHeight="1">
      <c r="A515" s="187"/>
    </row>
    <row r="516" ht="14.25" customHeight="1">
      <c r="A516" s="187"/>
    </row>
    <row r="517" ht="14.25" customHeight="1">
      <c r="A517" s="187"/>
    </row>
    <row r="518" ht="14.25" customHeight="1">
      <c r="A518" s="187"/>
    </row>
    <row r="519" ht="14.25" customHeight="1">
      <c r="A519" s="187"/>
    </row>
    <row r="520" ht="14.25" customHeight="1">
      <c r="A520" s="187"/>
    </row>
    <row r="521" ht="14.25" customHeight="1">
      <c r="A521" s="187"/>
    </row>
    <row r="522" ht="14.25" customHeight="1">
      <c r="A522" s="187"/>
    </row>
    <row r="523" ht="14.25" customHeight="1">
      <c r="A523" s="187"/>
    </row>
    <row r="524" ht="14.25" customHeight="1">
      <c r="A524" s="187"/>
    </row>
    <row r="525" ht="14.25" customHeight="1">
      <c r="A525" s="187"/>
    </row>
    <row r="526" ht="14.25" customHeight="1">
      <c r="A526" s="187"/>
    </row>
    <row r="527" ht="14.25" customHeight="1">
      <c r="A527" s="187"/>
    </row>
    <row r="528" ht="14.25" customHeight="1">
      <c r="A528" s="187"/>
    </row>
    <row r="529" ht="14.25" customHeight="1">
      <c r="A529" s="187"/>
    </row>
    <row r="530" ht="14.25" customHeight="1">
      <c r="A530" s="187"/>
    </row>
    <row r="531" ht="14.25" customHeight="1">
      <c r="A531" s="187"/>
    </row>
    <row r="532" ht="14.25" customHeight="1">
      <c r="A532" s="187"/>
    </row>
    <row r="533" ht="14.25" customHeight="1">
      <c r="A533" s="187"/>
    </row>
    <row r="534" ht="14.25" customHeight="1">
      <c r="A534" s="187"/>
    </row>
    <row r="535" ht="14.25" customHeight="1">
      <c r="A535" s="187"/>
    </row>
    <row r="536" ht="14.25" customHeight="1">
      <c r="A536" s="187"/>
    </row>
    <row r="537" ht="14.25" customHeight="1">
      <c r="A537" s="187"/>
    </row>
    <row r="538" ht="14.25" customHeight="1">
      <c r="A538" s="187"/>
    </row>
    <row r="539" ht="14.25" customHeight="1">
      <c r="A539" s="187"/>
    </row>
    <row r="540" ht="14.25" customHeight="1">
      <c r="A540" s="187"/>
    </row>
    <row r="541" ht="14.25" customHeight="1">
      <c r="A541" s="187"/>
    </row>
    <row r="542" ht="14.25" customHeight="1">
      <c r="A542" s="187"/>
    </row>
    <row r="543" ht="14.25" customHeight="1">
      <c r="A543" s="187"/>
    </row>
    <row r="544" ht="14.25" customHeight="1">
      <c r="A544" s="187"/>
    </row>
    <row r="545" ht="14.25" customHeight="1">
      <c r="A545" s="187"/>
    </row>
    <row r="546" ht="14.25" customHeight="1">
      <c r="A546" s="187"/>
    </row>
    <row r="547" ht="14.25" customHeight="1">
      <c r="A547" s="187"/>
    </row>
    <row r="548" ht="14.25" customHeight="1">
      <c r="A548" s="187"/>
    </row>
    <row r="549" ht="14.25" customHeight="1">
      <c r="A549" s="187"/>
    </row>
    <row r="550" ht="14.25" customHeight="1">
      <c r="A550" s="187"/>
    </row>
    <row r="551" ht="14.25" customHeight="1">
      <c r="A551" s="187"/>
    </row>
    <row r="552" ht="14.25" customHeight="1">
      <c r="A552" s="187"/>
    </row>
    <row r="553" ht="14.25" customHeight="1">
      <c r="A553" s="187"/>
    </row>
    <row r="554" ht="14.25" customHeight="1">
      <c r="A554" s="187"/>
    </row>
    <row r="555" ht="14.25" customHeight="1">
      <c r="A555" s="187"/>
    </row>
    <row r="556" ht="14.25" customHeight="1">
      <c r="A556" s="187"/>
    </row>
    <row r="557" ht="14.25" customHeight="1">
      <c r="A557" s="187"/>
    </row>
    <row r="558" ht="14.25" customHeight="1">
      <c r="A558" s="187"/>
    </row>
    <row r="559" ht="14.25" customHeight="1">
      <c r="A559" s="187"/>
    </row>
    <row r="560" ht="14.25" customHeight="1">
      <c r="A560" s="187"/>
    </row>
    <row r="561" ht="14.25" customHeight="1">
      <c r="A561" s="187"/>
    </row>
    <row r="562" ht="14.25" customHeight="1">
      <c r="A562" s="187"/>
    </row>
    <row r="563" ht="14.25" customHeight="1">
      <c r="A563" s="187"/>
    </row>
    <row r="564" ht="14.25" customHeight="1">
      <c r="A564" s="187"/>
    </row>
    <row r="565" ht="14.25" customHeight="1">
      <c r="A565" s="187"/>
    </row>
    <row r="566" ht="14.25" customHeight="1">
      <c r="A566" s="187"/>
    </row>
    <row r="567" ht="14.25" customHeight="1">
      <c r="A567" s="187"/>
    </row>
    <row r="568" ht="14.25" customHeight="1">
      <c r="A568" s="187"/>
    </row>
    <row r="569" ht="14.25" customHeight="1">
      <c r="A569" s="187"/>
    </row>
    <row r="570" ht="14.25" customHeight="1">
      <c r="A570" s="187"/>
    </row>
    <row r="571" ht="14.25" customHeight="1">
      <c r="A571" s="187"/>
    </row>
    <row r="572" ht="14.25" customHeight="1">
      <c r="A572" s="187"/>
    </row>
    <row r="573" ht="14.25" customHeight="1">
      <c r="A573" s="187"/>
    </row>
    <row r="574" ht="14.25" customHeight="1">
      <c r="A574" s="187"/>
    </row>
    <row r="575" ht="14.25" customHeight="1">
      <c r="A575" s="187"/>
    </row>
    <row r="576" ht="14.25" customHeight="1">
      <c r="A576" s="187"/>
    </row>
    <row r="577" ht="14.25" customHeight="1">
      <c r="A577" s="187"/>
    </row>
    <row r="578" ht="14.25" customHeight="1">
      <c r="A578" s="187"/>
    </row>
    <row r="579" ht="14.25" customHeight="1">
      <c r="A579" s="187"/>
    </row>
    <row r="580" ht="14.25" customHeight="1">
      <c r="A580" s="187"/>
    </row>
    <row r="581" ht="14.25" customHeight="1">
      <c r="A581" s="187"/>
    </row>
    <row r="582" ht="14.25" customHeight="1">
      <c r="A582" s="187"/>
    </row>
    <row r="583" ht="14.25" customHeight="1">
      <c r="A583" s="187"/>
    </row>
    <row r="584" ht="14.25" customHeight="1">
      <c r="A584" s="187"/>
    </row>
    <row r="585" ht="14.25" customHeight="1">
      <c r="A585" s="187"/>
    </row>
    <row r="586" ht="14.25" customHeight="1">
      <c r="A586" s="187"/>
    </row>
    <row r="587" ht="14.25" customHeight="1">
      <c r="A587" s="187"/>
    </row>
    <row r="588" ht="14.25" customHeight="1">
      <c r="A588" s="187"/>
    </row>
    <row r="589" ht="14.25" customHeight="1">
      <c r="A589" s="187"/>
    </row>
    <row r="590" ht="14.25" customHeight="1">
      <c r="A590" s="187"/>
    </row>
    <row r="591" ht="14.25" customHeight="1">
      <c r="A591" s="187"/>
    </row>
    <row r="592" ht="14.25" customHeight="1">
      <c r="A592" s="187"/>
    </row>
    <row r="593" ht="14.25" customHeight="1">
      <c r="A593" s="187"/>
    </row>
    <row r="594" ht="14.25" customHeight="1">
      <c r="A594" s="187"/>
    </row>
    <row r="595" ht="14.25" customHeight="1">
      <c r="A595" s="187"/>
    </row>
    <row r="596" ht="14.25" customHeight="1">
      <c r="A596" s="187"/>
    </row>
    <row r="597" ht="14.25" customHeight="1">
      <c r="A597" s="187"/>
    </row>
    <row r="598" ht="14.25" customHeight="1">
      <c r="A598" s="187"/>
    </row>
    <row r="599" ht="14.25" customHeight="1">
      <c r="A599" s="187"/>
    </row>
    <row r="600" ht="14.25" customHeight="1">
      <c r="A600" s="187"/>
    </row>
    <row r="601" ht="14.25" customHeight="1">
      <c r="A601" s="187"/>
    </row>
    <row r="602" ht="14.25" customHeight="1">
      <c r="A602" s="187"/>
    </row>
    <row r="603" ht="14.25" customHeight="1">
      <c r="A603" s="187"/>
    </row>
    <row r="604" ht="14.25" customHeight="1">
      <c r="A604" s="187"/>
    </row>
    <row r="605" ht="14.25" customHeight="1">
      <c r="A605" s="187"/>
    </row>
    <row r="606" ht="14.25" customHeight="1">
      <c r="A606" s="187"/>
    </row>
    <row r="607" ht="14.25" customHeight="1">
      <c r="A607" s="187"/>
    </row>
    <row r="608" ht="14.25" customHeight="1">
      <c r="A608" s="187"/>
    </row>
    <row r="609" ht="14.25" customHeight="1">
      <c r="A609" s="187"/>
    </row>
    <row r="610" ht="14.25" customHeight="1">
      <c r="A610" s="187"/>
    </row>
    <row r="611" ht="14.25" customHeight="1">
      <c r="A611" s="187"/>
    </row>
    <row r="612" ht="14.25" customHeight="1">
      <c r="A612" s="187"/>
    </row>
    <row r="613" ht="14.25" customHeight="1">
      <c r="A613" s="187"/>
    </row>
    <row r="614" ht="14.25" customHeight="1">
      <c r="A614" s="187"/>
    </row>
    <row r="615" ht="14.25" customHeight="1">
      <c r="A615" s="187"/>
    </row>
    <row r="616" ht="14.25" customHeight="1">
      <c r="A616" s="187"/>
    </row>
    <row r="617" ht="14.25" customHeight="1">
      <c r="A617" s="187"/>
    </row>
    <row r="618" ht="14.25" customHeight="1">
      <c r="A618" s="187"/>
    </row>
    <row r="619" ht="14.25" customHeight="1">
      <c r="A619" s="187"/>
    </row>
    <row r="620" ht="14.25" customHeight="1">
      <c r="A620" s="187"/>
    </row>
    <row r="621" ht="14.25" customHeight="1">
      <c r="A621" s="187"/>
    </row>
    <row r="622" ht="14.25" customHeight="1">
      <c r="A622" s="187"/>
    </row>
    <row r="623" ht="14.25" customHeight="1">
      <c r="A623" s="187"/>
    </row>
    <row r="624" ht="14.25" customHeight="1">
      <c r="A624" s="187"/>
    </row>
    <row r="625" ht="14.25" customHeight="1">
      <c r="A625" s="187"/>
    </row>
    <row r="626" ht="14.25" customHeight="1">
      <c r="A626" s="187"/>
    </row>
    <row r="627" ht="14.25" customHeight="1">
      <c r="A627" s="187"/>
    </row>
    <row r="628" ht="14.25" customHeight="1">
      <c r="A628" s="187"/>
    </row>
    <row r="629" ht="14.25" customHeight="1">
      <c r="A629" s="187"/>
    </row>
    <row r="630" ht="14.25" customHeight="1">
      <c r="A630" s="187"/>
    </row>
    <row r="631" ht="14.25" customHeight="1">
      <c r="A631" s="187"/>
    </row>
    <row r="632" ht="14.25" customHeight="1">
      <c r="A632" s="187"/>
    </row>
    <row r="633" ht="14.25" customHeight="1">
      <c r="A633" s="187"/>
    </row>
    <row r="634" ht="14.25" customHeight="1">
      <c r="A634" s="187"/>
    </row>
    <row r="635" ht="14.25" customHeight="1">
      <c r="A635" s="187"/>
    </row>
    <row r="636" ht="14.25" customHeight="1">
      <c r="A636" s="187"/>
    </row>
    <row r="637" ht="14.25" customHeight="1">
      <c r="A637" s="187"/>
    </row>
    <row r="638" ht="14.25" customHeight="1">
      <c r="A638" s="187"/>
    </row>
    <row r="639" ht="14.25" customHeight="1">
      <c r="A639" s="187"/>
    </row>
    <row r="640" ht="14.25" customHeight="1">
      <c r="A640" s="187"/>
    </row>
    <row r="641" ht="14.25" customHeight="1">
      <c r="A641" s="187"/>
    </row>
    <row r="642" ht="14.25" customHeight="1">
      <c r="A642" s="187"/>
    </row>
    <row r="643" ht="14.25" customHeight="1">
      <c r="A643" s="187"/>
    </row>
    <row r="644" ht="14.25" customHeight="1">
      <c r="A644" s="187"/>
    </row>
    <row r="645" ht="14.25" customHeight="1">
      <c r="A645" s="187"/>
    </row>
    <row r="646" ht="14.25" customHeight="1">
      <c r="A646" s="187"/>
    </row>
    <row r="647" ht="14.25" customHeight="1">
      <c r="A647" s="187"/>
    </row>
    <row r="648" ht="14.25" customHeight="1">
      <c r="A648" s="187"/>
    </row>
    <row r="649" ht="14.25" customHeight="1">
      <c r="A649" s="187"/>
    </row>
    <row r="650" ht="14.25" customHeight="1">
      <c r="A650" s="187"/>
    </row>
    <row r="651" ht="14.25" customHeight="1">
      <c r="A651" s="187"/>
    </row>
    <row r="652" ht="14.25" customHeight="1">
      <c r="A652" s="187"/>
    </row>
    <row r="653" ht="14.25" customHeight="1">
      <c r="A653" s="187"/>
    </row>
    <row r="654" ht="14.25" customHeight="1">
      <c r="A654" s="187"/>
    </row>
    <row r="655" ht="14.25" customHeight="1">
      <c r="A655" s="187"/>
    </row>
    <row r="656" ht="14.25" customHeight="1">
      <c r="A656" s="187"/>
    </row>
    <row r="657" ht="14.25" customHeight="1">
      <c r="A657" s="187"/>
    </row>
    <row r="658" ht="14.25" customHeight="1">
      <c r="A658" s="187"/>
    </row>
    <row r="659" ht="14.25" customHeight="1">
      <c r="A659" s="187"/>
    </row>
    <row r="660" ht="14.25" customHeight="1">
      <c r="A660" s="187"/>
    </row>
    <row r="661" ht="14.25" customHeight="1">
      <c r="A661" s="187"/>
    </row>
    <row r="662" ht="14.25" customHeight="1">
      <c r="A662" s="187"/>
    </row>
    <row r="663" ht="14.25" customHeight="1">
      <c r="A663" s="187"/>
    </row>
    <row r="664" ht="14.25" customHeight="1">
      <c r="A664" s="187"/>
    </row>
    <row r="665" ht="14.25" customHeight="1">
      <c r="A665" s="187"/>
    </row>
    <row r="666" ht="14.25" customHeight="1">
      <c r="A666" s="187"/>
    </row>
    <row r="667" ht="14.25" customHeight="1">
      <c r="A667" s="187"/>
    </row>
    <row r="668" ht="14.25" customHeight="1">
      <c r="A668" s="187"/>
    </row>
    <row r="669" ht="14.25" customHeight="1">
      <c r="A669" s="187"/>
    </row>
    <row r="670" ht="14.25" customHeight="1">
      <c r="A670" s="187"/>
    </row>
    <row r="671" ht="14.25" customHeight="1">
      <c r="A671" s="187"/>
    </row>
    <row r="672" ht="14.25" customHeight="1">
      <c r="A672" s="187"/>
    </row>
    <row r="673" ht="14.25" customHeight="1">
      <c r="A673" s="187"/>
    </row>
    <row r="674" ht="14.25" customHeight="1">
      <c r="A674" s="187"/>
    </row>
    <row r="675" ht="14.25" customHeight="1">
      <c r="A675" s="187"/>
    </row>
    <row r="676" ht="14.25" customHeight="1">
      <c r="A676" s="187"/>
    </row>
    <row r="677" ht="14.25" customHeight="1">
      <c r="A677" s="187"/>
    </row>
    <row r="678" ht="14.25" customHeight="1">
      <c r="A678" s="187"/>
    </row>
    <row r="679" ht="14.25" customHeight="1">
      <c r="A679" s="187"/>
    </row>
    <row r="680" ht="14.25" customHeight="1">
      <c r="A680" s="187"/>
    </row>
    <row r="681" ht="14.25" customHeight="1">
      <c r="A681" s="187"/>
    </row>
    <row r="682" ht="14.25" customHeight="1">
      <c r="A682" s="187"/>
    </row>
    <row r="683" ht="14.25" customHeight="1">
      <c r="A683" s="187"/>
    </row>
    <row r="684" ht="14.25" customHeight="1">
      <c r="A684" s="187"/>
    </row>
    <row r="685" ht="14.25" customHeight="1">
      <c r="A685" s="187"/>
    </row>
    <row r="686" ht="14.25" customHeight="1">
      <c r="A686" s="187"/>
    </row>
    <row r="687" ht="14.25" customHeight="1">
      <c r="A687" s="187"/>
    </row>
    <row r="688" ht="14.25" customHeight="1">
      <c r="A688" s="187"/>
    </row>
    <row r="689" ht="14.25" customHeight="1">
      <c r="A689" s="187"/>
    </row>
    <row r="690" ht="14.25" customHeight="1">
      <c r="A690" s="187"/>
    </row>
    <row r="691" ht="14.25" customHeight="1">
      <c r="A691" s="187"/>
    </row>
    <row r="692" ht="14.25" customHeight="1">
      <c r="A692" s="187"/>
    </row>
    <row r="693" ht="14.25" customHeight="1">
      <c r="A693" s="187"/>
    </row>
    <row r="694" ht="14.25" customHeight="1">
      <c r="A694" s="187"/>
    </row>
    <row r="695" ht="14.25" customHeight="1">
      <c r="A695" s="187"/>
    </row>
    <row r="696" ht="14.25" customHeight="1">
      <c r="A696" s="187"/>
    </row>
    <row r="697" ht="14.25" customHeight="1">
      <c r="A697" s="187"/>
    </row>
    <row r="698" ht="14.25" customHeight="1">
      <c r="A698" s="187"/>
    </row>
    <row r="699" ht="14.25" customHeight="1">
      <c r="A699" s="187"/>
    </row>
    <row r="700" ht="14.25" customHeight="1">
      <c r="A700" s="187"/>
    </row>
    <row r="701" ht="14.25" customHeight="1">
      <c r="A701" s="187"/>
    </row>
    <row r="702" ht="14.25" customHeight="1">
      <c r="A702" s="187"/>
    </row>
    <row r="703" ht="14.25" customHeight="1">
      <c r="A703" s="187"/>
    </row>
    <row r="704" ht="14.25" customHeight="1">
      <c r="A704" s="187"/>
    </row>
    <row r="705" ht="14.25" customHeight="1">
      <c r="A705" s="187"/>
    </row>
    <row r="706" ht="14.25" customHeight="1">
      <c r="A706" s="187"/>
    </row>
    <row r="707" ht="14.25" customHeight="1">
      <c r="A707" s="187"/>
    </row>
    <row r="708" ht="14.25" customHeight="1">
      <c r="A708" s="187"/>
    </row>
    <row r="709" ht="14.25" customHeight="1">
      <c r="A709" s="187"/>
    </row>
    <row r="710" ht="14.25" customHeight="1">
      <c r="A710" s="187"/>
    </row>
    <row r="711" ht="14.25" customHeight="1">
      <c r="A711" s="187"/>
    </row>
    <row r="712" ht="14.25" customHeight="1">
      <c r="A712" s="187"/>
    </row>
    <row r="713" ht="14.25" customHeight="1">
      <c r="A713" s="187"/>
    </row>
    <row r="714" ht="14.25" customHeight="1">
      <c r="A714" s="187"/>
    </row>
    <row r="715" ht="14.25" customHeight="1">
      <c r="A715" s="187"/>
    </row>
    <row r="716" ht="14.25" customHeight="1">
      <c r="A716" s="187"/>
    </row>
    <row r="717" ht="14.25" customHeight="1">
      <c r="A717" s="187"/>
    </row>
    <row r="718" ht="14.25" customHeight="1">
      <c r="A718" s="187"/>
    </row>
    <row r="719" ht="14.25" customHeight="1">
      <c r="A719" s="187"/>
    </row>
    <row r="720" ht="14.25" customHeight="1">
      <c r="A720" s="187"/>
    </row>
    <row r="721" ht="14.25" customHeight="1">
      <c r="A721" s="187"/>
    </row>
    <row r="722" ht="14.25" customHeight="1">
      <c r="A722" s="187"/>
    </row>
    <row r="723" ht="14.25" customHeight="1">
      <c r="A723" s="187"/>
    </row>
    <row r="724" ht="14.25" customHeight="1">
      <c r="A724" s="187"/>
    </row>
    <row r="725" ht="14.25" customHeight="1">
      <c r="A725" s="187"/>
    </row>
    <row r="726" ht="14.25" customHeight="1">
      <c r="A726" s="187"/>
    </row>
    <row r="727" ht="14.25" customHeight="1">
      <c r="A727" s="187"/>
    </row>
    <row r="728" ht="14.25" customHeight="1">
      <c r="A728" s="187"/>
    </row>
    <row r="729" ht="14.25" customHeight="1">
      <c r="A729" s="187"/>
    </row>
    <row r="730" ht="14.25" customHeight="1">
      <c r="A730" s="187"/>
    </row>
    <row r="731" ht="14.25" customHeight="1">
      <c r="A731" s="187"/>
    </row>
    <row r="732" ht="14.25" customHeight="1">
      <c r="A732" s="187"/>
    </row>
    <row r="733" ht="14.25" customHeight="1">
      <c r="A733" s="187"/>
    </row>
    <row r="734" ht="14.25" customHeight="1">
      <c r="A734" s="187"/>
    </row>
    <row r="735" ht="14.25" customHeight="1">
      <c r="A735" s="187"/>
    </row>
    <row r="736" ht="14.25" customHeight="1">
      <c r="A736" s="187"/>
    </row>
    <row r="737" ht="14.25" customHeight="1">
      <c r="A737" s="187"/>
    </row>
    <row r="738" ht="14.25" customHeight="1">
      <c r="A738" s="187"/>
    </row>
    <row r="739" ht="14.25" customHeight="1">
      <c r="A739" s="187"/>
    </row>
    <row r="740" ht="14.25" customHeight="1">
      <c r="A740" s="187"/>
    </row>
    <row r="741" ht="14.25" customHeight="1">
      <c r="A741" s="187"/>
    </row>
    <row r="742" ht="14.25" customHeight="1">
      <c r="A742" s="187"/>
    </row>
    <row r="743" ht="14.25" customHeight="1">
      <c r="A743" s="187"/>
    </row>
    <row r="744" ht="14.25" customHeight="1">
      <c r="A744" s="187"/>
    </row>
    <row r="745" ht="14.25" customHeight="1">
      <c r="A745" s="187"/>
    </row>
    <row r="746" ht="14.25" customHeight="1">
      <c r="A746" s="187"/>
    </row>
    <row r="747" ht="14.25" customHeight="1">
      <c r="A747" s="187"/>
    </row>
    <row r="748" ht="14.25" customHeight="1">
      <c r="A748" s="187"/>
    </row>
    <row r="749" ht="14.25" customHeight="1">
      <c r="A749" s="187"/>
    </row>
    <row r="750" ht="14.25" customHeight="1">
      <c r="A750" s="187"/>
    </row>
    <row r="751" ht="14.25" customHeight="1">
      <c r="A751" s="187"/>
    </row>
    <row r="752" ht="14.25" customHeight="1">
      <c r="A752" s="187"/>
    </row>
    <row r="753" ht="14.25" customHeight="1">
      <c r="A753" s="187"/>
    </row>
    <row r="754" ht="14.25" customHeight="1">
      <c r="A754" s="187"/>
    </row>
    <row r="755" ht="14.25" customHeight="1">
      <c r="A755" s="187"/>
    </row>
    <row r="756" ht="14.25" customHeight="1">
      <c r="A756" s="187"/>
    </row>
    <row r="757" ht="14.25" customHeight="1">
      <c r="A757" s="187"/>
    </row>
    <row r="758" ht="14.25" customHeight="1">
      <c r="A758" s="187"/>
    </row>
    <row r="759" ht="14.25" customHeight="1">
      <c r="A759" s="187"/>
    </row>
    <row r="760" ht="14.25" customHeight="1">
      <c r="A760" s="187"/>
    </row>
    <row r="761" ht="14.25" customHeight="1">
      <c r="A761" s="187"/>
    </row>
    <row r="762" ht="14.25" customHeight="1">
      <c r="A762" s="187"/>
    </row>
    <row r="763" ht="14.25" customHeight="1">
      <c r="A763" s="187"/>
    </row>
    <row r="764" ht="14.25" customHeight="1">
      <c r="A764" s="187"/>
    </row>
    <row r="765" ht="14.25" customHeight="1">
      <c r="A765" s="187"/>
    </row>
    <row r="766" ht="14.25" customHeight="1">
      <c r="A766" s="187"/>
    </row>
    <row r="767" ht="14.25" customHeight="1">
      <c r="A767" s="187"/>
    </row>
    <row r="768" ht="14.25" customHeight="1">
      <c r="A768" s="187"/>
    </row>
    <row r="769" ht="14.25" customHeight="1">
      <c r="A769" s="187"/>
    </row>
    <row r="770" ht="14.25" customHeight="1">
      <c r="A770" s="187"/>
    </row>
    <row r="771" ht="14.25" customHeight="1">
      <c r="A771" s="187"/>
    </row>
    <row r="772" ht="14.25" customHeight="1">
      <c r="A772" s="187"/>
    </row>
    <row r="773" ht="14.25" customHeight="1">
      <c r="A773" s="187"/>
    </row>
    <row r="774" ht="14.25" customHeight="1">
      <c r="A774" s="187"/>
    </row>
    <row r="775" ht="14.25" customHeight="1">
      <c r="A775" s="187"/>
    </row>
    <row r="776" ht="14.25" customHeight="1">
      <c r="A776" s="187"/>
    </row>
    <row r="777" ht="14.25" customHeight="1">
      <c r="A777" s="187"/>
    </row>
    <row r="778" ht="14.25" customHeight="1">
      <c r="A778" s="187"/>
    </row>
    <row r="779" ht="14.25" customHeight="1">
      <c r="A779" s="187"/>
    </row>
    <row r="780" ht="14.25" customHeight="1">
      <c r="A780" s="187"/>
    </row>
    <row r="781" ht="14.25" customHeight="1">
      <c r="A781" s="187"/>
    </row>
    <row r="782" ht="14.25" customHeight="1">
      <c r="A782" s="187"/>
    </row>
    <row r="783" ht="14.25" customHeight="1">
      <c r="A783" s="187"/>
    </row>
    <row r="784" ht="14.25" customHeight="1">
      <c r="A784" s="187"/>
    </row>
    <row r="785" ht="14.25" customHeight="1">
      <c r="A785" s="187"/>
    </row>
    <row r="786" ht="14.25" customHeight="1">
      <c r="A786" s="187"/>
    </row>
    <row r="787" ht="14.25" customHeight="1">
      <c r="A787" s="187"/>
    </row>
    <row r="788" ht="14.25" customHeight="1">
      <c r="A788" s="187"/>
    </row>
    <row r="789" ht="14.25" customHeight="1">
      <c r="A789" s="187"/>
    </row>
    <row r="790" ht="14.25" customHeight="1">
      <c r="A790" s="187"/>
    </row>
    <row r="791" ht="14.25" customHeight="1">
      <c r="A791" s="187"/>
    </row>
    <row r="792" ht="14.25" customHeight="1">
      <c r="A792" s="187"/>
    </row>
    <row r="793" ht="14.25" customHeight="1">
      <c r="A793" s="187"/>
    </row>
    <row r="794" ht="14.25" customHeight="1">
      <c r="A794" s="187"/>
    </row>
    <row r="795" ht="14.25" customHeight="1">
      <c r="A795" s="187"/>
    </row>
    <row r="796" ht="14.25" customHeight="1">
      <c r="A796" s="187"/>
    </row>
    <row r="797" ht="14.25" customHeight="1">
      <c r="A797" s="187"/>
    </row>
    <row r="798" ht="14.25" customHeight="1">
      <c r="A798" s="187"/>
    </row>
    <row r="799" ht="14.25" customHeight="1">
      <c r="A799" s="187"/>
    </row>
    <row r="800" ht="14.25" customHeight="1">
      <c r="A800" s="187"/>
    </row>
    <row r="801" ht="14.25" customHeight="1">
      <c r="A801" s="187"/>
    </row>
    <row r="802" ht="14.25" customHeight="1">
      <c r="A802" s="187"/>
    </row>
    <row r="803" ht="14.25" customHeight="1">
      <c r="A803" s="187"/>
    </row>
    <row r="804" ht="14.25" customHeight="1">
      <c r="A804" s="187"/>
    </row>
    <row r="805" ht="14.25" customHeight="1">
      <c r="A805" s="187"/>
    </row>
    <row r="806" ht="14.25" customHeight="1">
      <c r="A806" s="187"/>
    </row>
    <row r="807" ht="14.25" customHeight="1">
      <c r="A807" s="187"/>
    </row>
    <row r="808" ht="14.25" customHeight="1">
      <c r="A808" s="187"/>
    </row>
    <row r="809" ht="14.25" customHeight="1">
      <c r="A809" s="187"/>
    </row>
    <row r="810" ht="14.25" customHeight="1">
      <c r="A810" s="187"/>
    </row>
    <row r="811" ht="14.25" customHeight="1">
      <c r="A811" s="187"/>
    </row>
    <row r="812" ht="14.25" customHeight="1">
      <c r="A812" s="187"/>
    </row>
    <row r="813" ht="14.25" customHeight="1">
      <c r="A813" s="187"/>
    </row>
    <row r="814" ht="14.25" customHeight="1">
      <c r="A814" s="187"/>
    </row>
    <row r="815" ht="14.25" customHeight="1">
      <c r="A815" s="187"/>
    </row>
    <row r="816" ht="14.25" customHeight="1">
      <c r="A816" s="187"/>
    </row>
    <row r="817" ht="14.25" customHeight="1">
      <c r="A817" s="187"/>
    </row>
    <row r="818" ht="14.25" customHeight="1">
      <c r="A818" s="187"/>
    </row>
    <row r="819" ht="14.25" customHeight="1">
      <c r="A819" s="187"/>
    </row>
    <row r="820" ht="14.25" customHeight="1">
      <c r="A820" s="187"/>
    </row>
    <row r="821" ht="14.25" customHeight="1">
      <c r="A821" s="187"/>
    </row>
    <row r="822" ht="14.25" customHeight="1">
      <c r="A822" s="187"/>
    </row>
    <row r="823" ht="14.25" customHeight="1">
      <c r="A823" s="187"/>
    </row>
    <row r="824" ht="14.25" customHeight="1">
      <c r="A824" s="187"/>
    </row>
    <row r="825" ht="14.25" customHeight="1">
      <c r="A825" s="187"/>
    </row>
    <row r="826" ht="14.25" customHeight="1">
      <c r="A826" s="187"/>
    </row>
    <row r="827" ht="14.25" customHeight="1">
      <c r="A827" s="187"/>
    </row>
    <row r="828" ht="14.25" customHeight="1">
      <c r="A828" s="187"/>
    </row>
    <row r="829" ht="14.25" customHeight="1">
      <c r="A829" s="187"/>
    </row>
    <row r="830" ht="14.25" customHeight="1">
      <c r="A830" s="187"/>
    </row>
    <row r="831" ht="14.25" customHeight="1">
      <c r="A831" s="187"/>
    </row>
    <row r="832" ht="14.25" customHeight="1">
      <c r="A832" s="187"/>
    </row>
    <row r="833" ht="14.25" customHeight="1">
      <c r="A833" s="187"/>
    </row>
    <row r="834" ht="14.25" customHeight="1">
      <c r="A834" s="187"/>
    </row>
    <row r="835" ht="14.25" customHeight="1">
      <c r="A835" s="187"/>
    </row>
    <row r="836" ht="14.25" customHeight="1">
      <c r="A836" s="187"/>
    </row>
    <row r="837" ht="14.25" customHeight="1">
      <c r="A837" s="187"/>
    </row>
    <row r="838" ht="14.25" customHeight="1">
      <c r="A838" s="187"/>
    </row>
    <row r="839" ht="14.25" customHeight="1">
      <c r="A839" s="187"/>
    </row>
    <row r="840" ht="14.25" customHeight="1">
      <c r="A840" s="187"/>
    </row>
    <row r="841" ht="14.25" customHeight="1">
      <c r="A841" s="187"/>
    </row>
    <row r="842" ht="14.25" customHeight="1">
      <c r="A842" s="187"/>
    </row>
    <row r="843" ht="14.25" customHeight="1">
      <c r="A843" s="187"/>
    </row>
    <row r="844" ht="14.25" customHeight="1">
      <c r="A844" s="187"/>
    </row>
    <row r="845" ht="14.25" customHeight="1">
      <c r="A845" s="187"/>
    </row>
    <row r="846" ht="14.25" customHeight="1">
      <c r="A846" s="187"/>
    </row>
    <row r="847" ht="14.25" customHeight="1">
      <c r="A847" s="187"/>
    </row>
    <row r="848" ht="14.25" customHeight="1">
      <c r="A848" s="187"/>
    </row>
    <row r="849" ht="14.25" customHeight="1">
      <c r="A849" s="187"/>
    </row>
    <row r="850" ht="14.25" customHeight="1">
      <c r="A850" s="187"/>
    </row>
    <row r="851" ht="14.25" customHeight="1">
      <c r="A851" s="187"/>
    </row>
    <row r="852" ht="14.25" customHeight="1">
      <c r="A852" s="187"/>
    </row>
    <row r="853" ht="14.25" customHeight="1">
      <c r="A853" s="187"/>
    </row>
    <row r="854" ht="14.25" customHeight="1">
      <c r="A854" s="187"/>
    </row>
    <row r="855" ht="14.25" customHeight="1">
      <c r="A855" s="187"/>
    </row>
    <row r="856" ht="14.25" customHeight="1">
      <c r="A856" s="187"/>
    </row>
    <row r="857" ht="14.25" customHeight="1">
      <c r="A857" s="187"/>
    </row>
    <row r="858" ht="14.25" customHeight="1">
      <c r="A858" s="187"/>
    </row>
    <row r="859" ht="14.25" customHeight="1">
      <c r="A859" s="187"/>
    </row>
    <row r="860" ht="14.25" customHeight="1">
      <c r="A860" s="187"/>
    </row>
    <row r="861" ht="14.25" customHeight="1">
      <c r="A861" s="187"/>
    </row>
    <row r="862" ht="14.25" customHeight="1">
      <c r="A862" s="187"/>
    </row>
    <row r="863" ht="14.25" customHeight="1">
      <c r="A863" s="187"/>
    </row>
    <row r="864" ht="14.25" customHeight="1">
      <c r="A864" s="187"/>
    </row>
    <row r="865" ht="14.25" customHeight="1">
      <c r="A865" s="187"/>
    </row>
    <row r="866" ht="14.25" customHeight="1">
      <c r="A866" s="187"/>
    </row>
    <row r="867" ht="14.25" customHeight="1">
      <c r="A867" s="187"/>
    </row>
    <row r="868" ht="14.25" customHeight="1">
      <c r="A868" s="187"/>
    </row>
    <row r="869" ht="14.25" customHeight="1">
      <c r="A869" s="187"/>
    </row>
    <row r="870" ht="14.25" customHeight="1">
      <c r="A870" s="187"/>
    </row>
    <row r="871" ht="14.25" customHeight="1">
      <c r="A871" s="187"/>
    </row>
    <row r="872" ht="14.25" customHeight="1">
      <c r="A872" s="187"/>
    </row>
    <row r="873" ht="14.25" customHeight="1">
      <c r="A873" s="187"/>
    </row>
    <row r="874" ht="14.25" customHeight="1">
      <c r="A874" s="187"/>
    </row>
    <row r="875" ht="14.25" customHeight="1">
      <c r="A875" s="187"/>
    </row>
    <row r="876" ht="14.25" customHeight="1">
      <c r="A876" s="187"/>
    </row>
    <row r="877" ht="14.25" customHeight="1">
      <c r="A877" s="187"/>
    </row>
    <row r="878" ht="14.25" customHeight="1">
      <c r="A878" s="187"/>
    </row>
    <row r="879" ht="14.25" customHeight="1">
      <c r="A879" s="187"/>
    </row>
    <row r="880" ht="14.25" customHeight="1">
      <c r="A880" s="187"/>
    </row>
    <row r="881" ht="14.25" customHeight="1">
      <c r="A881" s="187"/>
    </row>
    <row r="882" ht="14.25" customHeight="1">
      <c r="A882" s="187"/>
    </row>
    <row r="883" ht="14.25" customHeight="1">
      <c r="A883" s="187"/>
    </row>
    <row r="884" ht="14.25" customHeight="1">
      <c r="A884" s="187"/>
    </row>
    <row r="885" ht="14.25" customHeight="1">
      <c r="A885" s="187"/>
    </row>
    <row r="886" ht="14.25" customHeight="1">
      <c r="A886" s="187"/>
    </row>
    <row r="887" ht="14.25" customHeight="1">
      <c r="A887" s="187"/>
    </row>
    <row r="888" ht="14.25" customHeight="1">
      <c r="A888" s="187"/>
    </row>
    <row r="889" ht="14.25" customHeight="1">
      <c r="A889" s="187"/>
    </row>
    <row r="890" ht="14.25" customHeight="1">
      <c r="A890" s="187"/>
    </row>
    <row r="891" ht="14.25" customHeight="1">
      <c r="A891" s="187"/>
    </row>
    <row r="892" ht="14.25" customHeight="1">
      <c r="A892" s="187"/>
    </row>
    <row r="893" ht="14.25" customHeight="1">
      <c r="A893" s="187"/>
    </row>
    <row r="894" ht="14.25" customHeight="1">
      <c r="A894" s="187"/>
    </row>
    <row r="895" ht="14.25" customHeight="1">
      <c r="A895" s="187"/>
    </row>
    <row r="896" ht="14.25" customHeight="1">
      <c r="A896" s="187"/>
    </row>
    <row r="897" ht="14.25" customHeight="1">
      <c r="A897" s="187"/>
    </row>
    <row r="898" ht="14.25" customHeight="1">
      <c r="A898" s="187"/>
    </row>
    <row r="899" ht="14.25" customHeight="1">
      <c r="A899" s="187"/>
    </row>
    <row r="900" ht="14.25" customHeight="1">
      <c r="A900" s="187"/>
    </row>
    <row r="901" ht="14.25" customHeight="1">
      <c r="A901" s="187"/>
    </row>
    <row r="902" ht="14.25" customHeight="1">
      <c r="A902" s="187"/>
    </row>
    <row r="903" ht="14.25" customHeight="1">
      <c r="A903" s="187"/>
    </row>
    <row r="904" ht="14.25" customHeight="1">
      <c r="A904" s="187"/>
    </row>
    <row r="905" ht="14.25" customHeight="1">
      <c r="A905" s="187"/>
    </row>
    <row r="906" ht="14.25" customHeight="1">
      <c r="A906" s="187"/>
    </row>
    <row r="907" ht="14.25" customHeight="1">
      <c r="A907" s="187"/>
    </row>
    <row r="908" ht="14.25" customHeight="1">
      <c r="A908" s="187"/>
    </row>
    <row r="909" ht="14.25" customHeight="1">
      <c r="A909" s="187"/>
    </row>
    <row r="910" ht="14.25" customHeight="1">
      <c r="A910" s="187"/>
    </row>
    <row r="911" ht="14.25" customHeight="1">
      <c r="A911" s="187"/>
    </row>
    <row r="912" ht="14.25" customHeight="1">
      <c r="A912" s="187"/>
    </row>
    <row r="913" ht="14.25" customHeight="1">
      <c r="A913" s="187"/>
    </row>
    <row r="914" ht="14.25" customHeight="1">
      <c r="A914" s="187"/>
    </row>
    <row r="915" ht="14.25" customHeight="1">
      <c r="A915" s="187"/>
    </row>
    <row r="916" ht="14.25" customHeight="1">
      <c r="A916" s="187"/>
    </row>
    <row r="917" ht="14.25" customHeight="1">
      <c r="A917" s="187"/>
    </row>
    <row r="918" ht="14.25" customHeight="1">
      <c r="A918" s="187"/>
    </row>
    <row r="919" ht="14.25" customHeight="1">
      <c r="A919" s="187"/>
    </row>
    <row r="920" ht="14.25" customHeight="1">
      <c r="A920" s="187"/>
    </row>
    <row r="921" ht="14.25" customHeight="1">
      <c r="A921" s="187"/>
    </row>
    <row r="922" ht="14.25" customHeight="1">
      <c r="A922" s="187"/>
    </row>
    <row r="923" ht="14.25" customHeight="1">
      <c r="A923" s="187"/>
    </row>
    <row r="924" ht="14.25" customHeight="1">
      <c r="A924" s="187"/>
    </row>
    <row r="925" ht="14.25" customHeight="1">
      <c r="A925" s="187"/>
    </row>
    <row r="926" ht="14.25" customHeight="1">
      <c r="A926" s="187"/>
    </row>
    <row r="927" ht="14.25" customHeight="1">
      <c r="A927" s="187"/>
    </row>
    <row r="928" ht="14.25" customHeight="1">
      <c r="A928" s="187"/>
    </row>
    <row r="929" ht="14.25" customHeight="1">
      <c r="A929" s="187"/>
    </row>
    <row r="930" ht="14.25" customHeight="1">
      <c r="A930" s="187"/>
    </row>
    <row r="931" ht="14.25" customHeight="1">
      <c r="A931" s="187"/>
    </row>
    <row r="932" ht="14.25" customHeight="1">
      <c r="A932" s="187"/>
    </row>
    <row r="933" ht="14.25" customHeight="1">
      <c r="A933" s="187"/>
    </row>
    <row r="934" ht="14.25" customHeight="1">
      <c r="A934" s="187"/>
    </row>
    <row r="935" ht="14.25" customHeight="1">
      <c r="A935" s="187"/>
    </row>
    <row r="936" ht="14.25" customHeight="1">
      <c r="A936" s="187"/>
    </row>
    <row r="937" ht="14.25" customHeight="1">
      <c r="A937" s="187"/>
    </row>
    <row r="938" ht="14.25" customHeight="1">
      <c r="A938" s="187"/>
    </row>
    <row r="939" ht="14.25" customHeight="1">
      <c r="A939" s="187"/>
    </row>
    <row r="940" ht="14.25" customHeight="1">
      <c r="A940" s="187"/>
    </row>
    <row r="941" ht="14.25" customHeight="1">
      <c r="A941" s="187"/>
    </row>
    <row r="942" ht="14.25" customHeight="1">
      <c r="A942" s="187"/>
    </row>
    <row r="943" ht="14.25" customHeight="1">
      <c r="A943" s="187"/>
    </row>
    <row r="944" ht="14.25" customHeight="1">
      <c r="A944" s="187"/>
    </row>
    <row r="945" ht="14.25" customHeight="1">
      <c r="A945" s="187"/>
    </row>
    <row r="946" ht="14.25" customHeight="1">
      <c r="A946" s="187"/>
    </row>
    <row r="947" ht="14.25" customHeight="1">
      <c r="A947" s="187"/>
    </row>
    <row r="948" ht="14.25" customHeight="1">
      <c r="A948" s="187"/>
    </row>
    <row r="949" ht="14.25" customHeight="1">
      <c r="A949" s="187"/>
    </row>
    <row r="950" ht="14.25" customHeight="1">
      <c r="A950" s="187"/>
    </row>
    <row r="951" ht="14.25" customHeight="1">
      <c r="A951" s="187"/>
    </row>
    <row r="952" ht="14.25" customHeight="1">
      <c r="A952" s="187"/>
    </row>
    <row r="953" ht="14.25" customHeight="1">
      <c r="A953" s="187"/>
    </row>
    <row r="954" ht="14.25" customHeight="1">
      <c r="A954" s="187"/>
    </row>
    <row r="955" ht="14.25" customHeight="1">
      <c r="A955" s="187"/>
    </row>
    <row r="956" ht="14.25" customHeight="1">
      <c r="A956" s="187"/>
    </row>
    <row r="957" ht="14.25" customHeight="1">
      <c r="A957" s="187"/>
    </row>
    <row r="958" ht="14.25" customHeight="1">
      <c r="A958" s="187"/>
    </row>
    <row r="959" ht="14.25" customHeight="1">
      <c r="A959" s="187"/>
    </row>
    <row r="960" ht="14.25" customHeight="1">
      <c r="A960" s="187"/>
    </row>
    <row r="961" ht="14.25" customHeight="1">
      <c r="A961" s="187"/>
    </row>
    <row r="962" ht="14.25" customHeight="1">
      <c r="A962" s="187"/>
    </row>
    <row r="963" ht="14.25" customHeight="1">
      <c r="A963" s="187"/>
    </row>
    <row r="964" ht="14.25" customHeight="1">
      <c r="A964" s="187"/>
    </row>
    <row r="965" ht="14.25" customHeight="1">
      <c r="A965" s="187"/>
    </row>
    <row r="966" ht="14.25" customHeight="1">
      <c r="A966" s="187"/>
    </row>
    <row r="967" ht="14.25" customHeight="1">
      <c r="A967" s="187"/>
    </row>
    <row r="968" ht="14.25" customHeight="1">
      <c r="A968" s="187"/>
    </row>
    <row r="969" ht="14.25" customHeight="1">
      <c r="A969" s="187"/>
    </row>
    <row r="970" ht="14.25" customHeight="1">
      <c r="A970" s="187"/>
    </row>
    <row r="971" ht="14.25" customHeight="1">
      <c r="A971" s="187"/>
    </row>
    <row r="972" ht="14.25" customHeight="1">
      <c r="A972" s="187"/>
    </row>
    <row r="973" ht="14.25" customHeight="1">
      <c r="A973" s="187"/>
    </row>
    <row r="974" ht="14.25" customHeight="1">
      <c r="A974" s="187"/>
    </row>
    <row r="975" ht="14.25" customHeight="1">
      <c r="A975" s="187"/>
    </row>
    <row r="976" ht="14.25" customHeight="1">
      <c r="A976" s="187"/>
    </row>
    <row r="977" ht="14.25" customHeight="1">
      <c r="A977" s="187"/>
    </row>
    <row r="978" ht="14.25" customHeight="1">
      <c r="A978" s="187"/>
    </row>
    <row r="979" ht="14.25" customHeight="1">
      <c r="A979" s="187"/>
    </row>
    <row r="980" ht="14.25" customHeight="1">
      <c r="A980" s="187"/>
    </row>
    <row r="981" ht="14.25" customHeight="1">
      <c r="A981" s="187"/>
    </row>
    <row r="982" ht="14.25" customHeight="1">
      <c r="A982" s="187"/>
    </row>
    <row r="983" ht="14.25" customHeight="1">
      <c r="A983" s="187"/>
    </row>
    <row r="984" ht="14.25" customHeight="1">
      <c r="A984" s="187"/>
    </row>
    <row r="985" ht="14.25" customHeight="1">
      <c r="A985" s="187"/>
    </row>
    <row r="986" ht="14.25" customHeight="1">
      <c r="A986" s="187"/>
    </row>
    <row r="987" ht="14.25" customHeight="1">
      <c r="A987" s="187"/>
    </row>
    <row r="988" ht="14.25" customHeight="1">
      <c r="A988" s="187"/>
    </row>
    <row r="989" ht="14.25" customHeight="1">
      <c r="A989" s="187"/>
    </row>
    <row r="990" ht="14.25" customHeight="1">
      <c r="A990" s="187"/>
    </row>
    <row r="991" ht="14.25" customHeight="1">
      <c r="A991" s="187"/>
    </row>
    <row r="992" ht="14.25" customHeight="1">
      <c r="A992" s="187"/>
    </row>
    <row r="993" ht="14.25" customHeight="1">
      <c r="A993" s="187"/>
    </row>
    <row r="994" ht="14.25" customHeight="1">
      <c r="A994" s="187"/>
    </row>
    <row r="995" ht="14.25" customHeight="1">
      <c r="A995" s="187"/>
    </row>
    <row r="996" ht="14.25" customHeight="1">
      <c r="A996" s="187"/>
    </row>
    <row r="997" ht="14.25" customHeight="1">
      <c r="A997" s="187"/>
    </row>
    <row r="998" ht="14.25" customHeight="1">
      <c r="A998" s="187"/>
    </row>
    <row r="999" ht="14.25" customHeight="1">
      <c r="A999" s="187"/>
    </row>
    <row r="1000" ht="14.25" customHeight="1">
      <c r="A1000" s="18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2015-12-18T15:14:21Z</dcterms:created>
  <dc:creator>Buffer</dc:creator>
</cp:coreProperties>
</file>